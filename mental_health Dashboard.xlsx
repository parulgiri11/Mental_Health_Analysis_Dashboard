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PG\Desktop\"/>
    </mc:Choice>
  </mc:AlternateContent>
  <xr:revisionPtr revIDLastSave="0" documentId="13_ncr:1_{FA678246-C8B6-48F7-9E1C-D805B2CCD2BD}" xr6:coauthVersionLast="47" xr6:coauthVersionMax="47" xr10:uidLastSave="{00000000-0000-0000-0000-000000000000}"/>
  <bookViews>
    <workbookView xWindow="-108" yWindow="-108" windowWidth="23256" windowHeight="12456" firstSheet="2" activeTab="5" xr2:uid="{CC025E14-E811-41E7-8BCC-E237FDC2D385}"/>
  </bookViews>
  <sheets>
    <sheet name="AvgStrsOcc" sheetId="2" r:id="rId1"/>
    <sheet name="SleepVsStress" sheetId="3" r:id="rId2"/>
    <sheet name="ScrTimeVsStrs" sheetId="4" r:id="rId3"/>
    <sheet name="PhsclActImpct" sheetId="5" r:id="rId4"/>
    <sheet name="GndrDist" sheetId="6" r:id="rId5"/>
    <sheet name="Dashboard" sheetId="8" r:id="rId6"/>
    <sheet name="Backend" sheetId="9" r:id="rId7"/>
    <sheet name="NitUsgLabel" sheetId="13" r:id="rId8"/>
    <sheet name="mental_health" sheetId="1" r:id="rId9"/>
  </sheets>
  <definedNames>
    <definedName name="Slicer_Gender">#N/A</definedName>
    <definedName name="Slicer_Occupation">#N/A</definedName>
    <definedName name="Slicer_Physical_Activity">#N/A</definedName>
    <definedName name="Slicer_Sleep_Category">#N/A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001" i="1" l="1"/>
  <c r="U2001" i="1"/>
  <c r="T2001" i="1"/>
  <c r="H2001" i="1"/>
  <c r="V2000" i="1"/>
  <c r="U2000" i="1"/>
  <c r="T2000" i="1"/>
  <c r="H2000" i="1"/>
  <c r="V1999" i="1"/>
  <c r="U1999" i="1"/>
  <c r="T1999" i="1"/>
  <c r="H1999" i="1"/>
  <c r="V1998" i="1"/>
  <c r="U1998" i="1"/>
  <c r="T1998" i="1"/>
  <c r="H1998" i="1"/>
  <c r="V1997" i="1"/>
  <c r="U1997" i="1"/>
  <c r="T1997" i="1"/>
  <c r="H1997" i="1"/>
  <c r="V1996" i="1"/>
  <c r="U1996" i="1"/>
  <c r="T1996" i="1"/>
  <c r="H1996" i="1"/>
  <c r="V1995" i="1"/>
  <c r="U1995" i="1"/>
  <c r="T1995" i="1"/>
  <c r="H1995" i="1"/>
  <c r="V1994" i="1"/>
  <c r="U1994" i="1"/>
  <c r="T1994" i="1"/>
  <c r="H1994" i="1"/>
  <c r="V1993" i="1"/>
  <c r="U1993" i="1"/>
  <c r="T1993" i="1"/>
  <c r="H1993" i="1"/>
  <c r="V1992" i="1"/>
  <c r="U1992" i="1"/>
  <c r="T1992" i="1"/>
  <c r="H1992" i="1"/>
  <c r="V1991" i="1"/>
  <c r="U1991" i="1"/>
  <c r="T1991" i="1"/>
  <c r="H1991" i="1"/>
  <c r="V1990" i="1"/>
  <c r="U1990" i="1"/>
  <c r="T1990" i="1"/>
  <c r="H1990" i="1"/>
  <c r="V1989" i="1"/>
  <c r="U1989" i="1"/>
  <c r="T1989" i="1"/>
  <c r="H1989" i="1"/>
  <c r="V1988" i="1"/>
  <c r="U1988" i="1"/>
  <c r="T1988" i="1"/>
  <c r="H1988" i="1"/>
  <c r="V1987" i="1"/>
  <c r="U1987" i="1"/>
  <c r="T1987" i="1"/>
  <c r="H1987" i="1"/>
  <c r="V1986" i="1"/>
  <c r="U1986" i="1"/>
  <c r="T1986" i="1"/>
  <c r="H1986" i="1"/>
  <c r="V1985" i="1"/>
  <c r="U1985" i="1"/>
  <c r="T1985" i="1"/>
  <c r="H1985" i="1"/>
  <c r="V1984" i="1"/>
  <c r="U1984" i="1"/>
  <c r="T1984" i="1"/>
  <c r="H1984" i="1"/>
  <c r="V1983" i="1"/>
  <c r="U1983" i="1"/>
  <c r="T1983" i="1"/>
  <c r="H1983" i="1"/>
  <c r="V1982" i="1"/>
  <c r="U1982" i="1"/>
  <c r="T1982" i="1"/>
  <c r="H1982" i="1"/>
  <c r="V1981" i="1"/>
  <c r="U1981" i="1"/>
  <c r="T1981" i="1"/>
  <c r="H1981" i="1"/>
  <c r="V1980" i="1"/>
  <c r="U1980" i="1"/>
  <c r="T1980" i="1"/>
  <c r="H1980" i="1"/>
  <c r="V1979" i="1"/>
  <c r="U1979" i="1"/>
  <c r="T1979" i="1"/>
  <c r="H1979" i="1"/>
  <c r="V1978" i="1"/>
  <c r="U1978" i="1"/>
  <c r="T1978" i="1"/>
  <c r="H1978" i="1"/>
  <c r="V1977" i="1"/>
  <c r="U1977" i="1"/>
  <c r="T1977" i="1"/>
  <c r="H1977" i="1"/>
  <c r="V1976" i="1"/>
  <c r="U1976" i="1"/>
  <c r="T1976" i="1"/>
  <c r="H1976" i="1"/>
  <c r="V1975" i="1"/>
  <c r="U1975" i="1"/>
  <c r="T1975" i="1"/>
  <c r="H1975" i="1"/>
  <c r="V1974" i="1"/>
  <c r="U1974" i="1"/>
  <c r="T1974" i="1"/>
  <c r="H1974" i="1"/>
  <c r="V1973" i="1"/>
  <c r="U1973" i="1"/>
  <c r="T1973" i="1"/>
  <c r="H1973" i="1"/>
  <c r="V1972" i="1"/>
  <c r="U1972" i="1"/>
  <c r="T1972" i="1"/>
  <c r="H1972" i="1"/>
  <c r="V1971" i="1"/>
  <c r="U1971" i="1"/>
  <c r="T1971" i="1"/>
  <c r="H1971" i="1"/>
  <c r="V1970" i="1"/>
  <c r="U1970" i="1"/>
  <c r="T1970" i="1"/>
  <c r="H1970" i="1"/>
  <c r="V1969" i="1"/>
  <c r="U1969" i="1"/>
  <c r="T1969" i="1"/>
  <c r="H1969" i="1"/>
  <c r="V1968" i="1"/>
  <c r="U1968" i="1"/>
  <c r="T1968" i="1"/>
  <c r="H1968" i="1"/>
  <c r="V1967" i="1"/>
  <c r="U1967" i="1"/>
  <c r="T1967" i="1"/>
  <c r="H1967" i="1"/>
  <c r="V1966" i="1"/>
  <c r="U1966" i="1"/>
  <c r="T1966" i="1"/>
  <c r="H1966" i="1"/>
  <c r="V1965" i="1"/>
  <c r="U1965" i="1"/>
  <c r="T1965" i="1"/>
  <c r="H1965" i="1"/>
  <c r="V1964" i="1"/>
  <c r="U1964" i="1"/>
  <c r="T1964" i="1"/>
  <c r="H1964" i="1"/>
  <c r="V1963" i="1"/>
  <c r="U1963" i="1"/>
  <c r="T1963" i="1"/>
  <c r="H1963" i="1"/>
  <c r="V1962" i="1"/>
  <c r="U1962" i="1"/>
  <c r="T1962" i="1"/>
  <c r="H1962" i="1"/>
  <c r="V1961" i="1"/>
  <c r="U1961" i="1"/>
  <c r="T1961" i="1"/>
  <c r="H1961" i="1"/>
  <c r="V1960" i="1"/>
  <c r="U1960" i="1"/>
  <c r="T1960" i="1"/>
  <c r="H1960" i="1"/>
  <c r="V1959" i="1"/>
  <c r="U1959" i="1"/>
  <c r="T1959" i="1"/>
  <c r="H1959" i="1"/>
  <c r="V1958" i="1"/>
  <c r="U1958" i="1"/>
  <c r="T1958" i="1"/>
  <c r="H1958" i="1"/>
  <c r="V1957" i="1"/>
  <c r="U1957" i="1"/>
  <c r="T1957" i="1"/>
  <c r="H1957" i="1"/>
  <c r="V1956" i="1"/>
  <c r="U1956" i="1"/>
  <c r="T1956" i="1"/>
  <c r="H1956" i="1"/>
  <c r="V1955" i="1"/>
  <c r="U1955" i="1"/>
  <c r="T1955" i="1"/>
  <c r="H1955" i="1"/>
  <c r="V1954" i="1"/>
  <c r="U1954" i="1"/>
  <c r="T1954" i="1"/>
  <c r="H1954" i="1"/>
  <c r="V1953" i="1"/>
  <c r="U1953" i="1"/>
  <c r="T1953" i="1"/>
  <c r="H1953" i="1"/>
  <c r="V1952" i="1"/>
  <c r="U1952" i="1"/>
  <c r="T1952" i="1"/>
  <c r="H1952" i="1"/>
  <c r="V1951" i="1"/>
  <c r="U1951" i="1"/>
  <c r="T1951" i="1"/>
  <c r="H1951" i="1"/>
  <c r="V1950" i="1"/>
  <c r="U1950" i="1"/>
  <c r="T1950" i="1"/>
  <c r="H1950" i="1"/>
  <c r="V1949" i="1"/>
  <c r="U1949" i="1"/>
  <c r="T1949" i="1"/>
  <c r="H1949" i="1"/>
  <c r="V1948" i="1"/>
  <c r="U1948" i="1"/>
  <c r="T1948" i="1"/>
  <c r="H1948" i="1"/>
  <c r="V1947" i="1"/>
  <c r="U1947" i="1"/>
  <c r="T1947" i="1"/>
  <c r="H1947" i="1"/>
  <c r="V1946" i="1"/>
  <c r="U1946" i="1"/>
  <c r="T1946" i="1"/>
  <c r="H1946" i="1"/>
  <c r="V1945" i="1"/>
  <c r="U1945" i="1"/>
  <c r="T1945" i="1"/>
  <c r="H1945" i="1"/>
  <c r="V1944" i="1"/>
  <c r="U1944" i="1"/>
  <c r="T1944" i="1"/>
  <c r="H1944" i="1"/>
  <c r="V1943" i="1"/>
  <c r="U1943" i="1"/>
  <c r="T1943" i="1"/>
  <c r="H1943" i="1"/>
  <c r="V1942" i="1"/>
  <c r="U1942" i="1"/>
  <c r="T1942" i="1"/>
  <c r="H1942" i="1"/>
  <c r="V1941" i="1"/>
  <c r="U1941" i="1"/>
  <c r="T1941" i="1"/>
  <c r="H1941" i="1"/>
  <c r="V1940" i="1"/>
  <c r="U1940" i="1"/>
  <c r="T1940" i="1"/>
  <c r="H1940" i="1"/>
  <c r="V1939" i="1"/>
  <c r="U1939" i="1"/>
  <c r="T1939" i="1"/>
  <c r="H1939" i="1"/>
  <c r="V1938" i="1"/>
  <c r="U1938" i="1"/>
  <c r="T1938" i="1"/>
  <c r="H1938" i="1"/>
  <c r="V1937" i="1"/>
  <c r="U1937" i="1"/>
  <c r="T1937" i="1"/>
  <c r="H1937" i="1"/>
  <c r="V1936" i="1"/>
  <c r="U1936" i="1"/>
  <c r="T1936" i="1"/>
  <c r="H1936" i="1"/>
  <c r="V1935" i="1"/>
  <c r="U1935" i="1"/>
  <c r="T1935" i="1"/>
  <c r="H1935" i="1"/>
  <c r="V1934" i="1"/>
  <c r="U1934" i="1"/>
  <c r="T1934" i="1"/>
  <c r="H1934" i="1"/>
  <c r="V1933" i="1"/>
  <c r="U1933" i="1"/>
  <c r="T1933" i="1"/>
  <c r="H1933" i="1"/>
  <c r="V1932" i="1"/>
  <c r="U1932" i="1"/>
  <c r="T1932" i="1"/>
  <c r="H1932" i="1"/>
  <c r="V1931" i="1"/>
  <c r="U1931" i="1"/>
  <c r="T1931" i="1"/>
  <c r="H1931" i="1"/>
  <c r="V1930" i="1"/>
  <c r="U1930" i="1"/>
  <c r="T1930" i="1"/>
  <c r="H1930" i="1"/>
  <c r="V1929" i="1"/>
  <c r="U1929" i="1"/>
  <c r="T1929" i="1"/>
  <c r="H1929" i="1"/>
  <c r="V1928" i="1"/>
  <c r="U1928" i="1"/>
  <c r="T1928" i="1"/>
  <c r="H1928" i="1"/>
  <c r="V1927" i="1"/>
  <c r="U1927" i="1"/>
  <c r="T1927" i="1"/>
  <c r="H1927" i="1"/>
  <c r="V1926" i="1"/>
  <c r="U1926" i="1"/>
  <c r="T1926" i="1"/>
  <c r="H1926" i="1"/>
  <c r="V1925" i="1"/>
  <c r="U1925" i="1"/>
  <c r="T1925" i="1"/>
  <c r="H1925" i="1"/>
  <c r="V1924" i="1"/>
  <c r="U1924" i="1"/>
  <c r="T1924" i="1"/>
  <c r="H1924" i="1"/>
  <c r="V1923" i="1"/>
  <c r="U1923" i="1"/>
  <c r="T1923" i="1"/>
  <c r="H1923" i="1"/>
  <c r="V1922" i="1"/>
  <c r="U1922" i="1"/>
  <c r="T1922" i="1"/>
  <c r="H1922" i="1"/>
  <c r="V1921" i="1"/>
  <c r="U1921" i="1"/>
  <c r="T1921" i="1"/>
  <c r="H1921" i="1"/>
  <c r="V1920" i="1"/>
  <c r="U1920" i="1"/>
  <c r="T1920" i="1"/>
  <c r="H1920" i="1"/>
  <c r="V1919" i="1"/>
  <c r="U1919" i="1"/>
  <c r="T1919" i="1"/>
  <c r="H1919" i="1"/>
  <c r="V1918" i="1"/>
  <c r="U1918" i="1"/>
  <c r="T1918" i="1"/>
  <c r="H1918" i="1"/>
  <c r="V1917" i="1"/>
  <c r="U1917" i="1"/>
  <c r="T1917" i="1"/>
  <c r="H1917" i="1"/>
  <c r="V1916" i="1"/>
  <c r="U1916" i="1"/>
  <c r="T1916" i="1"/>
  <c r="H1916" i="1"/>
  <c r="V1915" i="1"/>
  <c r="U1915" i="1"/>
  <c r="T1915" i="1"/>
  <c r="H1915" i="1"/>
  <c r="V1914" i="1"/>
  <c r="U1914" i="1"/>
  <c r="T1914" i="1"/>
  <c r="H1914" i="1"/>
  <c r="V1913" i="1"/>
  <c r="U1913" i="1"/>
  <c r="T1913" i="1"/>
  <c r="H1913" i="1"/>
  <c r="V1912" i="1"/>
  <c r="U1912" i="1"/>
  <c r="T1912" i="1"/>
  <c r="H1912" i="1"/>
  <c r="V1911" i="1"/>
  <c r="U1911" i="1"/>
  <c r="T1911" i="1"/>
  <c r="H1911" i="1"/>
  <c r="V1910" i="1"/>
  <c r="U1910" i="1"/>
  <c r="T1910" i="1"/>
  <c r="H1910" i="1"/>
  <c r="V1909" i="1"/>
  <c r="U1909" i="1"/>
  <c r="T1909" i="1"/>
  <c r="H1909" i="1"/>
  <c r="V1908" i="1"/>
  <c r="U1908" i="1"/>
  <c r="T1908" i="1"/>
  <c r="H1908" i="1"/>
  <c r="V1907" i="1"/>
  <c r="U1907" i="1"/>
  <c r="T1907" i="1"/>
  <c r="H1907" i="1"/>
  <c r="V1906" i="1"/>
  <c r="U1906" i="1"/>
  <c r="T1906" i="1"/>
  <c r="H1906" i="1"/>
  <c r="V1905" i="1"/>
  <c r="U1905" i="1"/>
  <c r="T1905" i="1"/>
  <c r="H1905" i="1"/>
  <c r="V1904" i="1"/>
  <c r="U1904" i="1"/>
  <c r="T1904" i="1"/>
  <c r="H1904" i="1"/>
  <c r="V1903" i="1"/>
  <c r="U1903" i="1"/>
  <c r="T1903" i="1"/>
  <c r="H1903" i="1"/>
  <c r="V1902" i="1"/>
  <c r="U1902" i="1"/>
  <c r="T1902" i="1"/>
  <c r="H1902" i="1"/>
  <c r="V1901" i="1"/>
  <c r="U1901" i="1"/>
  <c r="T1901" i="1"/>
  <c r="H1901" i="1"/>
  <c r="V1900" i="1"/>
  <c r="U1900" i="1"/>
  <c r="T1900" i="1"/>
  <c r="H1900" i="1"/>
  <c r="V1899" i="1"/>
  <c r="U1899" i="1"/>
  <c r="T1899" i="1"/>
  <c r="H1899" i="1"/>
  <c r="V1898" i="1"/>
  <c r="U1898" i="1"/>
  <c r="T1898" i="1"/>
  <c r="H1898" i="1"/>
  <c r="V1897" i="1"/>
  <c r="U1897" i="1"/>
  <c r="T1897" i="1"/>
  <c r="H1897" i="1"/>
  <c r="V1896" i="1"/>
  <c r="U1896" i="1"/>
  <c r="T1896" i="1"/>
  <c r="H1896" i="1"/>
  <c r="V1895" i="1"/>
  <c r="U1895" i="1"/>
  <c r="T1895" i="1"/>
  <c r="H1895" i="1"/>
  <c r="V1894" i="1"/>
  <c r="U1894" i="1"/>
  <c r="T1894" i="1"/>
  <c r="H1894" i="1"/>
  <c r="V1893" i="1"/>
  <c r="U1893" i="1"/>
  <c r="T1893" i="1"/>
  <c r="H1893" i="1"/>
  <c r="V1892" i="1"/>
  <c r="U1892" i="1"/>
  <c r="T1892" i="1"/>
  <c r="H1892" i="1"/>
  <c r="V1891" i="1"/>
  <c r="U1891" i="1"/>
  <c r="T1891" i="1"/>
  <c r="H1891" i="1"/>
  <c r="V1890" i="1"/>
  <c r="U1890" i="1"/>
  <c r="T1890" i="1"/>
  <c r="H1890" i="1"/>
  <c r="V1889" i="1"/>
  <c r="U1889" i="1"/>
  <c r="T1889" i="1"/>
  <c r="H1889" i="1"/>
  <c r="V1888" i="1"/>
  <c r="U1888" i="1"/>
  <c r="T1888" i="1"/>
  <c r="H1888" i="1"/>
  <c r="V1887" i="1"/>
  <c r="U1887" i="1"/>
  <c r="T1887" i="1"/>
  <c r="H1887" i="1"/>
  <c r="V1886" i="1"/>
  <c r="U1886" i="1"/>
  <c r="T1886" i="1"/>
  <c r="H1886" i="1"/>
  <c r="V1885" i="1"/>
  <c r="U1885" i="1"/>
  <c r="T1885" i="1"/>
  <c r="H1885" i="1"/>
  <c r="V1884" i="1"/>
  <c r="U1884" i="1"/>
  <c r="T1884" i="1"/>
  <c r="H1884" i="1"/>
  <c r="V1883" i="1"/>
  <c r="U1883" i="1"/>
  <c r="T1883" i="1"/>
  <c r="H1883" i="1"/>
  <c r="V1882" i="1"/>
  <c r="U1882" i="1"/>
  <c r="T1882" i="1"/>
  <c r="H1882" i="1"/>
  <c r="V1881" i="1"/>
  <c r="U1881" i="1"/>
  <c r="T1881" i="1"/>
  <c r="H1881" i="1"/>
  <c r="V1880" i="1"/>
  <c r="U1880" i="1"/>
  <c r="T1880" i="1"/>
  <c r="H1880" i="1"/>
  <c r="V1879" i="1"/>
  <c r="U1879" i="1"/>
  <c r="T1879" i="1"/>
  <c r="H1879" i="1"/>
  <c r="V1878" i="1"/>
  <c r="U1878" i="1"/>
  <c r="T1878" i="1"/>
  <c r="H1878" i="1"/>
  <c r="V1877" i="1"/>
  <c r="U1877" i="1"/>
  <c r="T1877" i="1"/>
  <c r="H1877" i="1"/>
  <c r="V1876" i="1"/>
  <c r="U1876" i="1"/>
  <c r="T1876" i="1"/>
  <c r="H1876" i="1"/>
  <c r="V1875" i="1"/>
  <c r="U1875" i="1"/>
  <c r="T1875" i="1"/>
  <c r="H1875" i="1"/>
  <c r="V1874" i="1"/>
  <c r="U1874" i="1"/>
  <c r="T1874" i="1"/>
  <c r="H1874" i="1"/>
  <c r="V1873" i="1"/>
  <c r="U1873" i="1"/>
  <c r="T1873" i="1"/>
  <c r="H1873" i="1"/>
  <c r="V1872" i="1"/>
  <c r="U1872" i="1"/>
  <c r="T1872" i="1"/>
  <c r="H1872" i="1"/>
  <c r="V1871" i="1"/>
  <c r="U1871" i="1"/>
  <c r="T1871" i="1"/>
  <c r="H1871" i="1"/>
  <c r="V1870" i="1"/>
  <c r="U1870" i="1"/>
  <c r="T1870" i="1"/>
  <c r="H1870" i="1"/>
  <c r="V1869" i="1"/>
  <c r="U1869" i="1"/>
  <c r="T1869" i="1"/>
  <c r="H1869" i="1"/>
  <c r="V1868" i="1"/>
  <c r="U1868" i="1"/>
  <c r="T1868" i="1"/>
  <c r="H1868" i="1"/>
  <c r="V1867" i="1"/>
  <c r="U1867" i="1"/>
  <c r="T1867" i="1"/>
  <c r="H1867" i="1"/>
  <c r="V1866" i="1"/>
  <c r="U1866" i="1"/>
  <c r="T1866" i="1"/>
  <c r="H1866" i="1"/>
  <c r="V1865" i="1"/>
  <c r="U1865" i="1"/>
  <c r="T1865" i="1"/>
  <c r="H1865" i="1"/>
  <c r="V1864" i="1"/>
  <c r="U1864" i="1"/>
  <c r="T1864" i="1"/>
  <c r="H1864" i="1"/>
  <c r="V1863" i="1"/>
  <c r="U1863" i="1"/>
  <c r="T1863" i="1"/>
  <c r="H1863" i="1"/>
  <c r="V1862" i="1"/>
  <c r="U1862" i="1"/>
  <c r="T1862" i="1"/>
  <c r="H1862" i="1"/>
  <c r="V1861" i="1"/>
  <c r="U1861" i="1"/>
  <c r="T1861" i="1"/>
  <c r="H1861" i="1"/>
  <c r="V1860" i="1"/>
  <c r="U1860" i="1"/>
  <c r="T1860" i="1"/>
  <c r="H1860" i="1"/>
  <c r="V1859" i="1"/>
  <c r="U1859" i="1"/>
  <c r="T1859" i="1"/>
  <c r="H1859" i="1"/>
  <c r="V1858" i="1"/>
  <c r="U1858" i="1"/>
  <c r="T1858" i="1"/>
  <c r="H1858" i="1"/>
  <c r="V1857" i="1"/>
  <c r="U1857" i="1"/>
  <c r="T1857" i="1"/>
  <c r="H1857" i="1"/>
  <c r="V1856" i="1"/>
  <c r="U1856" i="1"/>
  <c r="T1856" i="1"/>
  <c r="H1856" i="1"/>
  <c r="V1855" i="1"/>
  <c r="U1855" i="1"/>
  <c r="T1855" i="1"/>
  <c r="H1855" i="1"/>
  <c r="V1854" i="1"/>
  <c r="U1854" i="1"/>
  <c r="T1854" i="1"/>
  <c r="H1854" i="1"/>
  <c r="V1853" i="1"/>
  <c r="U1853" i="1"/>
  <c r="T1853" i="1"/>
  <c r="H1853" i="1"/>
  <c r="V1852" i="1"/>
  <c r="U1852" i="1"/>
  <c r="T1852" i="1"/>
  <c r="H1852" i="1"/>
  <c r="V1851" i="1"/>
  <c r="U1851" i="1"/>
  <c r="T1851" i="1"/>
  <c r="H1851" i="1"/>
  <c r="V1850" i="1"/>
  <c r="U1850" i="1"/>
  <c r="T1850" i="1"/>
  <c r="H1850" i="1"/>
  <c r="V1849" i="1"/>
  <c r="U1849" i="1"/>
  <c r="T1849" i="1"/>
  <c r="H1849" i="1"/>
  <c r="V1848" i="1"/>
  <c r="U1848" i="1"/>
  <c r="T1848" i="1"/>
  <c r="H1848" i="1"/>
  <c r="V1847" i="1"/>
  <c r="U1847" i="1"/>
  <c r="T1847" i="1"/>
  <c r="H1847" i="1"/>
  <c r="V1846" i="1"/>
  <c r="U1846" i="1"/>
  <c r="T1846" i="1"/>
  <c r="H1846" i="1"/>
  <c r="V1845" i="1"/>
  <c r="U1845" i="1"/>
  <c r="T1845" i="1"/>
  <c r="H1845" i="1"/>
  <c r="V1844" i="1"/>
  <c r="U1844" i="1"/>
  <c r="T1844" i="1"/>
  <c r="H1844" i="1"/>
  <c r="V1843" i="1"/>
  <c r="U1843" i="1"/>
  <c r="T1843" i="1"/>
  <c r="H1843" i="1"/>
  <c r="V1842" i="1"/>
  <c r="U1842" i="1"/>
  <c r="T1842" i="1"/>
  <c r="H1842" i="1"/>
  <c r="V1841" i="1"/>
  <c r="U1841" i="1"/>
  <c r="T1841" i="1"/>
  <c r="H1841" i="1"/>
  <c r="V1840" i="1"/>
  <c r="U1840" i="1"/>
  <c r="T1840" i="1"/>
  <c r="H1840" i="1"/>
  <c r="V1839" i="1"/>
  <c r="U1839" i="1"/>
  <c r="T1839" i="1"/>
  <c r="H1839" i="1"/>
  <c r="V1838" i="1"/>
  <c r="U1838" i="1"/>
  <c r="T1838" i="1"/>
  <c r="H1838" i="1"/>
  <c r="V1837" i="1"/>
  <c r="U1837" i="1"/>
  <c r="T1837" i="1"/>
  <c r="H1837" i="1"/>
  <c r="V1836" i="1"/>
  <c r="U1836" i="1"/>
  <c r="T1836" i="1"/>
  <c r="H1836" i="1"/>
  <c r="V1835" i="1"/>
  <c r="U1835" i="1"/>
  <c r="T1835" i="1"/>
  <c r="H1835" i="1"/>
  <c r="V1834" i="1"/>
  <c r="U1834" i="1"/>
  <c r="T1834" i="1"/>
  <c r="H1834" i="1"/>
  <c r="V1833" i="1"/>
  <c r="U1833" i="1"/>
  <c r="T1833" i="1"/>
  <c r="H1833" i="1"/>
  <c r="V1832" i="1"/>
  <c r="U1832" i="1"/>
  <c r="T1832" i="1"/>
  <c r="H1832" i="1"/>
  <c r="V1831" i="1"/>
  <c r="U1831" i="1"/>
  <c r="T1831" i="1"/>
  <c r="H1831" i="1"/>
  <c r="V1830" i="1"/>
  <c r="U1830" i="1"/>
  <c r="T1830" i="1"/>
  <c r="H1830" i="1"/>
  <c r="V1829" i="1"/>
  <c r="U1829" i="1"/>
  <c r="T1829" i="1"/>
  <c r="H1829" i="1"/>
  <c r="V1828" i="1"/>
  <c r="U1828" i="1"/>
  <c r="T1828" i="1"/>
  <c r="H1828" i="1"/>
  <c r="V1827" i="1"/>
  <c r="U1827" i="1"/>
  <c r="T1827" i="1"/>
  <c r="H1827" i="1"/>
  <c r="V1826" i="1"/>
  <c r="U1826" i="1"/>
  <c r="T1826" i="1"/>
  <c r="H1826" i="1"/>
  <c r="V1825" i="1"/>
  <c r="U1825" i="1"/>
  <c r="T1825" i="1"/>
  <c r="H1825" i="1"/>
  <c r="V1824" i="1"/>
  <c r="U1824" i="1"/>
  <c r="T1824" i="1"/>
  <c r="H1824" i="1"/>
  <c r="V1823" i="1"/>
  <c r="U1823" i="1"/>
  <c r="T1823" i="1"/>
  <c r="H1823" i="1"/>
  <c r="V1822" i="1"/>
  <c r="U1822" i="1"/>
  <c r="T1822" i="1"/>
  <c r="H1822" i="1"/>
  <c r="V1821" i="1"/>
  <c r="U1821" i="1"/>
  <c r="T1821" i="1"/>
  <c r="H1821" i="1"/>
  <c r="V1820" i="1"/>
  <c r="U1820" i="1"/>
  <c r="T1820" i="1"/>
  <c r="H1820" i="1"/>
  <c r="V1819" i="1"/>
  <c r="U1819" i="1"/>
  <c r="T1819" i="1"/>
  <c r="H1819" i="1"/>
  <c r="V1818" i="1"/>
  <c r="U1818" i="1"/>
  <c r="T1818" i="1"/>
  <c r="H1818" i="1"/>
  <c r="V1817" i="1"/>
  <c r="U1817" i="1"/>
  <c r="T1817" i="1"/>
  <c r="H1817" i="1"/>
  <c r="V1816" i="1"/>
  <c r="U1816" i="1"/>
  <c r="T1816" i="1"/>
  <c r="H1816" i="1"/>
  <c r="V1815" i="1"/>
  <c r="U1815" i="1"/>
  <c r="T1815" i="1"/>
  <c r="H1815" i="1"/>
  <c r="V1814" i="1"/>
  <c r="U1814" i="1"/>
  <c r="T1814" i="1"/>
  <c r="H1814" i="1"/>
  <c r="V1813" i="1"/>
  <c r="U1813" i="1"/>
  <c r="T1813" i="1"/>
  <c r="H1813" i="1"/>
  <c r="V1812" i="1"/>
  <c r="U1812" i="1"/>
  <c r="T1812" i="1"/>
  <c r="H1812" i="1"/>
  <c r="V1811" i="1"/>
  <c r="U1811" i="1"/>
  <c r="T1811" i="1"/>
  <c r="H1811" i="1"/>
  <c r="V1810" i="1"/>
  <c r="U1810" i="1"/>
  <c r="T1810" i="1"/>
  <c r="H1810" i="1"/>
  <c r="V1809" i="1"/>
  <c r="U1809" i="1"/>
  <c r="T1809" i="1"/>
  <c r="H1809" i="1"/>
  <c r="V1808" i="1"/>
  <c r="U1808" i="1"/>
  <c r="T1808" i="1"/>
  <c r="H1808" i="1"/>
  <c r="V1807" i="1"/>
  <c r="U1807" i="1"/>
  <c r="T1807" i="1"/>
  <c r="H1807" i="1"/>
  <c r="V1806" i="1"/>
  <c r="U1806" i="1"/>
  <c r="T1806" i="1"/>
  <c r="H1806" i="1"/>
  <c r="V1805" i="1"/>
  <c r="U1805" i="1"/>
  <c r="T1805" i="1"/>
  <c r="H1805" i="1"/>
  <c r="V1804" i="1"/>
  <c r="U1804" i="1"/>
  <c r="T1804" i="1"/>
  <c r="H1804" i="1"/>
  <c r="V1803" i="1"/>
  <c r="U1803" i="1"/>
  <c r="T1803" i="1"/>
  <c r="H1803" i="1"/>
  <c r="V1802" i="1"/>
  <c r="U1802" i="1"/>
  <c r="T1802" i="1"/>
  <c r="H1802" i="1"/>
  <c r="V1801" i="1"/>
  <c r="U1801" i="1"/>
  <c r="T1801" i="1"/>
  <c r="H1801" i="1"/>
  <c r="V1800" i="1"/>
  <c r="U1800" i="1"/>
  <c r="T1800" i="1"/>
  <c r="H1800" i="1"/>
  <c r="V1799" i="1"/>
  <c r="U1799" i="1"/>
  <c r="T1799" i="1"/>
  <c r="H1799" i="1"/>
  <c r="V1798" i="1"/>
  <c r="U1798" i="1"/>
  <c r="T1798" i="1"/>
  <c r="H1798" i="1"/>
  <c r="V1797" i="1"/>
  <c r="U1797" i="1"/>
  <c r="T1797" i="1"/>
  <c r="H1797" i="1"/>
  <c r="V1796" i="1"/>
  <c r="U1796" i="1"/>
  <c r="T1796" i="1"/>
  <c r="H1796" i="1"/>
  <c r="V1795" i="1"/>
  <c r="U1795" i="1"/>
  <c r="T1795" i="1"/>
  <c r="H1795" i="1"/>
  <c r="V1794" i="1"/>
  <c r="U1794" i="1"/>
  <c r="T1794" i="1"/>
  <c r="H1794" i="1"/>
  <c r="V1793" i="1"/>
  <c r="U1793" i="1"/>
  <c r="T1793" i="1"/>
  <c r="H1793" i="1"/>
  <c r="V1792" i="1"/>
  <c r="U1792" i="1"/>
  <c r="T1792" i="1"/>
  <c r="H1792" i="1"/>
  <c r="V1791" i="1"/>
  <c r="U1791" i="1"/>
  <c r="T1791" i="1"/>
  <c r="H1791" i="1"/>
  <c r="V1790" i="1"/>
  <c r="U1790" i="1"/>
  <c r="T1790" i="1"/>
  <c r="H1790" i="1"/>
  <c r="V1789" i="1"/>
  <c r="U1789" i="1"/>
  <c r="T1789" i="1"/>
  <c r="H1789" i="1"/>
  <c r="V1788" i="1"/>
  <c r="U1788" i="1"/>
  <c r="T1788" i="1"/>
  <c r="H1788" i="1"/>
  <c r="V1787" i="1"/>
  <c r="U1787" i="1"/>
  <c r="T1787" i="1"/>
  <c r="H1787" i="1"/>
  <c r="V1786" i="1"/>
  <c r="U1786" i="1"/>
  <c r="T1786" i="1"/>
  <c r="H1786" i="1"/>
  <c r="V1785" i="1"/>
  <c r="U1785" i="1"/>
  <c r="T1785" i="1"/>
  <c r="H1785" i="1"/>
  <c r="V1784" i="1"/>
  <c r="U1784" i="1"/>
  <c r="T1784" i="1"/>
  <c r="H1784" i="1"/>
  <c r="V1783" i="1"/>
  <c r="U1783" i="1"/>
  <c r="T1783" i="1"/>
  <c r="H1783" i="1"/>
  <c r="V1782" i="1"/>
  <c r="U1782" i="1"/>
  <c r="T1782" i="1"/>
  <c r="H1782" i="1"/>
  <c r="V1781" i="1"/>
  <c r="U1781" i="1"/>
  <c r="T1781" i="1"/>
  <c r="H1781" i="1"/>
  <c r="V1780" i="1"/>
  <c r="U1780" i="1"/>
  <c r="T1780" i="1"/>
  <c r="H1780" i="1"/>
  <c r="V1779" i="1"/>
  <c r="U1779" i="1"/>
  <c r="T1779" i="1"/>
  <c r="H1779" i="1"/>
  <c r="V1778" i="1"/>
  <c r="U1778" i="1"/>
  <c r="T1778" i="1"/>
  <c r="H1778" i="1"/>
  <c r="V1777" i="1"/>
  <c r="U1777" i="1"/>
  <c r="T1777" i="1"/>
  <c r="H1777" i="1"/>
  <c r="V1776" i="1"/>
  <c r="U1776" i="1"/>
  <c r="T1776" i="1"/>
  <c r="H1776" i="1"/>
  <c r="V1775" i="1"/>
  <c r="U1775" i="1"/>
  <c r="T1775" i="1"/>
  <c r="H1775" i="1"/>
  <c r="V1774" i="1"/>
  <c r="U1774" i="1"/>
  <c r="T1774" i="1"/>
  <c r="H1774" i="1"/>
  <c r="V1773" i="1"/>
  <c r="U1773" i="1"/>
  <c r="T1773" i="1"/>
  <c r="H1773" i="1"/>
  <c r="V1772" i="1"/>
  <c r="U1772" i="1"/>
  <c r="T1772" i="1"/>
  <c r="H1772" i="1"/>
  <c r="V1771" i="1"/>
  <c r="U1771" i="1"/>
  <c r="T1771" i="1"/>
  <c r="H1771" i="1"/>
  <c r="V1770" i="1"/>
  <c r="U1770" i="1"/>
  <c r="T1770" i="1"/>
  <c r="H1770" i="1"/>
  <c r="V1769" i="1"/>
  <c r="U1769" i="1"/>
  <c r="T1769" i="1"/>
  <c r="H1769" i="1"/>
  <c r="V1768" i="1"/>
  <c r="U1768" i="1"/>
  <c r="T1768" i="1"/>
  <c r="H1768" i="1"/>
  <c r="V1767" i="1"/>
  <c r="U1767" i="1"/>
  <c r="T1767" i="1"/>
  <c r="H1767" i="1"/>
  <c r="V1766" i="1"/>
  <c r="U1766" i="1"/>
  <c r="T1766" i="1"/>
  <c r="H1766" i="1"/>
  <c r="V1765" i="1"/>
  <c r="U1765" i="1"/>
  <c r="T1765" i="1"/>
  <c r="H1765" i="1"/>
  <c r="V1764" i="1"/>
  <c r="U1764" i="1"/>
  <c r="T1764" i="1"/>
  <c r="H1764" i="1"/>
  <c r="V1763" i="1"/>
  <c r="U1763" i="1"/>
  <c r="T1763" i="1"/>
  <c r="H1763" i="1"/>
  <c r="V1762" i="1"/>
  <c r="U1762" i="1"/>
  <c r="T1762" i="1"/>
  <c r="H1762" i="1"/>
  <c r="V1761" i="1"/>
  <c r="U1761" i="1"/>
  <c r="T1761" i="1"/>
  <c r="H1761" i="1"/>
  <c r="V1760" i="1"/>
  <c r="U1760" i="1"/>
  <c r="T1760" i="1"/>
  <c r="H1760" i="1"/>
  <c r="V1759" i="1"/>
  <c r="U1759" i="1"/>
  <c r="T1759" i="1"/>
  <c r="H1759" i="1"/>
  <c r="V1758" i="1"/>
  <c r="U1758" i="1"/>
  <c r="T1758" i="1"/>
  <c r="H1758" i="1"/>
  <c r="V1757" i="1"/>
  <c r="U1757" i="1"/>
  <c r="T1757" i="1"/>
  <c r="H1757" i="1"/>
  <c r="V1756" i="1"/>
  <c r="U1756" i="1"/>
  <c r="T1756" i="1"/>
  <c r="H1756" i="1"/>
  <c r="V1755" i="1"/>
  <c r="U1755" i="1"/>
  <c r="T1755" i="1"/>
  <c r="H1755" i="1"/>
  <c r="V1754" i="1"/>
  <c r="U1754" i="1"/>
  <c r="T1754" i="1"/>
  <c r="H1754" i="1"/>
  <c r="V1753" i="1"/>
  <c r="U1753" i="1"/>
  <c r="T1753" i="1"/>
  <c r="H1753" i="1"/>
  <c r="V1752" i="1"/>
  <c r="U1752" i="1"/>
  <c r="T1752" i="1"/>
  <c r="H1752" i="1"/>
  <c r="V1751" i="1"/>
  <c r="U1751" i="1"/>
  <c r="T1751" i="1"/>
  <c r="H1751" i="1"/>
  <c r="V1750" i="1"/>
  <c r="U1750" i="1"/>
  <c r="T1750" i="1"/>
  <c r="H1750" i="1"/>
  <c r="V1749" i="1"/>
  <c r="U1749" i="1"/>
  <c r="T1749" i="1"/>
  <c r="H1749" i="1"/>
  <c r="V1748" i="1"/>
  <c r="U1748" i="1"/>
  <c r="T1748" i="1"/>
  <c r="H1748" i="1"/>
  <c r="V1747" i="1"/>
  <c r="U1747" i="1"/>
  <c r="T1747" i="1"/>
  <c r="H1747" i="1"/>
  <c r="V1746" i="1"/>
  <c r="U1746" i="1"/>
  <c r="T1746" i="1"/>
  <c r="H1746" i="1"/>
  <c r="V1745" i="1"/>
  <c r="U1745" i="1"/>
  <c r="T1745" i="1"/>
  <c r="H1745" i="1"/>
  <c r="V1744" i="1"/>
  <c r="U1744" i="1"/>
  <c r="T1744" i="1"/>
  <c r="H1744" i="1"/>
  <c r="V1743" i="1"/>
  <c r="U1743" i="1"/>
  <c r="T1743" i="1"/>
  <c r="H1743" i="1"/>
  <c r="V1742" i="1"/>
  <c r="U1742" i="1"/>
  <c r="T1742" i="1"/>
  <c r="H1742" i="1"/>
  <c r="V1741" i="1"/>
  <c r="U1741" i="1"/>
  <c r="T1741" i="1"/>
  <c r="H1741" i="1"/>
  <c r="V1740" i="1"/>
  <c r="U1740" i="1"/>
  <c r="T1740" i="1"/>
  <c r="H1740" i="1"/>
  <c r="V1739" i="1"/>
  <c r="U1739" i="1"/>
  <c r="T1739" i="1"/>
  <c r="H1739" i="1"/>
  <c r="V1738" i="1"/>
  <c r="U1738" i="1"/>
  <c r="T1738" i="1"/>
  <c r="H1738" i="1"/>
  <c r="V1737" i="1"/>
  <c r="U1737" i="1"/>
  <c r="T1737" i="1"/>
  <c r="H1737" i="1"/>
  <c r="V1736" i="1"/>
  <c r="U1736" i="1"/>
  <c r="T1736" i="1"/>
  <c r="H1736" i="1"/>
  <c r="V1735" i="1"/>
  <c r="U1735" i="1"/>
  <c r="T1735" i="1"/>
  <c r="H1735" i="1"/>
  <c r="V1734" i="1"/>
  <c r="U1734" i="1"/>
  <c r="T1734" i="1"/>
  <c r="H1734" i="1"/>
  <c r="V1733" i="1"/>
  <c r="U1733" i="1"/>
  <c r="T1733" i="1"/>
  <c r="H1733" i="1"/>
  <c r="V1732" i="1"/>
  <c r="U1732" i="1"/>
  <c r="T1732" i="1"/>
  <c r="H1732" i="1"/>
  <c r="V1731" i="1"/>
  <c r="U1731" i="1"/>
  <c r="T1731" i="1"/>
  <c r="H1731" i="1"/>
  <c r="V1730" i="1"/>
  <c r="U1730" i="1"/>
  <c r="T1730" i="1"/>
  <c r="H1730" i="1"/>
  <c r="V1729" i="1"/>
  <c r="U1729" i="1"/>
  <c r="T1729" i="1"/>
  <c r="H1729" i="1"/>
  <c r="V1728" i="1"/>
  <c r="U1728" i="1"/>
  <c r="T1728" i="1"/>
  <c r="H1728" i="1"/>
  <c r="V1727" i="1"/>
  <c r="U1727" i="1"/>
  <c r="T1727" i="1"/>
  <c r="H1727" i="1"/>
  <c r="V1726" i="1"/>
  <c r="U1726" i="1"/>
  <c r="T1726" i="1"/>
  <c r="H1726" i="1"/>
  <c r="V1725" i="1"/>
  <c r="U1725" i="1"/>
  <c r="T1725" i="1"/>
  <c r="H1725" i="1"/>
  <c r="V1724" i="1"/>
  <c r="U1724" i="1"/>
  <c r="T1724" i="1"/>
  <c r="H1724" i="1"/>
  <c r="V1723" i="1"/>
  <c r="U1723" i="1"/>
  <c r="T1723" i="1"/>
  <c r="H1723" i="1"/>
  <c r="V1722" i="1"/>
  <c r="U1722" i="1"/>
  <c r="T1722" i="1"/>
  <c r="H1722" i="1"/>
  <c r="V1721" i="1"/>
  <c r="U1721" i="1"/>
  <c r="T1721" i="1"/>
  <c r="H1721" i="1"/>
  <c r="V1720" i="1"/>
  <c r="U1720" i="1"/>
  <c r="T1720" i="1"/>
  <c r="H1720" i="1"/>
  <c r="V1719" i="1"/>
  <c r="U1719" i="1"/>
  <c r="T1719" i="1"/>
  <c r="H1719" i="1"/>
  <c r="V1718" i="1"/>
  <c r="U1718" i="1"/>
  <c r="T1718" i="1"/>
  <c r="H1718" i="1"/>
  <c r="V1717" i="1"/>
  <c r="U1717" i="1"/>
  <c r="T1717" i="1"/>
  <c r="H1717" i="1"/>
  <c r="V1716" i="1"/>
  <c r="U1716" i="1"/>
  <c r="T1716" i="1"/>
  <c r="H1716" i="1"/>
  <c r="V1715" i="1"/>
  <c r="U1715" i="1"/>
  <c r="T1715" i="1"/>
  <c r="H1715" i="1"/>
  <c r="V1714" i="1"/>
  <c r="U1714" i="1"/>
  <c r="T1714" i="1"/>
  <c r="H1714" i="1"/>
  <c r="V1713" i="1"/>
  <c r="U1713" i="1"/>
  <c r="T1713" i="1"/>
  <c r="H1713" i="1"/>
  <c r="V1712" i="1"/>
  <c r="U1712" i="1"/>
  <c r="T1712" i="1"/>
  <c r="H1712" i="1"/>
  <c r="V1711" i="1"/>
  <c r="U1711" i="1"/>
  <c r="T1711" i="1"/>
  <c r="H1711" i="1"/>
  <c r="V1710" i="1"/>
  <c r="U1710" i="1"/>
  <c r="T1710" i="1"/>
  <c r="H1710" i="1"/>
  <c r="V1709" i="1"/>
  <c r="U1709" i="1"/>
  <c r="T1709" i="1"/>
  <c r="H1709" i="1"/>
  <c r="V1708" i="1"/>
  <c r="U1708" i="1"/>
  <c r="T1708" i="1"/>
  <c r="H1708" i="1"/>
  <c r="V1707" i="1"/>
  <c r="U1707" i="1"/>
  <c r="T1707" i="1"/>
  <c r="H1707" i="1"/>
  <c r="V1706" i="1"/>
  <c r="U1706" i="1"/>
  <c r="T1706" i="1"/>
  <c r="H1706" i="1"/>
  <c r="V1705" i="1"/>
  <c r="U1705" i="1"/>
  <c r="T1705" i="1"/>
  <c r="H1705" i="1"/>
  <c r="V1704" i="1"/>
  <c r="U1704" i="1"/>
  <c r="T1704" i="1"/>
  <c r="H1704" i="1"/>
  <c r="V1703" i="1"/>
  <c r="U1703" i="1"/>
  <c r="T1703" i="1"/>
  <c r="H1703" i="1"/>
  <c r="V1702" i="1"/>
  <c r="U1702" i="1"/>
  <c r="T1702" i="1"/>
  <c r="H1702" i="1"/>
  <c r="V1701" i="1"/>
  <c r="U1701" i="1"/>
  <c r="T1701" i="1"/>
  <c r="H1701" i="1"/>
  <c r="V1700" i="1"/>
  <c r="U1700" i="1"/>
  <c r="T1700" i="1"/>
  <c r="H1700" i="1"/>
  <c r="V1699" i="1"/>
  <c r="U1699" i="1"/>
  <c r="T1699" i="1"/>
  <c r="H1699" i="1"/>
  <c r="V1698" i="1"/>
  <c r="U1698" i="1"/>
  <c r="T1698" i="1"/>
  <c r="H1698" i="1"/>
  <c r="V1697" i="1"/>
  <c r="U1697" i="1"/>
  <c r="T1697" i="1"/>
  <c r="H1697" i="1"/>
  <c r="V1696" i="1"/>
  <c r="U1696" i="1"/>
  <c r="T1696" i="1"/>
  <c r="H1696" i="1"/>
  <c r="V1695" i="1"/>
  <c r="U1695" i="1"/>
  <c r="T1695" i="1"/>
  <c r="H1695" i="1"/>
  <c r="V1694" i="1"/>
  <c r="U1694" i="1"/>
  <c r="T1694" i="1"/>
  <c r="H1694" i="1"/>
  <c r="V1693" i="1"/>
  <c r="U1693" i="1"/>
  <c r="T1693" i="1"/>
  <c r="H1693" i="1"/>
  <c r="V1692" i="1"/>
  <c r="U1692" i="1"/>
  <c r="T1692" i="1"/>
  <c r="H1692" i="1"/>
  <c r="V1691" i="1"/>
  <c r="U1691" i="1"/>
  <c r="T1691" i="1"/>
  <c r="H1691" i="1"/>
  <c r="V1690" i="1"/>
  <c r="U1690" i="1"/>
  <c r="T1690" i="1"/>
  <c r="H1690" i="1"/>
  <c r="V1689" i="1"/>
  <c r="U1689" i="1"/>
  <c r="T1689" i="1"/>
  <c r="H1689" i="1"/>
  <c r="V1688" i="1"/>
  <c r="U1688" i="1"/>
  <c r="T1688" i="1"/>
  <c r="H1688" i="1"/>
  <c r="V1687" i="1"/>
  <c r="U1687" i="1"/>
  <c r="T1687" i="1"/>
  <c r="H1687" i="1"/>
  <c r="V1686" i="1"/>
  <c r="U1686" i="1"/>
  <c r="T1686" i="1"/>
  <c r="H1686" i="1"/>
  <c r="V1685" i="1"/>
  <c r="U1685" i="1"/>
  <c r="T1685" i="1"/>
  <c r="H1685" i="1"/>
  <c r="V1684" i="1"/>
  <c r="U1684" i="1"/>
  <c r="T1684" i="1"/>
  <c r="H1684" i="1"/>
  <c r="V1683" i="1"/>
  <c r="U1683" i="1"/>
  <c r="T1683" i="1"/>
  <c r="H1683" i="1"/>
  <c r="V1682" i="1"/>
  <c r="U1682" i="1"/>
  <c r="T1682" i="1"/>
  <c r="H1682" i="1"/>
  <c r="V1681" i="1"/>
  <c r="U1681" i="1"/>
  <c r="T1681" i="1"/>
  <c r="H1681" i="1"/>
  <c r="V1680" i="1"/>
  <c r="U1680" i="1"/>
  <c r="T1680" i="1"/>
  <c r="H1680" i="1"/>
  <c r="V1679" i="1"/>
  <c r="U1679" i="1"/>
  <c r="T1679" i="1"/>
  <c r="H1679" i="1"/>
  <c r="V1678" i="1"/>
  <c r="U1678" i="1"/>
  <c r="T1678" i="1"/>
  <c r="H1678" i="1"/>
  <c r="V1677" i="1"/>
  <c r="U1677" i="1"/>
  <c r="T1677" i="1"/>
  <c r="H1677" i="1"/>
  <c r="V1676" i="1"/>
  <c r="U1676" i="1"/>
  <c r="T1676" i="1"/>
  <c r="H1676" i="1"/>
  <c r="V1675" i="1"/>
  <c r="U1675" i="1"/>
  <c r="T1675" i="1"/>
  <c r="H1675" i="1"/>
  <c r="V1674" i="1"/>
  <c r="U1674" i="1"/>
  <c r="T1674" i="1"/>
  <c r="H1674" i="1"/>
  <c r="V1673" i="1"/>
  <c r="U1673" i="1"/>
  <c r="T1673" i="1"/>
  <c r="H1673" i="1"/>
  <c r="V1672" i="1"/>
  <c r="U1672" i="1"/>
  <c r="T1672" i="1"/>
  <c r="H1672" i="1"/>
  <c r="V1671" i="1"/>
  <c r="U1671" i="1"/>
  <c r="T1671" i="1"/>
  <c r="H1671" i="1"/>
  <c r="V1670" i="1"/>
  <c r="U1670" i="1"/>
  <c r="T1670" i="1"/>
  <c r="H1670" i="1"/>
  <c r="V1669" i="1"/>
  <c r="U1669" i="1"/>
  <c r="T1669" i="1"/>
  <c r="H1669" i="1"/>
  <c r="V1668" i="1"/>
  <c r="U1668" i="1"/>
  <c r="T1668" i="1"/>
  <c r="H1668" i="1"/>
  <c r="V1667" i="1"/>
  <c r="U1667" i="1"/>
  <c r="T1667" i="1"/>
  <c r="H1667" i="1"/>
  <c r="V1666" i="1"/>
  <c r="U1666" i="1"/>
  <c r="T1666" i="1"/>
  <c r="H1666" i="1"/>
  <c r="V1665" i="1"/>
  <c r="U1665" i="1"/>
  <c r="T1665" i="1"/>
  <c r="H1665" i="1"/>
  <c r="V1664" i="1"/>
  <c r="U1664" i="1"/>
  <c r="T1664" i="1"/>
  <c r="H1664" i="1"/>
  <c r="V1663" i="1"/>
  <c r="U1663" i="1"/>
  <c r="T1663" i="1"/>
  <c r="H1663" i="1"/>
  <c r="V1662" i="1"/>
  <c r="U1662" i="1"/>
  <c r="T1662" i="1"/>
  <c r="H1662" i="1"/>
  <c r="V1661" i="1"/>
  <c r="U1661" i="1"/>
  <c r="T1661" i="1"/>
  <c r="H1661" i="1"/>
  <c r="V1660" i="1"/>
  <c r="U1660" i="1"/>
  <c r="T1660" i="1"/>
  <c r="H1660" i="1"/>
  <c r="V1659" i="1"/>
  <c r="U1659" i="1"/>
  <c r="T1659" i="1"/>
  <c r="H1659" i="1"/>
  <c r="V1658" i="1"/>
  <c r="U1658" i="1"/>
  <c r="T1658" i="1"/>
  <c r="H1658" i="1"/>
  <c r="V1657" i="1"/>
  <c r="U1657" i="1"/>
  <c r="T1657" i="1"/>
  <c r="H1657" i="1"/>
  <c r="V1656" i="1"/>
  <c r="U1656" i="1"/>
  <c r="T1656" i="1"/>
  <c r="H1656" i="1"/>
  <c r="V1655" i="1"/>
  <c r="U1655" i="1"/>
  <c r="T1655" i="1"/>
  <c r="H1655" i="1"/>
  <c r="V1654" i="1"/>
  <c r="U1654" i="1"/>
  <c r="T1654" i="1"/>
  <c r="H1654" i="1"/>
  <c r="V1653" i="1"/>
  <c r="U1653" i="1"/>
  <c r="T1653" i="1"/>
  <c r="H1653" i="1"/>
  <c r="V1652" i="1"/>
  <c r="U1652" i="1"/>
  <c r="T1652" i="1"/>
  <c r="H1652" i="1"/>
  <c r="V1651" i="1"/>
  <c r="U1651" i="1"/>
  <c r="T1651" i="1"/>
  <c r="H1651" i="1"/>
  <c r="V1650" i="1"/>
  <c r="U1650" i="1"/>
  <c r="T1650" i="1"/>
  <c r="H1650" i="1"/>
  <c r="V1649" i="1"/>
  <c r="U1649" i="1"/>
  <c r="T1649" i="1"/>
  <c r="H1649" i="1"/>
  <c r="V1648" i="1"/>
  <c r="U1648" i="1"/>
  <c r="T1648" i="1"/>
  <c r="H1648" i="1"/>
  <c r="V1647" i="1"/>
  <c r="U1647" i="1"/>
  <c r="T1647" i="1"/>
  <c r="H1647" i="1"/>
  <c r="V1646" i="1"/>
  <c r="U1646" i="1"/>
  <c r="T1646" i="1"/>
  <c r="H1646" i="1"/>
  <c r="V1645" i="1"/>
  <c r="U1645" i="1"/>
  <c r="T1645" i="1"/>
  <c r="H1645" i="1"/>
  <c r="V1644" i="1"/>
  <c r="U1644" i="1"/>
  <c r="T1644" i="1"/>
  <c r="H1644" i="1"/>
  <c r="V1643" i="1"/>
  <c r="U1643" i="1"/>
  <c r="T1643" i="1"/>
  <c r="H1643" i="1"/>
  <c r="V1642" i="1"/>
  <c r="U1642" i="1"/>
  <c r="T1642" i="1"/>
  <c r="H1642" i="1"/>
  <c r="V1641" i="1"/>
  <c r="U1641" i="1"/>
  <c r="T1641" i="1"/>
  <c r="H1641" i="1"/>
  <c r="V1640" i="1"/>
  <c r="U1640" i="1"/>
  <c r="T1640" i="1"/>
  <c r="H1640" i="1"/>
  <c r="V1639" i="1"/>
  <c r="U1639" i="1"/>
  <c r="T1639" i="1"/>
  <c r="H1639" i="1"/>
  <c r="V1638" i="1"/>
  <c r="U1638" i="1"/>
  <c r="T1638" i="1"/>
  <c r="H1638" i="1"/>
  <c r="V1637" i="1"/>
  <c r="U1637" i="1"/>
  <c r="T1637" i="1"/>
  <c r="H1637" i="1"/>
  <c r="V1636" i="1"/>
  <c r="U1636" i="1"/>
  <c r="T1636" i="1"/>
  <c r="H1636" i="1"/>
  <c r="V1635" i="1"/>
  <c r="U1635" i="1"/>
  <c r="T1635" i="1"/>
  <c r="H1635" i="1"/>
  <c r="V1634" i="1"/>
  <c r="U1634" i="1"/>
  <c r="T1634" i="1"/>
  <c r="H1634" i="1"/>
  <c r="V1633" i="1"/>
  <c r="U1633" i="1"/>
  <c r="T1633" i="1"/>
  <c r="H1633" i="1"/>
  <c r="V1632" i="1"/>
  <c r="U1632" i="1"/>
  <c r="T1632" i="1"/>
  <c r="H1632" i="1"/>
  <c r="V1631" i="1"/>
  <c r="U1631" i="1"/>
  <c r="T1631" i="1"/>
  <c r="H1631" i="1"/>
  <c r="V1630" i="1"/>
  <c r="U1630" i="1"/>
  <c r="T1630" i="1"/>
  <c r="H1630" i="1"/>
  <c r="V1629" i="1"/>
  <c r="U1629" i="1"/>
  <c r="T1629" i="1"/>
  <c r="H1629" i="1"/>
  <c r="V1628" i="1"/>
  <c r="U1628" i="1"/>
  <c r="T1628" i="1"/>
  <c r="H1628" i="1"/>
  <c r="V1627" i="1"/>
  <c r="U1627" i="1"/>
  <c r="T1627" i="1"/>
  <c r="H1627" i="1"/>
  <c r="V1626" i="1"/>
  <c r="U1626" i="1"/>
  <c r="T1626" i="1"/>
  <c r="H1626" i="1"/>
  <c r="V1625" i="1"/>
  <c r="U1625" i="1"/>
  <c r="T1625" i="1"/>
  <c r="H1625" i="1"/>
  <c r="V1624" i="1"/>
  <c r="U1624" i="1"/>
  <c r="T1624" i="1"/>
  <c r="H1624" i="1"/>
  <c r="V1623" i="1"/>
  <c r="U1623" i="1"/>
  <c r="T1623" i="1"/>
  <c r="H1623" i="1"/>
  <c r="V1622" i="1"/>
  <c r="U1622" i="1"/>
  <c r="T1622" i="1"/>
  <c r="H1622" i="1"/>
  <c r="V1621" i="1"/>
  <c r="U1621" i="1"/>
  <c r="T1621" i="1"/>
  <c r="H1621" i="1"/>
  <c r="V1620" i="1"/>
  <c r="U1620" i="1"/>
  <c r="T1620" i="1"/>
  <c r="H1620" i="1"/>
  <c r="V1619" i="1"/>
  <c r="U1619" i="1"/>
  <c r="T1619" i="1"/>
  <c r="H1619" i="1"/>
  <c r="V1618" i="1"/>
  <c r="U1618" i="1"/>
  <c r="T1618" i="1"/>
  <c r="H1618" i="1"/>
  <c r="V1617" i="1"/>
  <c r="U1617" i="1"/>
  <c r="T1617" i="1"/>
  <c r="H1617" i="1"/>
  <c r="V1616" i="1"/>
  <c r="U1616" i="1"/>
  <c r="T1616" i="1"/>
  <c r="H1616" i="1"/>
  <c r="V1615" i="1"/>
  <c r="U1615" i="1"/>
  <c r="T1615" i="1"/>
  <c r="H1615" i="1"/>
  <c r="V1614" i="1"/>
  <c r="U1614" i="1"/>
  <c r="T1614" i="1"/>
  <c r="H1614" i="1"/>
  <c r="V1613" i="1"/>
  <c r="U1613" i="1"/>
  <c r="T1613" i="1"/>
  <c r="H1613" i="1"/>
  <c r="V1612" i="1"/>
  <c r="U1612" i="1"/>
  <c r="T1612" i="1"/>
  <c r="H1612" i="1"/>
  <c r="V1611" i="1"/>
  <c r="U1611" i="1"/>
  <c r="T1611" i="1"/>
  <c r="H1611" i="1"/>
  <c r="V1610" i="1"/>
  <c r="U1610" i="1"/>
  <c r="T1610" i="1"/>
  <c r="H1610" i="1"/>
  <c r="V1609" i="1"/>
  <c r="U1609" i="1"/>
  <c r="T1609" i="1"/>
  <c r="H1609" i="1"/>
  <c r="V1608" i="1"/>
  <c r="U1608" i="1"/>
  <c r="T1608" i="1"/>
  <c r="H1608" i="1"/>
  <c r="V1607" i="1"/>
  <c r="U1607" i="1"/>
  <c r="T1607" i="1"/>
  <c r="H1607" i="1"/>
  <c r="V1606" i="1"/>
  <c r="U1606" i="1"/>
  <c r="T1606" i="1"/>
  <c r="H1606" i="1"/>
  <c r="V1605" i="1"/>
  <c r="U1605" i="1"/>
  <c r="T1605" i="1"/>
  <c r="H1605" i="1"/>
  <c r="V1604" i="1"/>
  <c r="U1604" i="1"/>
  <c r="T1604" i="1"/>
  <c r="H1604" i="1"/>
  <c r="V1603" i="1"/>
  <c r="U1603" i="1"/>
  <c r="T1603" i="1"/>
  <c r="H1603" i="1"/>
  <c r="V1602" i="1"/>
  <c r="U1602" i="1"/>
  <c r="T1602" i="1"/>
  <c r="H1602" i="1"/>
  <c r="V1601" i="1"/>
  <c r="U1601" i="1"/>
  <c r="T1601" i="1"/>
  <c r="H1601" i="1"/>
  <c r="V1600" i="1"/>
  <c r="U1600" i="1"/>
  <c r="T1600" i="1"/>
  <c r="H1600" i="1"/>
  <c r="V1599" i="1"/>
  <c r="U1599" i="1"/>
  <c r="T1599" i="1"/>
  <c r="H1599" i="1"/>
  <c r="V1598" i="1"/>
  <c r="U1598" i="1"/>
  <c r="T1598" i="1"/>
  <c r="H1598" i="1"/>
  <c r="V1597" i="1"/>
  <c r="U1597" i="1"/>
  <c r="T1597" i="1"/>
  <c r="H1597" i="1"/>
  <c r="V1596" i="1"/>
  <c r="U1596" i="1"/>
  <c r="T1596" i="1"/>
  <c r="H1596" i="1"/>
  <c r="V1595" i="1"/>
  <c r="U1595" i="1"/>
  <c r="T1595" i="1"/>
  <c r="H1595" i="1"/>
  <c r="V1594" i="1"/>
  <c r="U1594" i="1"/>
  <c r="T1594" i="1"/>
  <c r="H1594" i="1"/>
  <c r="V1593" i="1"/>
  <c r="U1593" i="1"/>
  <c r="T1593" i="1"/>
  <c r="H1593" i="1"/>
  <c r="V1592" i="1"/>
  <c r="U1592" i="1"/>
  <c r="T1592" i="1"/>
  <c r="H1592" i="1"/>
  <c r="V1591" i="1"/>
  <c r="U1591" i="1"/>
  <c r="T1591" i="1"/>
  <c r="H1591" i="1"/>
  <c r="V1590" i="1"/>
  <c r="U1590" i="1"/>
  <c r="T1590" i="1"/>
  <c r="H1590" i="1"/>
  <c r="V1589" i="1"/>
  <c r="U1589" i="1"/>
  <c r="T1589" i="1"/>
  <c r="H1589" i="1"/>
  <c r="V1588" i="1"/>
  <c r="U1588" i="1"/>
  <c r="T1588" i="1"/>
  <c r="H1588" i="1"/>
  <c r="V1587" i="1"/>
  <c r="U1587" i="1"/>
  <c r="T1587" i="1"/>
  <c r="H1587" i="1"/>
  <c r="V1586" i="1"/>
  <c r="U1586" i="1"/>
  <c r="T1586" i="1"/>
  <c r="H1586" i="1"/>
  <c r="V1585" i="1"/>
  <c r="U1585" i="1"/>
  <c r="T1585" i="1"/>
  <c r="H1585" i="1"/>
  <c r="V1584" i="1"/>
  <c r="U1584" i="1"/>
  <c r="T1584" i="1"/>
  <c r="H1584" i="1"/>
  <c r="V1583" i="1"/>
  <c r="U1583" i="1"/>
  <c r="T1583" i="1"/>
  <c r="H1583" i="1"/>
  <c r="V1582" i="1"/>
  <c r="U1582" i="1"/>
  <c r="T1582" i="1"/>
  <c r="H1582" i="1"/>
  <c r="V1581" i="1"/>
  <c r="U1581" i="1"/>
  <c r="T1581" i="1"/>
  <c r="H1581" i="1"/>
  <c r="V1580" i="1"/>
  <c r="U1580" i="1"/>
  <c r="T1580" i="1"/>
  <c r="H1580" i="1"/>
  <c r="V1579" i="1"/>
  <c r="U1579" i="1"/>
  <c r="T1579" i="1"/>
  <c r="H1579" i="1"/>
  <c r="V1578" i="1"/>
  <c r="U1578" i="1"/>
  <c r="T1578" i="1"/>
  <c r="H1578" i="1"/>
  <c r="V1577" i="1"/>
  <c r="U1577" i="1"/>
  <c r="T1577" i="1"/>
  <c r="H1577" i="1"/>
  <c r="V1576" i="1"/>
  <c r="U1576" i="1"/>
  <c r="T1576" i="1"/>
  <c r="H1576" i="1"/>
  <c r="V1575" i="1"/>
  <c r="U1575" i="1"/>
  <c r="T1575" i="1"/>
  <c r="H1575" i="1"/>
  <c r="V1574" i="1"/>
  <c r="U1574" i="1"/>
  <c r="T1574" i="1"/>
  <c r="H1574" i="1"/>
  <c r="V1573" i="1"/>
  <c r="U1573" i="1"/>
  <c r="T1573" i="1"/>
  <c r="H1573" i="1"/>
  <c r="V1572" i="1"/>
  <c r="U1572" i="1"/>
  <c r="T1572" i="1"/>
  <c r="H1572" i="1"/>
  <c r="V1571" i="1"/>
  <c r="U1571" i="1"/>
  <c r="T1571" i="1"/>
  <c r="H1571" i="1"/>
  <c r="V1570" i="1"/>
  <c r="U1570" i="1"/>
  <c r="T1570" i="1"/>
  <c r="H1570" i="1"/>
  <c r="V1569" i="1"/>
  <c r="U1569" i="1"/>
  <c r="T1569" i="1"/>
  <c r="H1569" i="1"/>
  <c r="V1568" i="1"/>
  <c r="U1568" i="1"/>
  <c r="T1568" i="1"/>
  <c r="H1568" i="1"/>
  <c r="V1567" i="1"/>
  <c r="U1567" i="1"/>
  <c r="T1567" i="1"/>
  <c r="H1567" i="1"/>
  <c r="V1566" i="1"/>
  <c r="U1566" i="1"/>
  <c r="T1566" i="1"/>
  <c r="H1566" i="1"/>
  <c r="V1565" i="1"/>
  <c r="U1565" i="1"/>
  <c r="T1565" i="1"/>
  <c r="H1565" i="1"/>
  <c r="V1564" i="1"/>
  <c r="U1564" i="1"/>
  <c r="T1564" i="1"/>
  <c r="H1564" i="1"/>
  <c r="V1563" i="1"/>
  <c r="U1563" i="1"/>
  <c r="T1563" i="1"/>
  <c r="H1563" i="1"/>
  <c r="V1562" i="1"/>
  <c r="U1562" i="1"/>
  <c r="T1562" i="1"/>
  <c r="H1562" i="1"/>
  <c r="V1561" i="1"/>
  <c r="U1561" i="1"/>
  <c r="T1561" i="1"/>
  <c r="H1561" i="1"/>
  <c r="V1560" i="1"/>
  <c r="U1560" i="1"/>
  <c r="T1560" i="1"/>
  <c r="H1560" i="1"/>
  <c r="V1559" i="1"/>
  <c r="U1559" i="1"/>
  <c r="T1559" i="1"/>
  <c r="H1559" i="1"/>
  <c r="V1558" i="1"/>
  <c r="U1558" i="1"/>
  <c r="T1558" i="1"/>
  <c r="H1558" i="1"/>
  <c r="V1557" i="1"/>
  <c r="U1557" i="1"/>
  <c r="T1557" i="1"/>
  <c r="H1557" i="1"/>
  <c r="V1556" i="1"/>
  <c r="U1556" i="1"/>
  <c r="T1556" i="1"/>
  <c r="H1556" i="1"/>
  <c r="V1555" i="1"/>
  <c r="U1555" i="1"/>
  <c r="T1555" i="1"/>
  <c r="H1555" i="1"/>
  <c r="V1554" i="1"/>
  <c r="U1554" i="1"/>
  <c r="T1554" i="1"/>
  <c r="H1554" i="1"/>
  <c r="V1553" i="1"/>
  <c r="U1553" i="1"/>
  <c r="T1553" i="1"/>
  <c r="H1553" i="1"/>
  <c r="V1552" i="1"/>
  <c r="U1552" i="1"/>
  <c r="T1552" i="1"/>
  <c r="H1552" i="1"/>
  <c r="V1551" i="1"/>
  <c r="U1551" i="1"/>
  <c r="T1551" i="1"/>
  <c r="H1551" i="1"/>
  <c r="V1550" i="1"/>
  <c r="U1550" i="1"/>
  <c r="T1550" i="1"/>
  <c r="H1550" i="1"/>
  <c r="V1549" i="1"/>
  <c r="U1549" i="1"/>
  <c r="T1549" i="1"/>
  <c r="H1549" i="1"/>
  <c r="V1548" i="1"/>
  <c r="U1548" i="1"/>
  <c r="T1548" i="1"/>
  <c r="H1548" i="1"/>
  <c r="V1547" i="1"/>
  <c r="U1547" i="1"/>
  <c r="T1547" i="1"/>
  <c r="H1547" i="1"/>
  <c r="V1546" i="1"/>
  <c r="U1546" i="1"/>
  <c r="T1546" i="1"/>
  <c r="H1546" i="1"/>
  <c r="V1545" i="1"/>
  <c r="U1545" i="1"/>
  <c r="T1545" i="1"/>
  <c r="H1545" i="1"/>
  <c r="V1544" i="1"/>
  <c r="U1544" i="1"/>
  <c r="T1544" i="1"/>
  <c r="H1544" i="1"/>
  <c r="V1543" i="1"/>
  <c r="U1543" i="1"/>
  <c r="T1543" i="1"/>
  <c r="H1543" i="1"/>
  <c r="V1542" i="1"/>
  <c r="U1542" i="1"/>
  <c r="T1542" i="1"/>
  <c r="H1542" i="1"/>
  <c r="V1541" i="1"/>
  <c r="U1541" i="1"/>
  <c r="T1541" i="1"/>
  <c r="H1541" i="1"/>
  <c r="V1540" i="1"/>
  <c r="U1540" i="1"/>
  <c r="T1540" i="1"/>
  <c r="H1540" i="1"/>
  <c r="V1539" i="1"/>
  <c r="U1539" i="1"/>
  <c r="T1539" i="1"/>
  <c r="H1539" i="1"/>
  <c r="V1538" i="1"/>
  <c r="U1538" i="1"/>
  <c r="T1538" i="1"/>
  <c r="H1538" i="1"/>
  <c r="V1537" i="1"/>
  <c r="U1537" i="1"/>
  <c r="T1537" i="1"/>
  <c r="H1537" i="1"/>
  <c r="V1536" i="1"/>
  <c r="U1536" i="1"/>
  <c r="T1536" i="1"/>
  <c r="H1536" i="1"/>
  <c r="V1535" i="1"/>
  <c r="U1535" i="1"/>
  <c r="T1535" i="1"/>
  <c r="H1535" i="1"/>
  <c r="V1534" i="1"/>
  <c r="U1534" i="1"/>
  <c r="T1534" i="1"/>
  <c r="H1534" i="1"/>
  <c r="V1533" i="1"/>
  <c r="U1533" i="1"/>
  <c r="T1533" i="1"/>
  <c r="H1533" i="1"/>
  <c r="V1532" i="1"/>
  <c r="U1532" i="1"/>
  <c r="T1532" i="1"/>
  <c r="H1532" i="1"/>
  <c r="V1531" i="1"/>
  <c r="U1531" i="1"/>
  <c r="T1531" i="1"/>
  <c r="H1531" i="1"/>
  <c r="V1530" i="1"/>
  <c r="U1530" i="1"/>
  <c r="T1530" i="1"/>
  <c r="H1530" i="1"/>
  <c r="V1529" i="1"/>
  <c r="U1529" i="1"/>
  <c r="T1529" i="1"/>
  <c r="H1529" i="1"/>
  <c r="V1528" i="1"/>
  <c r="U1528" i="1"/>
  <c r="T1528" i="1"/>
  <c r="H1528" i="1"/>
  <c r="V1527" i="1"/>
  <c r="U1527" i="1"/>
  <c r="T1527" i="1"/>
  <c r="H1527" i="1"/>
  <c r="V1526" i="1"/>
  <c r="U1526" i="1"/>
  <c r="T1526" i="1"/>
  <c r="H1526" i="1"/>
  <c r="V1525" i="1"/>
  <c r="U1525" i="1"/>
  <c r="T1525" i="1"/>
  <c r="H1525" i="1"/>
  <c r="V1524" i="1"/>
  <c r="U1524" i="1"/>
  <c r="T1524" i="1"/>
  <c r="H1524" i="1"/>
  <c r="V1523" i="1"/>
  <c r="U1523" i="1"/>
  <c r="T1523" i="1"/>
  <c r="H1523" i="1"/>
  <c r="V1522" i="1"/>
  <c r="U1522" i="1"/>
  <c r="T1522" i="1"/>
  <c r="H1522" i="1"/>
  <c r="V1521" i="1"/>
  <c r="U1521" i="1"/>
  <c r="T1521" i="1"/>
  <c r="H1521" i="1"/>
  <c r="V1520" i="1"/>
  <c r="U1520" i="1"/>
  <c r="T1520" i="1"/>
  <c r="H1520" i="1"/>
  <c r="V1519" i="1"/>
  <c r="U1519" i="1"/>
  <c r="T1519" i="1"/>
  <c r="H1519" i="1"/>
  <c r="V1518" i="1"/>
  <c r="U1518" i="1"/>
  <c r="T1518" i="1"/>
  <c r="H1518" i="1"/>
  <c r="V1517" i="1"/>
  <c r="U1517" i="1"/>
  <c r="T1517" i="1"/>
  <c r="H1517" i="1"/>
  <c r="V1516" i="1"/>
  <c r="U1516" i="1"/>
  <c r="T1516" i="1"/>
  <c r="H1516" i="1"/>
  <c r="V1515" i="1"/>
  <c r="U1515" i="1"/>
  <c r="T1515" i="1"/>
  <c r="H1515" i="1"/>
  <c r="V1514" i="1"/>
  <c r="U1514" i="1"/>
  <c r="T1514" i="1"/>
  <c r="H1514" i="1"/>
  <c r="V1513" i="1"/>
  <c r="U1513" i="1"/>
  <c r="T1513" i="1"/>
  <c r="H1513" i="1"/>
  <c r="V1512" i="1"/>
  <c r="U1512" i="1"/>
  <c r="T1512" i="1"/>
  <c r="H1512" i="1"/>
  <c r="V1511" i="1"/>
  <c r="U1511" i="1"/>
  <c r="T1511" i="1"/>
  <c r="H1511" i="1"/>
  <c r="V1510" i="1"/>
  <c r="U1510" i="1"/>
  <c r="T1510" i="1"/>
  <c r="H1510" i="1"/>
  <c r="V1509" i="1"/>
  <c r="U1509" i="1"/>
  <c r="T1509" i="1"/>
  <c r="H1509" i="1"/>
  <c r="V1508" i="1"/>
  <c r="U1508" i="1"/>
  <c r="T1508" i="1"/>
  <c r="H1508" i="1"/>
  <c r="V1507" i="1"/>
  <c r="U1507" i="1"/>
  <c r="T1507" i="1"/>
  <c r="H1507" i="1"/>
  <c r="V1506" i="1"/>
  <c r="U1506" i="1"/>
  <c r="T1506" i="1"/>
  <c r="H1506" i="1"/>
  <c r="V1505" i="1"/>
  <c r="U1505" i="1"/>
  <c r="T1505" i="1"/>
  <c r="H1505" i="1"/>
  <c r="V1504" i="1"/>
  <c r="U1504" i="1"/>
  <c r="T1504" i="1"/>
  <c r="H1504" i="1"/>
  <c r="V1503" i="1"/>
  <c r="U1503" i="1"/>
  <c r="T1503" i="1"/>
  <c r="H1503" i="1"/>
  <c r="V1502" i="1"/>
  <c r="U1502" i="1"/>
  <c r="T1502" i="1"/>
  <c r="H1502" i="1"/>
  <c r="V1501" i="1"/>
  <c r="U1501" i="1"/>
  <c r="T1501" i="1"/>
  <c r="H1501" i="1"/>
  <c r="V1500" i="1"/>
  <c r="U1500" i="1"/>
  <c r="T1500" i="1"/>
  <c r="H1500" i="1"/>
  <c r="V1499" i="1"/>
  <c r="U1499" i="1"/>
  <c r="T1499" i="1"/>
  <c r="H1499" i="1"/>
  <c r="V1498" i="1"/>
  <c r="U1498" i="1"/>
  <c r="T1498" i="1"/>
  <c r="H1498" i="1"/>
  <c r="V1497" i="1"/>
  <c r="U1497" i="1"/>
  <c r="T1497" i="1"/>
  <c r="H1497" i="1"/>
  <c r="V1496" i="1"/>
  <c r="U1496" i="1"/>
  <c r="T1496" i="1"/>
  <c r="H1496" i="1"/>
  <c r="V1495" i="1"/>
  <c r="U1495" i="1"/>
  <c r="T1495" i="1"/>
  <c r="H1495" i="1"/>
  <c r="V1494" i="1"/>
  <c r="U1494" i="1"/>
  <c r="T1494" i="1"/>
  <c r="H1494" i="1"/>
  <c r="V1493" i="1"/>
  <c r="U1493" i="1"/>
  <c r="T1493" i="1"/>
  <c r="H1493" i="1"/>
  <c r="V1492" i="1"/>
  <c r="U1492" i="1"/>
  <c r="T1492" i="1"/>
  <c r="H1492" i="1"/>
  <c r="V1491" i="1"/>
  <c r="U1491" i="1"/>
  <c r="T1491" i="1"/>
  <c r="H1491" i="1"/>
  <c r="V1490" i="1"/>
  <c r="U1490" i="1"/>
  <c r="T1490" i="1"/>
  <c r="H1490" i="1"/>
  <c r="V1489" i="1"/>
  <c r="U1489" i="1"/>
  <c r="T1489" i="1"/>
  <c r="H1489" i="1"/>
  <c r="V1488" i="1"/>
  <c r="U1488" i="1"/>
  <c r="T1488" i="1"/>
  <c r="H1488" i="1"/>
  <c r="V1487" i="1"/>
  <c r="U1487" i="1"/>
  <c r="T1487" i="1"/>
  <c r="H1487" i="1"/>
  <c r="V1486" i="1"/>
  <c r="U1486" i="1"/>
  <c r="T1486" i="1"/>
  <c r="H1486" i="1"/>
  <c r="V1485" i="1"/>
  <c r="U1485" i="1"/>
  <c r="T1485" i="1"/>
  <c r="H1485" i="1"/>
  <c r="V1484" i="1"/>
  <c r="U1484" i="1"/>
  <c r="T1484" i="1"/>
  <c r="H1484" i="1"/>
  <c r="V1483" i="1"/>
  <c r="U1483" i="1"/>
  <c r="T1483" i="1"/>
  <c r="H1483" i="1"/>
  <c r="V1482" i="1"/>
  <c r="U1482" i="1"/>
  <c r="T1482" i="1"/>
  <c r="H1482" i="1"/>
  <c r="V1481" i="1"/>
  <c r="U1481" i="1"/>
  <c r="T1481" i="1"/>
  <c r="H1481" i="1"/>
  <c r="V1480" i="1"/>
  <c r="U1480" i="1"/>
  <c r="T1480" i="1"/>
  <c r="H1480" i="1"/>
  <c r="V1479" i="1"/>
  <c r="U1479" i="1"/>
  <c r="T1479" i="1"/>
  <c r="H1479" i="1"/>
  <c r="V1478" i="1"/>
  <c r="U1478" i="1"/>
  <c r="T1478" i="1"/>
  <c r="H1478" i="1"/>
  <c r="V1477" i="1"/>
  <c r="U1477" i="1"/>
  <c r="T1477" i="1"/>
  <c r="H1477" i="1"/>
  <c r="V1476" i="1"/>
  <c r="U1476" i="1"/>
  <c r="T1476" i="1"/>
  <c r="H1476" i="1"/>
  <c r="V1475" i="1"/>
  <c r="U1475" i="1"/>
  <c r="T1475" i="1"/>
  <c r="H1475" i="1"/>
  <c r="V1474" i="1"/>
  <c r="U1474" i="1"/>
  <c r="T1474" i="1"/>
  <c r="H1474" i="1"/>
  <c r="V1473" i="1"/>
  <c r="U1473" i="1"/>
  <c r="T1473" i="1"/>
  <c r="H1473" i="1"/>
  <c r="V1472" i="1"/>
  <c r="U1472" i="1"/>
  <c r="T1472" i="1"/>
  <c r="H1472" i="1"/>
  <c r="V1471" i="1"/>
  <c r="U1471" i="1"/>
  <c r="T1471" i="1"/>
  <c r="H1471" i="1"/>
  <c r="V1470" i="1"/>
  <c r="U1470" i="1"/>
  <c r="T1470" i="1"/>
  <c r="H1470" i="1"/>
  <c r="V1469" i="1"/>
  <c r="U1469" i="1"/>
  <c r="T1469" i="1"/>
  <c r="H1469" i="1"/>
  <c r="V1468" i="1"/>
  <c r="U1468" i="1"/>
  <c r="T1468" i="1"/>
  <c r="H1468" i="1"/>
  <c r="V1467" i="1"/>
  <c r="U1467" i="1"/>
  <c r="T1467" i="1"/>
  <c r="H1467" i="1"/>
  <c r="V1466" i="1"/>
  <c r="U1466" i="1"/>
  <c r="T1466" i="1"/>
  <c r="H1466" i="1"/>
  <c r="V1465" i="1"/>
  <c r="U1465" i="1"/>
  <c r="T1465" i="1"/>
  <c r="H1465" i="1"/>
  <c r="V1464" i="1"/>
  <c r="U1464" i="1"/>
  <c r="T1464" i="1"/>
  <c r="H1464" i="1"/>
  <c r="V1463" i="1"/>
  <c r="U1463" i="1"/>
  <c r="T1463" i="1"/>
  <c r="H1463" i="1"/>
  <c r="V1462" i="1"/>
  <c r="U1462" i="1"/>
  <c r="T1462" i="1"/>
  <c r="H1462" i="1"/>
  <c r="V1461" i="1"/>
  <c r="U1461" i="1"/>
  <c r="T1461" i="1"/>
  <c r="H1461" i="1"/>
  <c r="V1460" i="1"/>
  <c r="U1460" i="1"/>
  <c r="T1460" i="1"/>
  <c r="H1460" i="1"/>
  <c r="V1459" i="1"/>
  <c r="U1459" i="1"/>
  <c r="T1459" i="1"/>
  <c r="H1459" i="1"/>
  <c r="V1458" i="1"/>
  <c r="U1458" i="1"/>
  <c r="T1458" i="1"/>
  <c r="H1458" i="1"/>
  <c r="V1457" i="1"/>
  <c r="U1457" i="1"/>
  <c r="T1457" i="1"/>
  <c r="H1457" i="1"/>
  <c r="V1456" i="1"/>
  <c r="U1456" i="1"/>
  <c r="T1456" i="1"/>
  <c r="H1456" i="1"/>
  <c r="V1455" i="1"/>
  <c r="U1455" i="1"/>
  <c r="T1455" i="1"/>
  <c r="H1455" i="1"/>
  <c r="V1454" i="1"/>
  <c r="U1454" i="1"/>
  <c r="T1454" i="1"/>
  <c r="H1454" i="1"/>
  <c r="V1453" i="1"/>
  <c r="U1453" i="1"/>
  <c r="T1453" i="1"/>
  <c r="H1453" i="1"/>
  <c r="V1452" i="1"/>
  <c r="U1452" i="1"/>
  <c r="T1452" i="1"/>
  <c r="H1452" i="1"/>
  <c r="V1451" i="1"/>
  <c r="U1451" i="1"/>
  <c r="T1451" i="1"/>
  <c r="H1451" i="1"/>
  <c r="V1450" i="1"/>
  <c r="U1450" i="1"/>
  <c r="T1450" i="1"/>
  <c r="H1450" i="1"/>
  <c r="V1449" i="1"/>
  <c r="U1449" i="1"/>
  <c r="T1449" i="1"/>
  <c r="H1449" i="1"/>
  <c r="V1448" i="1"/>
  <c r="U1448" i="1"/>
  <c r="T1448" i="1"/>
  <c r="H1448" i="1"/>
  <c r="V1447" i="1"/>
  <c r="U1447" i="1"/>
  <c r="T1447" i="1"/>
  <c r="H1447" i="1"/>
  <c r="V1446" i="1"/>
  <c r="U1446" i="1"/>
  <c r="T1446" i="1"/>
  <c r="H1446" i="1"/>
  <c r="V1445" i="1"/>
  <c r="U1445" i="1"/>
  <c r="T1445" i="1"/>
  <c r="H1445" i="1"/>
  <c r="V1444" i="1"/>
  <c r="U1444" i="1"/>
  <c r="T1444" i="1"/>
  <c r="H1444" i="1"/>
  <c r="V1443" i="1"/>
  <c r="U1443" i="1"/>
  <c r="T1443" i="1"/>
  <c r="H1443" i="1"/>
  <c r="V1442" i="1"/>
  <c r="U1442" i="1"/>
  <c r="T1442" i="1"/>
  <c r="H1442" i="1"/>
  <c r="V1441" i="1"/>
  <c r="U1441" i="1"/>
  <c r="T1441" i="1"/>
  <c r="H1441" i="1"/>
  <c r="V1440" i="1"/>
  <c r="U1440" i="1"/>
  <c r="T1440" i="1"/>
  <c r="H1440" i="1"/>
  <c r="V1439" i="1"/>
  <c r="U1439" i="1"/>
  <c r="T1439" i="1"/>
  <c r="H1439" i="1"/>
  <c r="V1438" i="1"/>
  <c r="U1438" i="1"/>
  <c r="T1438" i="1"/>
  <c r="H1438" i="1"/>
  <c r="V1437" i="1"/>
  <c r="U1437" i="1"/>
  <c r="T1437" i="1"/>
  <c r="H1437" i="1"/>
  <c r="V1436" i="1"/>
  <c r="U1436" i="1"/>
  <c r="T1436" i="1"/>
  <c r="H1436" i="1"/>
  <c r="V1435" i="1"/>
  <c r="U1435" i="1"/>
  <c r="T1435" i="1"/>
  <c r="H1435" i="1"/>
  <c r="V1434" i="1"/>
  <c r="U1434" i="1"/>
  <c r="T1434" i="1"/>
  <c r="H1434" i="1"/>
  <c r="V1433" i="1"/>
  <c r="U1433" i="1"/>
  <c r="T1433" i="1"/>
  <c r="H1433" i="1"/>
  <c r="V1432" i="1"/>
  <c r="U1432" i="1"/>
  <c r="T1432" i="1"/>
  <c r="H1432" i="1"/>
  <c r="V1431" i="1"/>
  <c r="U1431" i="1"/>
  <c r="T1431" i="1"/>
  <c r="H1431" i="1"/>
  <c r="V1430" i="1"/>
  <c r="U1430" i="1"/>
  <c r="T1430" i="1"/>
  <c r="H1430" i="1"/>
  <c r="V1429" i="1"/>
  <c r="U1429" i="1"/>
  <c r="T1429" i="1"/>
  <c r="H1429" i="1"/>
  <c r="V1428" i="1"/>
  <c r="U1428" i="1"/>
  <c r="T1428" i="1"/>
  <c r="H1428" i="1"/>
  <c r="V1427" i="1"/>
  <c r="U1427" i="1"/>
  <c r="T1427" i="1"/>
  <c r="H1427" i="1"/>
  <c r="V1426" i="1"/>
  <c r="U1426" i="1"/>
  <c r="T1426" i="1"/>
  <c r="H1426" i="1"/>
  <c r="V1425" i="1"/>
  <c r="U1425" i="1"/>
  <c r="T1425" i="1"/>
  <c r="H1425" i="1"/>
  <c r="V1424" i="1"/>
  <c r="U1424" i="1"/>
  <c r="T1424" i="1"/>
  <c r="H1424" i="1"/>
  <c r="V1423" i="1"/>
  <c r="U1423" i="1"/>
  <c r="T1423" i="1"/>
  <c r="H1423" i="1"/>
  <c r="V1422" i="1"/>
  <c r="U1422" i="1"/>
  <c r="T1422" i="1"/>
  <c r="H1422" i="1"/>
  <c r="V1421" i="1"/>
  <c r="U1421" i="1"/>
  <c r="T1421" i="1"/>
  <c r="H1421" i="1"/>
  <c r="V1420" i="1"/>
  <c r="U1420" i="1"/>
  <c r="T1420" i="1"/>
  <c r="H1420" i="1"/>
  <c r="V1419" i="1"/>
  <c r="U1419" i="1"/>
  <c r="T1419" i="1"/>
  <c r="H1419" i="1"/>
  <c r="V1418" i="1"/>
  <c r="U1418" i="1"/>
  <c r="T1418" i="1"/>
  <c r="H1418" i="1"/>
  <c r="V1417" i="1"/>
  <c r="U1417" i="1"/>
  <c r="T1417" i="1"/>
  <c r="H1417" i="1"/>
  <c r="V1416" i="1"/>
  <c r="U1416" i="1"/>
  <c r="T1416" i="1"/>
  <c r="H1416" i="1"/>
  <c r="V1415" i="1"/>
  <c r="U1415" i="1"/>
  <c r="T1415" i="1"/>
  <c r="H1415" i="1"/>
  <c r="V1414" i="1"/>
  <c r="U1414" i="1"/>
  <c r="T1414" i="1"/>
  <c r="H1414" i="1"/>
  <c r="V1413" i="1"/>
  <c r="U1413" i="1"/>
  <c r="T1413" i="1"/>
  <c r="H1413" i="1"/>
  <c r="V1412" i="1"/>
  <c r="U1412" i="1"/>
  <c r="T1412" i="1"/>
  <c r="H1412" i="1"/>
  <c r="V1411" i="1"/>
  <c r="U1411" i="1"/>
  <c r="T1411" i="1"/>
  <c r="H1411" i="1"/>
  <c r="V1410" i="1"/>
  <c r="U1410" i="1"/>
  <c r="T1410" i="1"/>
  <c r="H1410" i="1"/>
  <c r="V1409" i="1"/>
  <c r="U1409" i="1"/>
  <c r="T1409" i="1"/>
  <c r="H1409" i="1"/>
  <c r="V1408" i="1"/>
  <c r="U1408" i="1"/>
  <c r="T1408" i="1"/>
  <c r="H1408" i="1"/>
  <c r="V1407" i="1"/>
  <c r="U1407" i="1"/>
  <c r="T1407" i="1"/>
  <c r="H1407" i="1"/>
  <c r="V1406" i="1"/>
  <c r="U1406" i="1"/>
  <c r="T1406" i="1"/>
  <c r="H1406" i="1"/>
  <c r="V1405" i="1"/>
  <c r="U1405" i="1"/>
  <c r="T1405" i="1"/>
  <c r="H1405" i="1"/>
  <c r="V1404" i="1"/>
  <c r="U1404" i="1"/>
  <c r="T1404" i="1"/>
  <c r="H1404" i="1"/>
  <c r="V1403" i="1"/>
  <c r="U1403" i="1"/>
  <c r="T1403" i="1"/>
  <c r="H1403" i="1"/>
  <c r="V1402" i="1"/>
  <c r="U1402" i="1"/>
  <c r="T1402" i="1"/>
  <c r="H1402" i="1"/>
  <c r="V1401" i="1"/>
  <c r="U1401" i="1"/>
  <c r="T1401" i="1"/>
  <c r="H1401" i="1"/>
  <c r="V1400" i="1"/>
  <c r="U1400" i="1"/>
  <c r="T1400" i="1"/>
  <c r="H1400" i="1"/>
  <c r="V1399" i="1"/>
  <c r="U1399" i="1"/>
  <c r="T1399" i="1"/>
  <c r="H1399" i="1"/>
  <c r="V1398" i="1"/>
  <c r="U1398" i="1"/>
  <c r="T1398" i="1"/>
  <c r="H1398" i="1"/>
  <c r="V1397" i="1"/>
  <c r="U1397" i="1"/>
  <c r="T1397" i="1"/>
  <c r="H1397" i="1"/>
  <c r="V1396" i="1"/>
  <c r="U1396" i="1"/>
  <c r="T1396" i="1"/>
  <c r="H1396" i="1"/>
  <c r="V1395" i="1"/>
  <c r="U1395" i="1"/>
  <c r="T1395" i="1"/>
  <c r="H1395" i="1"/>
  <c r="V1394" i="1"/>
  <c r="U1394" i="1"/>
  <c r="T1394" i="1"/>
  <c r="H1394" i="1"/>
  <c r="V1393" i="1"/>
  <c r="U1393" i="1"/>
  <c r="T1393" i="1"/>
  <c r="H1393" i="1"/>
  <c r="V1392" i="1"/>
  <c r="U1392" i="1"/>
  <c r="T1392" i="1"/>
  <c r="H1392" i="1"/>
  <c r="V1391" i="1"/>
  <c r="U1391" i="1"/>
  <c r="T1391" i="1"/>
  <c r="H1391" i="1"/>
  <c r="V1390" i="1"/>
  <c r="U1390" i="1"/>
  <c r="T1390" i="1"/>
  <c r="H1390" i="1"/>
  <c r="V1389" i="1"/>
  <c r="U1389" i="1"/>
  <c r="T1389" i="1"/>
  <c r="H1389" i="1"/>
  <c r="V1388" i="1"/>
  <c r="U1388" i="1"/>
  <c r="T1388" i="1"/>
  <c r="H1388" i="1"/>
  <c r="V1387" i="1"/>
  <c r="U1387" i="1"/>
  <c r="T1387" i="1"/>
  <c r="H1387" i="1"/>
  <c r="V1386" i="1"/>
  <c r="U1386" i="1"/>
  <c r="T1386" i="1"/>
  <c r="H1386" i="1"/>
  <c r="V1385" i="1"/>
  <c r="U1385" i="1"/>
  <c r="T1385" i="1"/>
  <c r="H1385" i="1"/>
  <c r="V1384" i="1"/>
  <c r="U1384" i="1"/>
  <c r="T1384" i="1"/>
  <c r="H1384" i="1"/>
  <c r="V1383" i="1"/>
  <c r="U1383" i="1"/>
  <c r="T1383" i="1"/>
  <c r="H1383" i="1"/>
  <c r="V1382" i="1"/>
  <c r="U1382" i="1"/>
  <c r="T1382" i="1"/>
  <c r="H1382" i="1"/>
  <c r="V1381" i="1"/>
  <c r="U1381" i="1"/>
  <c r="T1381" i="1"/>
  <c r="H1381" i="1"/>
  <c r="V1380" i="1"/>
  <c r="U1380" i="1"/>
  <c r="T1380" i="1"/>
  <c r="H1380" i="1"/>
  <c r="V1379" i="1"/>
  <c r="U1379" i="1"/>
  <c r="T1379" i="1"/>
  <c r="H1379" i="1"/>
  <c r="V1378" i="1"/>
  <c r="U1378" i="1"/>
  <c r="T1378" i="1"/>
  <c r="H1378" i="1"/>
  <c r="V1377" i="1"/>
  <c r="U1377" i="1"/>
  <c r="T1377" i="1"/>
  <c r="H1377" i="1"/>
  <c r="V1376" i="1"/>
  <c r="U1376" i="1"/>
  <c r="T1376" i="1"/>
  <c r="H1376" i="1"/>
  <c r="V1375" i="1"/>
  <c r="U1375" i="1"/>
  <c r="T1375" i="1"/>
  <c r="H1375" i="1"/>
  <c r="V1374" i="1"/>
  <c r="U1374" i="1"/>
  <c r="T1374" i="1"/>
  <c r="H1374" i="1"/>
  <c r="V1373" i="1"/>
  <c r="U1373" i="1"/>
  <c r="T1373" i="1"/>
  <c r="H1373" i="1"/>
  <c r="V1372" i="1"/>
  <c r="U1372" i="1"/>
  <c r="T1372" i="1"/>
  <c r="H1372" i="1"/>
  <c r="V1371" i="1"/>
  <c r="U1371" i="1"/>
  <c r="T1371" i="1"/>
  <c r="H1371" i="1"/>
  <c r="V1370" i="1"/>
  <c r="U1370" i="1"/>
  <c r="T1370" i="1"/>
  <c r="H1370" i="1"/>
  <c r="V1369" i="1"/>
  <c r="U1369" i="1"/>
  <c r="T1369" i="1"/>
  <c r="H1369" i="1"/>
  <c r="V1368" i="1"/>
  <c r="U1368" i="1"/>
  <c r="T1368" i="1"/>
  <c r="H1368" i="1"/>
  <c r="V1367" i="1"/>
  <c r="U1367" i="1"/>
  <c r="T1367" i="1"/>
  <c r="H1367" i="1"/>
  <c r="V1366" i="1"/>
  <c r="U1366" i="1"/>
  <c r="T1366" i="1"/>
  <c r="H1366" i="1"/>
  <c r="V1365" i="1"/>
  <c r="U1365" i="1"/>
  <c r="T1365" i="1"/>
  <c r="H1365" i="1"/>
  <c r="V1364" i="1"/>
  <c r="U1364" i="1"/>
  <c r="T1364" i="1"/>
  <c r="H1364" i="1"/>
  <c r="V1363" i="1"/>
  <c r="U1363" i="1"/>
  <c r="T1363" i="1"/>
  <c r="H1363" i="1"/>
  <c r="V1362" i="1"/>
  <c r="U1362" i="1"/>
  <c r="T1362" i="1"/>
  <c r="H1362" i="1"/>
  <c r="V1361" i="1"/>
  <c r="U1361" i="1"/>
  <c r="T1361" i="1"/>
  <c r="H1361" i="1"/>
  <c r="V1360" i="1"/>
  <c r="U1360" i="1"/>
  <c r="T1360" i="1"/>
  <c r="H1360" i="1"/>
  <c r="V1359" i="1"/>
  <c r="U1359" i="1"/>
  <c r="T1359" i="1"/>
  <c r="H1359" i="1"/>
  <c r="V1358" i="1"/>
  <c r="U1358" i="1"/>
  <c r="T1358" i="1"/>
  <c r="H1358" i="1"/>
  <c r="V1357" i="1"/>
  <c r="U1357" i="1"/>
  <c r="T1357" i="1"/>
  <c r="H1357" i="1"/>
  <c r="V1356" i="1"/>
  <c r="U1356" i="1"/>
  <c r="T1356" i="1"/>
  <c r="H1356" i="1"/>
  <c r="V1355" i="1"/>
  <c r="U1355" i="1"/>
  <c r="T1355" i="1"/>
  <c r="H1355" i="1"/>
  <c r="V1354" i="1"/>
  <c r="U1354" i="1"/>
  <c r="T1354" i="1"/>
  <c r="H1354" i="1"/>
  <c r="V1353" i="1"/>
  <c r="U1353" i="1"/>
  <c r="T1353" i="1"/>
  <c r="H1353" i="1"/>
  <c r="V1352" i="1"/>
  <c r="U1352" i="1"/>
  <c r="T1352" i="1"/>
  <c r="H1352" i="1"/>
  <c r="V1351" i="1"/>
  <c r="U1351" i="1"/>
  <c r="T1351" i="1"/>
  <c r="H1351" i="1"/>
  <c r="V1350" i="1"/>
  <c r="U1350" i="1"/>
  <c r="T1350" i="1"/>
  <c r="H1350" i="1"/>
  <c r="V1349" i="1"/>
  <c r="U1349" i="1"/>
  <c r="T1349" i="1"/>
  <c r="H1349" i="1"/>
  <c r="V1348" i="1"/>
  <c r="U1348" i="1"/>
  <c r="T1348" i="1"/>
  <c r="H1348" i="1"/>
  <c r="V1347" i="1"/>
  <c r="U1347" i="1"/>
  <c r="T1347" i="1"/>
  <c r="H1347" i="1"/>
  <c r="V1346" i="1"/>
  <c r="U1346" i="1"/>
  <c r="T1346" i="1"/>
  <c r="H1346" i="1"/>
  <c r="V1345" i="1"/>
  <c r="U1345" i="1"/>
  <c r="T1345" i="1"/>
  <c r="H1345" i="1"/>
  <c r="V1344" i="1"/>
  <c r="U1344" i="1"/>
  <c r="T1344" i="1"/>
  <c r="H1344" i="1"/>
  <c r="V1343" i="1"/>
  <c r="U1343" i="1"/>
  <c r="T1343" i="1"/>
  <c r="H1343" i="1"/>
  <c r="V1342" i="1"/>
  <c r="U1342" i="1"/>
  <c r="T1342" i="1"/>
  <c r="H1342" i="1"/>
  <c r="V1341" i="1"/>
  <c r="U1341" i="1"/>
  <c r="T1341" i="1"/>
  <c r="H1341" i="1"/>
  <c r="V1340" i="1"/>
  <c r="U1340" i="1"/>
  <c r="T1340" i="1"/>
  <c r="H1340" i="1"/>
  <c r="V1339" i="1"/>
  <c r="U1339" i="1"/>
  <c r="T1339" i="1"/>
  <c r="H1339" i="1"/>
  <c r="V1338" i="1"/>
  <c r="U1338" i="1"/>
  <c r="T1338" i="1"/>
  <c r="H1338" i="1"/>
  <c r="V1337" i="1"/>
  <c r="U1337" i="1"/>
  <c r="T1337" i="1"/>
  <c r="H1337" i="1"/>
  <c r="V1336" i="1"/>
  <c r="U1336" i="1"/>
  <c r="T1336" i="1"/>
  <c r="H1336" i="1"/>
  <c r="V1335" i="1"/>
  <c r="U1335" i="1"/>
  <c r="T1335" i="1"/>
  <c r="H1335" i="1"/>
  <c r="V1334" i="1"/>
  <c r="U1334" i="1"/>
  <c r="T1334" i="1"/>
  <c r="H1334" i="1"/>
  <c r="V1333" i="1"/>
  <c r="U1333" i="1"/>
  <c r="T1333" i="1"/>
  <c r="H1333" i="1"/>
  <c r="V1332" i="1"/>
  <c r="U1332" i="1"/>
  <c r="T1332" i="1"/>
  <c r="H1332" i="1"/>
  <c r="V1331" i="1"/>
  <c r="U1331" i="1"/>
  <c r="T1331" i="1"/>
  <c r="H1331" i="1"/>
  <c r="V1330" i="1"/>
  <c r="U1330" i="1"/>
  <c r="T1330" i="1"/>
  <c r="H1330" i="1"/>
  <c r="V1329" i="1"/>
  <c r="U1329" i="1"/>
  <c r="T1329" i="1"/>
  <c r="H1329" i="1"/>
  <c r="V1328" i="1"/>
  <c r="U1328" i="1"/>
  <c r="T1328" i="1"/>
  <c r="H1328" i="1"/>
  <c r="V1327" i="1"/>
  <c r="U1327" i="1"/>
  <c r="T1327" i="1"/>
  <c r="H1327" i="1"/>
  <c r="V1326" i="1"/>
  <c r="U1326" i="1"/>
  <c r="T1326" i="1"/>
  <c r="H1326" i="1"/>
  <c r="V1325" i="1"/>
  <c r="U1325" i="1"/>
  <c r="T1325" i="1"/>
  <c r="H1325" i="1"/>
  <c r="V1324" i="1"/>
  <c r="U1324" i="1"/>
  <c r="T1324" i="1"/>
  <c r="H1324" i="1"/>
  <c r="V1323" i="1"/>
  <c r="U1323" i="1"/>
  <c r="T1323" i="1"/>
  <c r="H1323" i="1"/>
  <c r="V1322" i="1"/>
  <c r="U1322" i="1"/>
  <c r="T1322" i="1"/>
  <c r="H1322" i="1"/>
  <c r="V1321" i="1"/>
  <c r="U1321" i="1"/>
  <c r="T1321" i="1"/>
  <c r="H1321" i="1"/>
  <c r="V1320" i="1"/>
  <c r="U1320" i="1"/>
  <c r="T1320" i="1"/>
  <c r="H1320" i="1"/>
  <c r="V1319" i="1"/>
  <c r="U1319" i="1"/>
  <c r="T1319" i="1"/>
  <c r="H1319" i="1"/>
  <c r="V1318" i="1"/>
  <c r="U1318" i="1"/>
  <c r="T1318" i="1"/>
  <c r="H1318" i="1"/>
  <c r="V1317" i="1"/>
  <c r="U1317" i="1"/>
  <c r="T1317" i="1"/>
  <c r="H1317" i="1"/>
  <c r="V1316" i="1"/>
  <c r="U1316" i="1"/>
  <c r="T1316" i="1"/>
  <c r="H1316" i="1"/>
  <c r="V1315" i="1"/>
  <c r="U1315" i="1"/>
  <c r="T1315" i="1"/>
  <c r="H1315" i="1"/>
  <c r="V1314" i="1"/>
  <c r="U1314" i="1"/>
  <c r="T1314" i="1"/>
  <c r="H1314" i="1"/>
  <c r="V1313" i="1"/>
  <c r="U1313" i="1"/>
  <c r="T1313" i="1"/>
  <c r="H1313" i="1"/>
  <c r="V1312" i="1"/>
  <c r="U1312" i="1"/>
  <c r="T1312" i="1"/>
  <c r="H1312" i="1"/>
  <c r="V1311" i="1"/>
  <c r="U1311" i="1"/>
  <c r="T1311" i="1"/>
  <c r="H1311" i="1"/>
  <c r="V1310" i="1"/>
  <c r="U1310" i="1"/>
  <c r="T1310" i="1"/>
  <c r="H1310" i="1"/>
  <c r="V1309" i="1"/>
  <c r="U1309" i="1"/>
  <c r="T1309" i="1"/>
  <c r="H1309" i="1"/>
  <c r="V1308" i="1"/>
  <c r="U1308" i="1"/>
  <c r="T1308" i="1"/>
  <c r="H1308" i="1"/>
  <c r="V1307" i="1"/>
  <c r="U1307" i="1"/>
  <c r="T1307" i="1"/>
  <c r="H1307" i="1"/>
  <c r="V1306" i="1"/>
  <c r="U1306" i="1"/>
  <c r="T1306" i="1"/>
  <c r="H1306" i="1"/>
  <c r="V1305" i="1"/>
  <c r="U1305" i="1"/>
  <c r="T1305" i="1"/>
  <c r="H1305" i="1"/>
  <c r="V1304" i="1"/>
  <c r="U1304" i="1"/>
  <c r="T1304" i="1"/>
  <c r="H1304" i="1"/>
  <c r="V1303" i="1"/>
  <c r="U1303" i="1"/>
  <c r="T1303" i="1"/>
  <c r="H1303" i="1"/>
  <c r="V1302" i="1"/>
  <c r="U1302" i="1"/>
  <c r="T1302" i="1"/>
  <c r="H1302" i="1"/>
  <c r="V1301" i="1"/>
  <c r="U1301" i="1"/>
  <c r="T1301" i="1"/>
  <c r="H1301" i="1"/>
  <c r="V1300" i="1"/>
  <c r="U1300" i="1"/>
  <c r="T1300" i="1"/>
  <c r="H1300" i="1"/>
  <c r="V1299" i="1"/>
  <c r="U1299" i="1"/>
  <c r="T1299" i="1"/>
  <c r="H1299" i="1"/>
  <c r="V1298" i="1"/>
  <c r="U1298" i="1"/>
  <c r="T1298" i="1"/>
  <c r="H1298" i="1"/>
  <c r="V1297" i="1"/>
  <c r="U1297" i="1"/>
  <c r="T1297" i="1"/>
  <c r="H1297" i="1"/>
  <c r="V1296" i="1"/>
  <c r="U1296" i="1"/>
  <c r="T1296" i="1"/>
  <c r="H1296" i="1"/>
  <c r="V1295" i="1"/>
  <c r="U1295" i="1"/>
  <c r="T1295" i="1"/>
  <c r="H1295" i="1"/>
  <c r="V1294" i="1"/>
  <c r="U1294" i="1"/>
  <c r="T1294" i="1"/>
  <c r="H1294" i="1"/>
  <c r="V1293" i="1"/>
  <c r="U1293" i="1"/>
  <c r="T1293" i="1"/>
  <c r="H1293" i="1"/>
  <c r="V1292" i="1"/>
  <c r="U1292" i="1"/>
  <c r="T1292" i="1"/>
  <c r="H1292" i="1"/>
  <c r="V1291" i="1"/>
  <c r="U1291" i="1"/>
  <c r="T1291" i="1"/>
  <c r="H1291" i="1"/>
  <c r="V1290" i="1"/>
  <c r="U1290" i="1"/>
  <c r="T1290" i="1"/>
  <c r="H1290" i="1"/>
  <c r="V1289" i="1"/>
  <c r="U1289" i="1"/>
  <c r="T1289" i="1"/>
  <c r="H1289" i="1"/>
  <c r="V1288" i="1"/>
  <c r="U1288" i="1"/>
  <c r="T1288" i="1"/>
  <c r="H1288" i="1"/>
  <c r="V1287" i="1"/>
  <c r="U1287" i="1"/>
  <c r="T1287" i="1"/>
  <c r="H1287" i="1"/>
  <c r="V1286" i="1"/>
  <c r="U1286" i="1"/>
  <c r="T1286" i="1"/>
  <c r="H1286" i="1"/>
  <c r="V1285" i="1"/>
  <c r="U1285" i="1"/>
  <c r="T1285" i="1"/>
  <c r="H1285" i="1"/>
  <c r="V1284" i="1"/>
  <c r="U1284" i="1"/>
  <c r="T1284" i="1"/>
  <c r="H1284" i="1"/>
  <c r="V1283" i="1"/>
  <c r="U1283" i="1"/>
  <c r="T1283" i="1"/>
  <c r="H1283" i="1"/>
  <c r="V1282" i="1"/>
  <c r="U1282" i="1"/>
  <c r="T1282" i="1"/>
  <c r="H1282" i="1"/>
  <c r="V1281" i="1"/>
  <c r="U1281" i="1"/>
  <c r="T1281" i="1"/>
  <c r="H1281" i="1"/>
  <c r="V1280" i="1"/>
  <c r="U1280" i="1"/>
  <c r="T1280" i="1"/>
  <c r="H1280" i="1"/>
  <c r="V1279" i="1"/>
  <c r="U1279" i="1"/>
  <c r="T1279" i="1"/>
  <c r="H1279" i="1"/>
  <c r="V1278" i="1"/>
  <c r="U1278" i="1"/>
  <c r="T1278" i="1"/>
  <c r="H1278" i="1"/>
  <c r="V1277" i="1"/>
  <c r="U1277" i="1"/>
  <c r="T1277" i="1"/>
  <c r="H1277" i="1"/>
  <c r="V1276" i="1"/>
  <c r="U1276" i="1"/>
  <c r="T1276" i="1"/>
  <c r="H1276" i="1"/>
  <c r="V1275" i="1"/>
  <c r="U1275" i="1"/>
  <c r="T1275" i="1"/>
  <c r="H1275" i="1"/>
  <c r="V1274" i="1"/>
  <c r="U1274" i="1"/>
  <c r="T1274" i="1"/>
  <c r="H1274" i="1"/>
  <c r="V1273" i="1"/>
  <c r="U1273" i="1"/>
  <c r="T1273" i="1"/>
  <c r="H1273" i="1"/>
  <c r="V1272" i="1"/>
  <c r="U1272" i="1"/>
  <c r="T1272" i="1"/>
  <c r="H1272" i="1"/>
  <c r="V1271" i="1"/>
  <c r="U1271" i="1"/>
  <c r="T1271" i="1"/>
  <c r="H1271" i="1"/>
  <c r="V1270" i="1"/>
  <c r="U1270" i="1"/>
  <c r="T1270" i="1"/>
  <c r="H1270" i="1"/>
  <c r="V1269" i="1"/>
  <c r="U1269" i="1"/>
  <c r="T1269" i="1"/>
  <c r="H1269" i="1"/>
  <c r="V1268" i="1"/>
  <c r="U1268" i="1"/>
  <c r="T1268" i="1"/>
  <c r="H1268" i="1"/>
  <c r="V1267" i="1"/>
  <c r="U1267" i="1"/>
  <c r="T1267" i="1"/>
  <c r="H1267" i="1"/>
  <c r="V1266" i="1"/>
  <c r="U1266" i="1"/>
  <c r="T1266" i="1"/>
  <c r="H1266" i="1"/>
  <c r="V1265" i="1"/>
  <c r="U1265" i="1"/>
  <c r="T1265" i="1"/>
  <c r="H1265" i="1"/>
  <c r="V1264" i="1"/>
  <c r="U1264" i="1"/>
  <c r="T1264" i="1"/>
  <c r="H1264" i="1"/>
  <c r="V1263" i="1"/>
  <c r="U1263" i="1"/>
  <c r="T1263" i="1"/>
  <c r="H1263" i="1"/>
  <c r="V1262" i="1"/>
  <c r="U1262" i="1"/>
  <c r="T1262" i="1"/>
  <c r="H1262" i="1"/>
  <c r="V1261" i="1"/>
  <c r="U1261" i="1"/>
  <c r="T1261" i="1"/>
  <c r="H1261" i="1"/>
  <c r="V1260" i="1"/>
  <c r="U1260" i="1"/>
  <c r="T1260" i="1"/>
  <c r="H1260" i="1"/>
  <c r="V1259" i="1"/>
  <c r="U1259" i="1"/>
  <c r="T1259" i="1"/>
  <c r="H1259" i="1"/>
  <c r="V1258" i="1"/>
  <c r="U1258" i="1"/>
  <c r="T1258" i="1"/>
  <c r="H1258" i="1"/>
  <c r="V1257" i="1"/>
  <c r="U1257" i="1"/>
  <c r="T1257" i="1"/>
  <c r="H1257" i="1"/>
  <c r="V1256" i="1"/>
  <c r="U1256" i="1"/>
  <c r="T1256" i="1"/>
  <c r="H1256" i="1"/>
  <c r="V1255" i="1"/>
  <c r="U1255" i="1"/>
  <c r="T1255" i="1"/>
  <c r="H1255" i="1"/>
  <c r="V1254" i="1"/>
  <c r="U1254" i="1"/>
  <c r="T1254" i="1"/>
  <c r="H1254" i="1"/>
  <c r="V1253" i="1"/>
  <c r="U1253" i="1"/>
  <c r="T1253" i="1"/>
  <c r="H1253" i="1"/>
  <c r="V1252" i="1"/>
  <c r="U1252" i="1"/>
  <c r="T1252" i="1"/>
  <c r="H1252" i="1"/>
  <c r="V1251" i="1"/>
  <c r="U1251" i="1"/>
  <c r="T1251" i="1"/>
  <c r="H1251" i="1"/>
  <c r="V1250" i="1"/>
  <c r="U1250" i="1"/>
  <c r="T1250" i="1"/>
  <c r="H1250" i="1"/>
  <c r="V1249" i="1"/>
  <c r="U1249" i="1"/>
  <c r="T1249" i="1"/>
  <c r="H1249" i="1"/>
  <c r="V1248" i="1"/>
  <c r="U1248" i="1"/>
  <c r="T1248" i="1"/>
  <c r="H1248" i="1"/>
  <c r="V1247" i="1"/>
  <c r="U1247" i="1"/>
  <c r="T1247" i="1"/>
  <c r="H1247" i="1"/>
  <c r="V1246" i="1"/>
  <c r="U1246" i="1"/>
  <c r="T1246" i="1"/>
  <c r="H1246" i="1"/>
  <c r="V1245" i="1"/>
  <c r="U1245" i="1"/>
  <c r="T1245" i="1"/>
  <c r="H1245" i="1"/>
  <c r="V1244" i="1"/>
  <c r="U1244" i="1"/>
  <c r="T1244" i="1"/>
  <c r="H1244" i="1"/>
  <c r="V1243" i="1"/>
  <c r="U1243" i="1"/>
  <c r="T1243" i="1"/>
  <c r="H1243" i="1"/>
  <c r="V1242" i="1"/>
  <c r="U1242" i="1"/>
  <c r="T1242" i="1"/>
  <c r="H1242" i="1"/>
  <c r="V1241" i="1"/>
  <c r="U1241" i="1"/>
  <c r="T1241" i="1"/>
  <c r="H1241" i="1"/>
  <c r="V1240" i="1"/>
  <c r="U1240" i="1"/>
  <c r="T1240" i="1"/>
  <c r="H1240" i="1"/>
  <c r="V1239" i="1"/>
  <c r="U1239" i="1"/>
  <c r="T1239" i="1"/>
  <c r="H1239" i="1"/>
  <c r="V1238" i="1"/>
  <c r="U1238" i="1"/>
  <c r="T1238" i="1"/>
  <c r="H1238" i="1"/>
  <c r="V1237" i="1"/>
  <c r="U1237" i="1"/>
  <c r="T1237" i="1"/>
  <c r="H1237" i="1"/>
  <c r="V1236" i="1"/>
  <c r="U1236" i="1"/>
  <c r="T1236" i="1"/>
  <c r="H1236" i="1"/>
  <c r="V1235" i="1"/>
  <c r="U1235" i="1"/>
  <c r="T1235" i="1"/>
  <c r="H1235" i="1"/>
  <c r="V1234" i="1"/>
  <c r="U1234" i="1"/>
  <c r="T1234" i="1"/>
  <c r="H1234" i="1"/>
  <c r="V1233" i="1"/>
  <c r="U1233" i="1"/>
  <c r="T1233" i="1"/>
  <c r="H1233" i="1"/>
  <c r="V1232" i="1"/>
  <c r="U1232" i="1"/>
  <c r="T1232" i="1"/>
  <c r="H1232" i="1"/>
  <c r="V1231" i="1"/>
  <c r="U1231" i="1"/>
  <c r="T1231" i="1"/>
  <c r="H1231" i="1"/>
  <c r="V1230" i="1"/>
  <c r="U1230" i="1"/>
  <c r="T1230" i="1"/>
  <c r="H1230" i="1"/>
  <c r="V1229" i="1"/>
  <c r="U1229" i="1"/>
  <c r="T1229" i="1"/>
  <c r="H1229" i="1"/>
  <c r="V1228" i="1"/>
  <c r="U1228" i="1"/>
  <c r="T1228" i="1"/>
  <c r="H1228" i="1"/>
  <c r="V1227" i="1"/>
  <c r="U1227" i="1"/>
  <c r="T1227" i="1"/>
  <c r="H1227" i="1"/>
  <c r="V1226" i="1"/>
  <c r="U1226" i="1"/>
  <c r="T1226" i="1"/>
  <c r="H1226" i="1"/>
  <c r="V1225" i="1"/>
  <c r="U1225" i="1"/>
  <c r="T1225" i="1"/>
  <c r="H1225" i="1"/>
  <c r="V1224" i="1"/>
  <c r="U1224" i="1"/>
  <c r="T1224" i="1"/>
  <c r="H1224" i="1"/>
  <c r="V1223" i="1"/>
  <c r="U1223" i="1"/>
  <c r="T1223" i="1"/>
  <c r="H1223" i="1"/>
  <c r="V1222" i="1"/>
  <c r="U1222" i="1"/>
  <c r="T1222" i="1"/>
  <c r="H1222" i="1"/>
  <c r="V1221" i="1"/>
  <c r="U1221" i="1"/>
  <c r="T1221" i="1"/>
  <c r="H1221" i="1"/>
  <c r="V1220" i="1"/>
  <c r="U1220" i="1"/>
  <c r="T1220" i="1"/>
  <c r="H1220" i="1"/>
  <c r="V1219" i="1"/>
  <c r="U1219" i="1"/>
  <c r="T1219" i="1"/>
  <c r="H1219" i="1"/>
  <c r="V1218" i="1"/>
  <c r="U1218" i="1"/>
  <c r="T1218" i="1"/>
  <c r="H1218" i="1"/>
  <c r="V1217" i="1"/>
  <c r="U1217" i="1"/>
  <c r="T1217" i="1"/>
  <c r="H1217" i="1"/>
  <c r="V1216" i="1"/>
  <c r="U1216" i="1"/>
  <c r="T1216" i="1"/>
  <c r="H1216" i="1"/>
  <c r="V1215" i="1"/>
  <c r="U1215" i="1"/>
  <c r="T1215" i="1"/>
  <c r="H1215" i="1"/>
  <c r="V1214" i="1"/>
  <c r="U1214" i="1"/>
  <c r="T1214" i="1"/>
  <c r="H1214" i="1"/>
  <c r="V1213" i="1"/>
  <c r="U1213" i="1"/>
  <c r="T1213" i="1"/>
  <c r="H1213" i="1"/>
  <c r="V1212" i="1"/>
  <c r="U1212" i="1"/>
  <c r="T1212" i="1"/>
  <c r="H1212" i="1"/>
  <c r="V1211" i="1"/>
  <c r="U1211" i="1"/>
  <c r="T1211" i="1"/>
  <c r="H1211" i="1"/>
  <c r="V1210" i="1"/>
  <c r="U1210" i="1"/>
  <c r="T1210" i="1"/>
  <c r="H1210" i="1"/>
  <c r="V1209" i="1"/>
  <c r="U1209" i="1"/>
  <c r="T1209" i="1"/>
  <c r="H1209" i="1"/>
  <c r="V1208" i="1"/>
  <c r="U1208" i="1"/>
  <c r="T1208" i="1"/>
  <c r="H1208" i="1"/>
  <c r="V1207" i="1"/>
  <c r="U1207" i="1"/>
  <c r="T1207" i="1"/>
  <c r="H1207" i="1"/>
  <c r="V1206" i="1"/>
  <c r="U1206" i="1"/>
  <c r="T1206" i="1"/>
  <c r="H1206" i="1"/>
  <c r="V1205" i="1"/>
  <c r="U1205" i="1"/>
  <c r="T1205" i="1"/>
  <c r="H1205" i="1"/>
  <c r="V1204" i="1"/>
  <c r="U1204" i="1"/>
  <c r="T1204" i="1"/>
  <c r="H1204" i="1"/>
  <c r="V1203" i="1"/>
  <c r="U1203" i="1"/>
  <c r="T1203" i="1"/>
  <c r="H1203" i="1"/>
  <c r="V1202" i="1"/>
  <c r="U1202" i="1"/>
  <c r="T1202" i="1"/>
  <c r="H1202" i="1"/>
  <c r="V1201" i="1"/>
  <c r="U1201" i="1"/>
  <c r="T1201" i="1"/>
  <c r="H1201" i="1"/>
  <c r="V1200" i="1"/>
  <c r="U1200" i="1"/>
  <c r="T1200" i="1"/>
  <c r="H1200" i="1"/>
  <c r="V1199" i="1"/>
  <c r="U1199" i="1"/>
  <c r="T1199" i="1"/>
  <c r="H1199" i="1"/>
  <c r="V1198" i="1"/>
  <c r="U1198" i="1"/>
  <c r="T1198" i="1"/>
  <c r="H1198" i="1"/>
  <c r="V1197" i="1"/>
  <c r="U1197" i="1"/>
  <c r="T1197" i="1"/>
  <c r="H1197" i="1"/>
  <c r="V1196" i="1"/>
  <c r="U1196" i="1"/>
  <c r="T1196" i="1"/>
  <c r="H1196" i="1"/>
  <c r="V1195" i="1"/>
  <c r="U1195" i="1"/>
  <c r="T1195" i="1"/>
  <c r="H1195" i="1"/>
  <c r="V1194" i="1"/>
  <c r="U1194" i="1"/>
  <c r="T1194" i="1"/>
  <c r="H1194" i="1"/>
  <c r="V1193" i="1"/>
  <c r="U1193" i="1"/>
  <c r="T1193" i="1"/>
  <c r="H1193" i="1"/>
  <c r="V1192" i="1"/>
  <c r="U1192" i="1"/>
  <c r="T1192" i="1"/>
  <c r="H1192" i="1"/>
  <c r="V1191" i="1"/>
  <c r="U1191" i="1"/>
  <c r="T1191" i="1"/>
  <c r="H1191" i="1"/>
  <c r="V1190" i="1"/>
  <c r="U1190" i="1"/>
  <c r="T1190" i="1"/>
  <c r="H1190" i="1"/>
  <c r="V1189" i="1"/>
  <c r="U1189" i="1"/>
  <c r="T1189" i="1"/>
  <c r="H1189" i="1"/>
  <c r="V1188" i="1"/>
  <c r="U1188" i="1"/>
  <c r="T1188" i="1"/>
  <c r="H1188" i="1"/>
  <c r="V1187" i="1"/>
  <c r="U1187" i="1"/>
  <c r="T1187" i="1"/>
  <c r="H1187" i="1"/>
  <c r="V1186" i="1"/>
  <c r="U1186" i="1"/>
  <c r="T1186" i="1"/>
  <c r="H1186" i="1"/>
  <c r="V1185" i="1"/>
  <c r="U1185" i="1"/>
  <c r="T1185" i="1"/>
  <c r="H1185" i="1"/>
  <c r="V1184" i="1"/>
  <c r="U1184" i="1"/>
  <c r="T1184" i="1"/>
  <c r="H1184" i="1"/>
  <c r="V1183" i="1"/>
  <c r="U1183" i="1"/>
  <c r="T1183" i="1"/>
  <c r="H1183" i="1"/>
  <c r="V1182" i="1"/>
  <c r="U1182" i="1"/>
  <c r="T1182" i="1"/>
  <c r="H1182" i="1"/>
  <c r="V1181" i="1"/>
  <c r="U1181" i="1"/>
  <c r="T1181" i="1"/>
  <c r="H1181" i="1"/>
  <c r="V1180" i="1"/>
  <c r="U1180" i="1"/>
  <c r="T1180" i="1"/>
  <c r="H1180" i="1"/>
  <c r="V1179" i="1"/>
  <c r="U1179" i="1"/>
  <c r="T1179" i="1"/>
  <c r="H1179" i="1"/>
  <c r="V1178" i="1"/>
  <c r="U1178" i="1"/>
  <c r="T1178" i="1"/>
  <c r="H1178" i="1"/>
  <c r="V1177" i="1"/>
  <c r="U1177" i="1"/>
  <c r="T1177" i="1"/>
  <c r="H1177" i="1"/>
  <c r="V1176" i="1"/>
  <c r="U1176" i="1"/>
  <c r="T1176" i="1"/>
  <c r="H1176" i="1"/>
  <c r="V1175" i="1"/>
  <c r="U1175" i="1"/>
  <c r="T1175" i="1"/>
  <c r="H1175" i="1"/>
  <c r="V1174" i="1"/>
  <c r="U1174" i="1"/>
  <c r="T1174" i="1"/>
  <c r="H1174" i="1"/>
  <c r="V1173" i="1"/>
  <c r="U1173" i="1"/>
  <c r="T1173" i="1"/>
  <c r="H1173" i="1"/>
  <c r="V1172" i="1"/>
  <c r="U1172" i="1"/>
  <c r="T1172" i="1"/>
  <c r="H1172" i="1"/>
  <c r="V1171" i="1"/>
  <c r="U1171" i="1"/>
  <c r="T1171" i="1"/>
  <c r="H1171" i="1"/>
  <c r="V1170" i="1"/>
  <c r="U1170" i="1"/>
  <c r="T1170" i="1"/>
  <c r="H1170" i="1"/>
  <c r="V1169" i="1"/>
  <c r="U1169" i="1"/>
  <c r="T1169" i="1"/>
  <c r="H1169" i="1"/>
  <c r="V1168" i="1"/>
  <c r="U1168" i="1"/>
  <c r="T1168" i="1"/>
  <c r="H1168" i="1"/>
  <c r="V1167" i="1"/>
  <c r="U1167" i="1"/>
  <c r="T1167" i="1"/>
  <c r="H1167" i="1"/>
  <c r="V1166" i="1"/>
  <c r="U1166" i="1"/>
  <c r="T1166" i="1"/>
  <c r="H1166" i="1"/>
  <c r="V1165" i="1"/>
  <c r="U1165" i="1"/>
  <c r="T1165" i="1"/>
  <c r="H1165" i="1"/>
  <c r="V1164" i="1"/>
  <c r="U1164" i="1"/>
  <c r="T1164" i="1"/>
  <c r="H1164" i="1"/>
  <c r="V1163" i="1"/>
  <c r="U1163" i="1"/>
  <c r="T1163" i="1"/>
  <c r="H1163" i="1"/>
  <c r="V1162" i="1"/>
  <c r="U1162" i="1"/>
  <c r="T1162" i="1"/>
  <c r="H1162" i="1"/>
  <c r="V1161" i="1"/>
  <c r="U1161" i="1"/>
  <c r="T1161" i="1"/>
  <c r="H1161" i="1"/>
  <c r="V1160" i="1"/>
  <c r="U1160" i="1"/>
  <c r="T1160" i="1"/>
  <c r="H1160" i="1"/>
  <c r="V1159" i="1"/>
  <c r="U1159" i="1"/>
  <c r="T1159" i="1"/>
  <c r="H1159" i="1"/>
  <c r="V1158" i="1"/>
  <c r="U1158" i="1"/>
  <c r="T1158" i="1"/>
  <c r="H1158" i="1"/>
  <c r="V1157" i="1"/>
  <c r="U1157" i="1"/>
  <c r="T1157" i="1"/>
  <c r="H1157" i="1"/>
  <c r="V1156" i="1"/>
  <c r="U1156" i="1"/>
  <c r="T1156" i="1"/>
  <c r="H1156" i="1"/>
  <c r="V1155" i="1"/>
  <c r="U1155" i="1"/>
  <c r="T1155" i="1"/>
  <c r="H1155" i="1"/>
  <c r="V1154" i="1"/>
  <c r="U1154" i="1"/>
  <c r="T1154" i="1"/>
  <c r="H1154" i="1"/>
  <c r="V1153" i="1"/>
  <c r="U1153" i="1"/>
  <c r="T1153" i="1"/>
  <c r="H1153" i="1"/>
  <c r="V1152" i="1"/>
  <c r="U1152" i="1"/>
  <c r="T1152" i="1"/>
  <c r="H1152" i="1"/>
  <c r="V1151" i="1"/>
  <c r="U1151" i="1"/>
  <c r="T1151" i="1"/>
  <c r="H1151" i="1"/>
  <c r="V1150" i="1"/>
  <c r="U1150" i="1"/>
  <c r="T1150" i="1"/>
  <c r="H1150" i="1"/>
  <c r="V1149" i="1"/>
  <c r="U1149" i="1"/>
  <c r="T1149" i="1"/>
  <c r="H1149" i="1"/>
  <c r="V1148" i="1"/>
  <c r="U1148" i="1"/>
  <c r="T1148" i="1"/>
  <c r="H1148" i="1"/>
  <c r="V1147" i="1"/>
  <c r="U1147" i="1"/>
  <c r="T1147" i="1"/>
  <c r="H1147" i="1"/>
  <c r="V1146" i="1"/>
  <c r="U1146" i="1"/>
  <c r="T1146" i="1"/>
  <c r="H1146" i="1"/>
  <c r="V1145" i="1"/>
  <c r="U1145" i="1"/>
  <c r="T1145" i="1"/>
  <c r="H1145" i="1"/>
  <c r="V1144" i="1"/>
  <c r="U1144" i="1"/>
  <c r="T1144" i="1"/>
  <c r="H1144" i="1"/>
  <c r="V1143" i="1"/>
  <c r="U1143" i="1"/>
  <c r="T1143" i="1"/>
  <c r="H1143" i="1"/>
  <c r="V1142" i="1"/>
  <c r="U1142" i="1"/>
  <c r="T1142" i="1"/>
  <c r="H1142" i="1"/>
  <c r="V1141" i="1"/>
  <c r="U1141" i="1"/>
  <c r="T1141" i="1"/>
  <c r="H1141" i="1"/>
  <c r="V1140" i="1"/>
  <c r="U1140" i="1"/>
  <c r="T1140" i="1"/>
  <c r="H1140" i="1"/>
  <c r="V1139" i="1"/>
  <c r="U1139" i="1"/>
  <c r="T1139" i="1"/>
  <c r="H1139" i="1"/>
  <c r="V1138" i="1"/>
  <c r="U1138" i="1"/>
  <c r="T1138" i="1"/>
  <c r="H1138" i="1"/>
  <c r="V1137" i="1"/>
  <c r="U1137" i="1"/>
  <c r="T1137" i="1"/>
  <c r="H1137" i="1"/>
  <c r="V1136" i="1"/>
  <c r="U1136" i="1"/>
  <c r="T1136" i="1"/>
  <c r="H1136" i="1"/>
  <c r="V1135" i="1"/>
  <c r="U1135" i="1"/>
  <c r="T1135" i="1"/>
  <c r="H1135" i="1"/>
  <c r="V1134" i="1"/>
  <c r="U1134" i="1"/>
  <c r="T1134" i="1"/>
  <c r="H1134" i="1"/>
  <c r="V1133" i="1"/>
  <c r="U1133" i="1"/>
  <c r="T1133" i="1"/>
  <c r="H1133" i="1"/>
  <c r="V1132" i="1"/>
  <c r="U1132" i="1"/>
  <c r="T1132" i="1"/>
  <c r="H1132" i="1"/>
  <c r="V1131" i="1"/>
  <c r="U1131" i="1"/>
  <c r="T1131" i="1"/>
  <c r="H1131" i="1"/>
  <c r="V1130" i="1"/>
  <c r="U1130" i="1"/>
  <c r="T1130" i="1"/>
  <c r="H1130" i="1"/>
  <c r="V1129" i="1"/>
  <c r="U1129" i="1"/>
  <c r="T1129" i="1"/>
  <c r="H1129" i="1"/>
  <c r="V1128" i="1"/>
  <c r="U1128" i="1"/>
  <c r="T1128" i="1"/>
  <c r="H1128" i="1"/>
  <c r="V1127" i="1"/>
  <c r="U1127" i="1"/>
  <c r="T1127" i="1"/>
  <c r="H1127" i="1"/>
  <c r="V1126" i="1"/>
  <c r="U1126" i="1"/>
  <c r="T1126" i="1"/>
  <c r="H1126" i="1"/>
  <c r="V1125" i="1"/>
  <c r="U1125" i="1"/>
  <c r="T1125" i="1"/>
  <c r="H1125" i="1"/>
  <c r="V1124" i="1"/>
  <c r="U1124" i="1"/>
  <c r="T1124" i="1"/>
  <c r="H1124" i="1"/>
  <c r="V1123" i="1"/>
  <c r="U1123" i="1"/>
  <c r="T1123" i="1"/>
  <c r="H1123" i="1"/>
  <c r="V1122" i="1"/>
  <c r="U1122" i="1"/>
  <c r="T1122" i="1"/>
  <c r="H1122" i="1"/>
  <c r="V1121" i="1"/>
  <c r="U1121" i="1"/>
  <c r="T1121" i="1"/>
  <c r="H1121" i="1"/>
  <c r="V1120" i="1"/>
  <c r="U1120" i="1"/>
  <c r="T1120" i="1"/>
  <c r="H1120" i="1"/>
  <c r="V1119" i="1"/>
  <c r="U1119" i="1"/>
  <c r="T1119" i="1"/>
  <c r="H1119" i="1"/>
  <c r="V1118" i="1"/>
  <c r="U1118" i="1"/>
  <c r="T1118" i="1"/>
  <c r="H1118" i="1"/>
  <c r="V1117" i="1"/>
  <c r="U1117" i="1"/>
  <c r="T1117" i="1"/>
  <c r="H1117" i="1"/>
  <c r="V1116" i="1"/>
  <c r="U1116" i="1"/>
  <c r="T1116" i="1"/>
  <c r="H1116" i="1"/>
  <c r="V1115" i="1"/>
  <c r="U1115" i="1"/>
  <c r="T1115" i="1"/>
  <c r="H1115" i="1"/>
  <c r="V1114" i="1"/>
  <c r="U1114" i="1"/>
  <c r="T1114" i="1"/>
  <c r="H1114" i="1"/>
  <c r="V1113" i="1"/>
  <c r="U1113" i="1"/>
  <c r="T1113" i="1"/>
  <c r="H1113" i="1"/>
  <c r="V1112" i="1"/>
  <c r="U1112" i="1"/>
  <c r="T1112" i="1"/>
  <c r="H1112" i="1"/>
  <c r="V1111" i="1"/>
  <c r="U1111" i="1"/>
  <c r="T1111" i="1"/>
  <c r="H1111" i="1"/>
  <c r="V1110" i="1"/>
  <c r="U1110" i="1"/>
  <c r="T1110" i="1"/>
  <c r="H1110" i="1"/>
  <c r="V1109" i="1"/>
  <c r="U1109" i="1"/>
  <c r="T1109" i="1"/>
  <c r="H1109" i="1"/>
  <c r="V1108" i="1"/>
  <c r="U1108" i="1"/>
  <c r="T1108" i="1"/>
  <c r="H1108" i="1"/>
  <c r="V1107" i="1"/>
  <c r="U1107" i="1"/>
  <c r="T1107" i="1"/>
  <c r="H1107" i="1"/>
  <c r="V1106" i="1"/>
  <c r="U1106" i="1"/>
  <c r="T1106" i="1"/>
  <c r="H1106" i="1"/>
  <c r="V1105" i="1"/>
  <c r="U1105" i="1"/>
  <c r="T1105" i="1"/>
  <c r="H1105" i="1"/>
  <c r="V1104" i="1"/>
  <c r="U1104" i="1"/>
  <c r="T1104" i="1"/>
  <c r="H1104" i="1"/>
  <c r="V1103" i="1"/>
  <c r="U1103" i="1"/>
  <c r="T1103" i="1"/>
  <c r="H1103" i="1"/>
  <c r="V1102" i="1"/>
  <c r="U1102" i="1"/>
  <c r="T1102" i="1"/>
  <c r="H1102" i="1"/>
  <c r="V1101" i="1"/>
  <c r="U1101" i="1"/>
  <c r="T1101" i="1"/>
  <c r="H1101" i="1"/>
  <c r="V1100" i="1"/>
  <c r="U1100" i="1"/>
  <c r="T1100" i="1"/>
  <c r="H1100" i="1"/>
  <c r="V1099" i="1"/>
  <c r="U1099" i="1"/>
  <c r="T1099" i="1"/>
  <c r="H1099" i="1"/>
  <c r="V1098" i="1"/>
  <c r="U1098" i="1"/>
  <c r="T1098" i="1"/>
  <c r="H1098" i="1"/>
  <c r="V1097" i="1"/>
  <c r="U1097" i="1"/>
  <c r="T1097" i="1"/>
  <c r="H1097" i="1"/>
  <c r="V1096" i="1"/>
  <c r="U1096" i="1"/>
  <c r="T1096" i="1"/>
  <c r="H1096" i="1"/>
  <c r="V1095" i="1"/>
  <c r="U1095" i="1"/>
  <c r="T1095" i="1"/>
  <c r="H1095" i="1"/>
  <c r="V1094" i="1"/>
  <c r="U1094" i="1"/>
  <c r="T1094" i="1"/>
  <c r="H1094" i="1"/>
  <c r="V1093" i="1"/>
  <c r="U1093" i="1"/>
  <c r="T1093" i="1"/>
  <c r="H1093" i="1"/>
  <c r="V1092" i="1"/>
  <c r="U1092" i="1"/>
  <c r="T1092" i="1"/>
  <c r="H1092" i="1"/>
  <c r="V1091" i="1"/>
  <c r="U1091" i="1"/>
  <c r="T1091" i="1"/>
  <c r="H1091" i="1"/>
  <c r="V1090" i="1"/>
  <c r="U1090" i="1"/>
  <c r="T1090" i="1"/>
  <c r="H1090" i="1"/>
  <c r="V1089" i="1"/>
  <c r="U1089" i="1"/>
  <c r="T1089" i="1"/>
  <c r="H1089" i="1"/>
  <c r="V1088" i="1"/>
  <c r="U1088" i="1"/>
  <c r="T1088" i="1"/>
  <c r="H1088" i="1"/>
  <c r="V1087" i="1"/>
  <c r="U1087" i="1"/>
  <c r="T1087" i="1"/>
  <c r="H1087" i="1"/>
  <c r="V1086" i="1"/>
  <c r="U1086" i="1"/>
  <c r="T1086" i="1"/>
  <c r="H1086" i="1"/>
  <c r="V1085" i="1"/>
  <c r="U1085" i="1"/>
  <c r="T1085" i="1"/>
  <c r="H1085" i="1"/>
  <c r="V1084" i="1"/>
  <c r="U1084" i="1"/>
  <c r="T1084" i="1"/>
  <c r="H1084" i="1"/>
  <c r="V1083" i="1"/>
  <c r="U1083" i="1"/>
  <c r="T1083" i="1"/>
  <c r="H1083" i="1"/>
  <c r="V1082" i="1"/>
  <c r="U1082" i="1"/>
  <c r="T1082" i="1"/>
  <c r="H1082" i="1"/>
  <c r="V1081" i="1"/>
  <c r="U1081" i="1"/>
  <c r="T1081" i="1"/>
  <c r="H1081" i="1"/>
  <c r="V1080" i="1"/>
  <c r="U1080" i="1"/>
  <c r="T1080" i="1"/>
  <c r="H1080" i="1"/>
  <c r="V1079" i="1"/>
  <c r="U1079" i="1"/>
  <c r="T1079" i="1"/>
  <c r="H1079" i="1"/>
  <c r="V1078" i="1"/>
  <c r="U1078" i="1"/>
  <c r="T1078" i="1"/>
  <c r="H1078" i="1"/>
  <c r="V1077" i="1"/>
  <c r="U1077" i="1"/>
  <c r="T1077" i="1"/>
  <c r="H1077" i="1"/>
  <c r="V1076" i="1"/>
  <c r="U1076" i="1"/>
  <c r="T1076" i="1"/>
  <c r="H1076" i="1"/>
  <c r="V1075" i="1"/>
  <c r="U1075" i="1"/>
  <c r="T1075" i="1"/>
  <c r="H1075" i="1"/>
  <c r="V1074" i="1"/>
  <c r="U1074" i="1"/>
  <c r="T1074" i="1"/>
  <c r="H1074" i="1"/>
  <c r="V1073" i="1"/>
  <c r="U1073" i="1"/>
  <c r="T1073" i="1"/>
  <c r="H1073" i="1"/>
  <c r="V1072" i="1"/>
  <c r="U1072" i="1"/>
  <c r="T1072" i="1"/>
  <c r="H1072" i="1"/>
  <c r="V1071" i="1"/>
  <c r="U1071" i="1"/>
  <c r="T1071" i="1"/>
  <c r="H1071" i="1"/>
  <c r="V1070" i="1"/>
  <c r="U1070" i="1"/>
  <c r="T1070" i="1"/>
  <c r="H1070" i="1"/>
  <c r="V1069" i="1"/>
  <c r="U1069" i="1"/>
  <c r="T1069" i="1"/>
  <c r="H1069" i="1"/>
  <c r="V1068" i="1"/>
  <c r="U1068" i="1"/>
  <c r="T1068" i="1"/>
  <c r="H1068" i="1"/>
  <c r="V1067" i="1"/>
  <c r="U1067" i="1"/>
  <c r="T1067" i="1"/>
  <c r="H1067" i="1"/>
  <c r="V1066" i="1"/>
  <c r="U1066" i="1"/>
  <c r="T1066" i="1"/>
  <c r="H1066" i="1"/>
  <c r="V1065" i="1"/>
  <c r="U1065" i="1"/>
  <c r="T1065" i="1"/>
  <c r="H1065" i="1"/>
  <c r="V1064" i="1"/>
  <c r="U1064" i="1"/>
  <c r="T1064" i="1"/>
  <c r="H1064" i="1"/>
  <c r="V1063" i="1"/>
  <c r="U1063" i="1"/>
  <c r="T1063" i="1"/>
  <c r="H1063" i="1"/>
  <c r="V1062" i="1"/>
  <c r="U1062" i="1"/>
  <c r="T1062" i="1"/>
  <c r="H1062" i="1"/>
  <c r="V1061" i="1"/>
  <c r="U1061" i="1"/>
  <c r="T1061" i="1"/>
  <c r="H1061" i="1"/>
  <c r="V1060" i="1"/>
  <c r="U1060" i="1"/>
  <c r="T1060" i="1"/>
  <c r="H1060" i="1"/>
  <c r="V1059" i="1"/>
  <c r="U1059" i="1"/>
  <c r="T1059" i="1"/>
  <c r="H1059" i="1"/>
  <c r="V1058" i="1"/>
  <c r="U1058" i="1"/>
  <c r="T1058" i="1"/>
  <c r="H1058" i="1"/>
  <c r="V1057" i="1"/>
  <c r="U1057" i="1"/>
  <c r="T1057" i="1"/>
  <c r="H1057" i="1"/>
  <c r="V1056" i="1"/>
  <c r="U1056" i="1"/>
  <c r="T1056" i="1"/>
  <c r="H1056" i="1"/>
  <c r="V1055" i="1"/>
  <c r="U1055" i="1"/>
  <c r="T1055" i="1"/>
  <c r="H1055" i="1"/>
  <c r="V1054" i="1"/>
  <c r="U1054" i="1"/>
  <c r="T1054" i="1"/>
  <c r="H1054" i="1"/>
  <c r="V1053" i="1"/>
  <c r="U1053" i="1"/>
  <c r="T1053" i="1"/>
  <c r="H1053" i="1"/>
  <c r="V1052" i="1"/>
  <c r="U1052" i="1"/>
  <c r="T1052" i="1"/>
  <c r="H1052" i="1"/>
  <c r="V1051" i="1"/>
  <c r="U1051" i="1"/>
  <c r="T1051" i="1"/>
  <c r="H1051" i="1"/>
  <c r="V1050" i="1"/>
  <c r="U1050" i="1"/>
  <c r="T1050" i="1"/>
  <c r="H1050" i="1"/>
  <c r="V1049" i="1"/>
  <c r="U1049" i="1"/>
  <c r="T1049" i="1"/>
  <c r="H1049" i="1"/>
  <c r="V1048" i="1"/>
  <c r="U1048" i="1"/>
  <c r="T1048" i="1"/>
  <c r="H1048" i="1"/>
  <c r="V1047" i="1"/>
  <c r="U1047" i="1"/>
  <c r="T1047" i="1"/>
  <c r="H1047" i="1"/>
  <c r="V1046" i="1"/>
  <c r="U1046" i="1"/>
  <c r="T1046" i="1"/>
  <c r="H1046" i="1"/>
  <c r="V1045" i="1"/>
  <c r="U1045" i="1"/>
  <c r="T1045" i="1"/>
  <c r="H1045" i="1"/>
  <c r="V1044" i="1"/>
  <c r="U1044" i="1"/>
  <c r="T1044" i="1"/>
  <c r="H1044" i="1"/>
  <c r="V1043" i="1"/>
  <c r="U1043" i="1"/>
  <c r="T1043" i="1"/>
  <c r="H1043" i="1"/>
  <c r="V1042" i="1"/>
  <c r="U1042" i="1"/>
  <c r="T1042" i="1"/>
  <c r="H1042" i="1"/>
  <c r="V1041" i="1"/>
  <c r="U1041" i="1"/>
  <c r="T1041" i="1"/>
  <c r="H1041" i="1"/>
  <c r="V1040" i="1"/>
  <c r="U1040" i="1"/>
  <c r="T1040" i="1"/>
  <c r="H1040" i="1"/>
  <c r="V1039" i="1"/>
  <c r="U1039" i="1"/>
  <c r="T1039" i="1"/>
  <c r="H1039" i="1"/>
  <c r="V1038" i="1"/>
  <c r="U1038" i="1"/>
  <c r="T1038" i="1"/>
  <c r="H1038" i="1"/>
  <c r="V1037" i="1"/>
  <c r="U1037" i="1"/>
  <c r="T1037" i="1"/>
  <c r="H1037" i="1"/>
  <c r="V1036" i="1"/>
  <c r="U1036" i="1"/>
  <c r="T1036" i="1"/>
  <c r="H1036" i="1"/>
  <c r="V1035" i="1"/>
  <c r="U1035" i="1"/>
  <c r="T1035" i="1"/>
  <c r="H1035" i="1"/>
  <c r="V1034" i="1"/>
  <c r="U1034" i="1"/>
  <c r="T1034" i="1"/>
  <c r="H1034" i="1"/>
  <c r="V1033" i="1"/>
  <c r="U1033" i="1"/>
  <c r="T1033" i="1"/>
  <c r="H1033" i="1"/>
  <c r="V1032" i="1"/>
  <c r="U1032" i="1"/>
  <c r="T1032" i="1"/>
  <c r="H1032" i="1"/>
  <c r="V1031" i="1"/>
  <c r="U1031" i="1"/>
  <c r="T1031" i="1"/>
  <c r="H1031" i="1"/>
  <c r="V1030" i="1"/>
  <c r="U1030" i="1"/>
  <c r="T1030" i="1"/>
  <c r="H1030" i="1"/>
  <c r="V1029" i="1"/>
  <c r="U1029" i="1"/>
  <c r="T1029" i="1"/>
  <c r="H1029" i="1"/>
  <c r="V1028" i="1"/>
  <c r="U1028" i="1"/>
  <c r="T1028" i="1"/>
  <c r="H1028" i="1"/>
  <c r="V1027" i="1"/>
  <c r="U1027" i="1"/>
  <c r="T1027" i="1"/>
  <c r="H1027" i="1"/>
  <c r="V1026" i="1"/>
  <c r="U1026" i="1"/>
  <c r="T1026" i="1"/>
  <c r="H1026" i="1"/>
  <c r="V1025" i="1"/>
  <c r="U1025" i="1"/>
  <c r="T1025" i="1"/>
  <c r="H1025" i="1"/>
  <c r="V1024" i="1"/>
  <c r="U1024" i="1"/>
  <c r="T1024" i="1"/>
  <c r="H1024" i="1"/>
  <c r="V1023" i="1"/>
  <c r="U1023" i="1"/>
  <c r="T1023" i="1"/>
  <c r="H1023" i="1"/>
  <c r="V1022" i="1"/>
  <c r="U1022" i="1"/>
  <c r="T1022" i="1"/>
  <c r="H1022" i="1"/>
  <c r="V1021" i="1"/>
  <c r="U1021" i="1"/>
  <c r="T1021" i="1"/>
  <c r="H1021" i="1"/>
  <c r="V1020" i="1"/>
  <c r="U1020" i="1"/>
  <c r="T1020" i="1"/>
  <c r="H1020" i="1"/>
  <c r="V1019" i="1"/>
  <c r="U1019" i="1"/>
  <c r="T1019" i="1"/>
  <c r="H1019" i="1"/>
  <c r="V1018" i="1"/>
  <c r="U1018" i="1"/>
  <c r="T1018" i="1"/>
  <c r="H1018" i="1"/>
  <c r="V1017" i="1"/>
  <c r="U1017" i="1"/>
  <c r="T1017" i="1"/>
  <c r="H1017" i="1"/>
  <c r="V1016" i="1"/>
  <c r="U1016" i="1"/>
  <c r="T1016" i="1"/>
  <c r="H1016" i="1"/>
  <c r="V1015" i="1"/>
  <c r="U1015" i="1"/>
  <c r="T1015" i="1"/>
  <c r="H1015" i="1"/>
  <c r="V1014" i="1"/>
  <c r="U1014" i="1"/>
  <c r="T1014" i="1"/>
  <c r="H1014" i="1"/>
  <c r="V1013" i="1"/>
  <c r="U1013" i="1"/>
  <c r="T1013" i="1"/>
  <c r="H1013" i="1"/>
  <c r="V1012" i="1"/>
  <c r="U1012" i="1"/>
  <c r="T1012" i="1"/>
  <c r="H1012" i="1"/>
  <c r="V1011" i="1"/>
  <c r="U1011" i="1"/>
  <c r="T1011" i="1"/>
  <c r="H1011" i="1"/>
  <c r="V1010" i="1"/>
  <c r="U1010" i="1"/>
  <c r="T1010" i="1"/>
  <c r="H1010" i="1"/>
  <c r="V1009" i="1"/>
  <c r="U1009" i="1"/>
  <c r="T1009" i="1"/>
  <c r="H1009" i="1"/>
  <c r="V1008" i="1"/>
  <c r="U1008" i="1"/>
  <c r="T1008" i="1"/>
  <c r="H1008" i="1"/>
  <c r="V1007" i="1"/>
  <c r="U1007" i="1"/>
  <c r="T1007" i="1"/>
  <c r="H1007" i="1"/>
  <c r="V1006" i="1"/>
  <c r="U1006" i="1"/>
  <c r="T1006" i="1"/>
  <c r="H1006" i="1"/>
  <c r="V1005" i="1"/>
  <c r="U1005" i="1"/>
  <c r="T1005" i="1"/>
  <c r="H1005" i="1"/>
  <c r="V1004" i="1"/>
  <c r="U1004" i="1"/>
  <c r="T1004" i="1"/>
  <c r="H1004" i="1"/>
  <c r="V1003" i="1"/>
  <c r="U1003" i="1"/>
  <c r="T1003" i="1"/>
  <c r="H1003" i="1"/>
  <c r="V1002" i="1"/>
  <c r="U1002" i="1"/>
  <c r="T1002" i="1"/>
  <c r="H1002" i="1"/>
  <c r="V1001" i="1"/>
  <c r="U1001" i="1"/>
  <c r="T1001" i="1"/>
  <c r="H1001" i="1"/>
  <c r="V1000" i="1"/>
  <c r="U1000" i="1"/>
  <c r="T1000" i="1"/>
  <c r="H1000" i="1"/>
  <c r="V999" i="1"/>
  <c r="U999" i="1"/>
  <c r="T999" i="1"/>
  <c r="H999" i="1"/>
  <c r="V998" i="1"/>
  <c r="U998" i="1"/>
  <c r="T998" i="1"/>
  <c r="H998" i="1"/>
  <c r="V997" i="1"/>
  <c r="U997" i="1"/>
  <c r="T997" i="1"/>
  <c r="H997" i="1"/>
  <c r="V996" i="1"/>
  <c r="U996" i="1"/>
  <c r="T996" i="1"/>
  <c r="H996" i="1"/>
  <c r="V995" i="1"/>
  <c r="U995" i="1"/>
  <c r="T995" i="1"/>
  <c r="H995" i="1"/>
  <c r="V994" i="1"/>
  <c r="U994" i="1"/>
  <c r="T994" i="1"/>
  <c r="H994" i="1"/>
  <c r="V993" i="1"/>
  <c r="U993" i="1"/>
  <c r="T993" i="1"/>
  <c r="H993" i="1"/>
  <c r="V992" i="1"/>
  <c r="U992" i="1"/>
  <c r="T992" i="1"/>
  <c r="H992" i="1"/>
  <c r="V991" i="1"/>
  <c r="U991" i="1"/>
  <c r="T991" i="1"/>
  <c r="H991" i="1"/>
  <c r="V990" i="1"/>
  <c r="U990" i="1"/>
  <c r="T990" i="1"/>
  <c r="H990" i="1"/>
  <c r="V989" i="1"/>
  <c r="U989" i="1"/>
  <c r="T989" i="1"/>
  <c r="H989" i="1"/>
  <c r="V988" i="1"/>
  <c r="U988" i="1"/>
  <c r="T988" i="1"/>
  <c r="H988" i="1"/>
  <c r="V987" i="1"/>
  <c r="U987" i="1"/>
  <c r="T987" i="1"/>
  <c r="H987" i="1"/>
  <c r="V986" i="1"/>
  <c r="U986" i="1"/>
  <c r="T986" i="1"/>
  <c r="H986" i="1"/>
  <c r="V985" i="1"/>
  <c r="U985" i="1"/>
  <c r="T985" i="1"/>
  <c r="H985" i="1"/>
  <c r="V984" i="1"/>
  <c r="U984" i="1"/>
  <c r="T984" i="1"/>
  <c r="H984" i="1"/>
  <c r="V983" i="1"/>
  <c r="U983" i="1"/>
  <c r="T983" i="1"/>
  <c r="H983" i="1"/>
  <c r="V982" i="1"/>
  <c r="U982" i="1"/>
  <c r="T982" i="1"/>
  <c r="H982" i="1"/>
  <c r="V981" i="1"/>
  <c r="U981" i="1"/>
  <c r="T981" i="1"/>
  <c r="H981" i="1"/>
  <c r="V980" i="1"/>
  <c r="U980" i="1"/>
  <c r="T980" i="1"/>
  <c r="H980" i="1"/>
  <c r="V979" i="1"/>
  <c r="U979" i="1"/>
  <c r="T979" i="1"/>
  <c r="H979" i="1"/>
  <c r="V978" i="1"/>
  <c r="U978" i="1"/>
  <c r="T978" i="1"/>
  <c r="H978" i="1"/>
  <c r="V977" i="1"/>
  <c r="U977" i="1"/>
  <c r="T977" i="1"/>
  <c r="H977" i="1"/>
  <c r="V976" i="1"/>
  <c r="U976" i="1"/>
  <c r="T976" i="1"/>
  <c r="H976" i="1"/>
  <c r="V975" i="1"/>
  <c r="U975" i="1"/>
  <c r="T975" i="1"/>
  <c r="H975" i="1"/>
  <c r="V974" i="1"/>
  <c r="U974" i="1"/>
  <c r="T974" i="1"/>
  <c r="H974" i="1"/>
  <c r="V973" i="1"/>
  <c r="U973" i="1"/>
  <c r="T973" i="1"/>
  <c r="H973" i="1"/>
  <c r="V972" i="1"/>
  <c r="U972" i="1"/>
  <c r="T972" i="1"/>
  <c r="H972" i="1"/>
  <c r="V971" i="1"/>
  <c r="U971" i="1"/>
  <c r="T971" i="1"/>
  <c r="H971" i="1"/>
  <c r="V970" i="1"/>
  <c r="U970" i="1"/>
  <c r="T970" i="1"/>
  <c r="H970" i="1"/>
  <c r="V969" i="1"/>
  <c r="U969" i="1"/>
  <c r="T969" i="1"/>
  <c r="H969" i="1"/>
  <c r="V968" i="1"/>
  <c r="U968" i="1"/>
  <c r="T968" i="1"/>
  <c r="H968" i="1"/>
  <c r="V967" i="1"/>
  <c r="U967" i="1"/>
  <c r="T967" i="1"/>
  <c r="H967" i="1"/>
  <c r="V966" i="1"/>
  <c r="U966" i="1"/>
  <c r="T966" i="1"/>
  <c r="H966" i="1"/>
  <c r="V965" i="1"/>
  <c r="U965" i="1"/>
  <c r="T965" i="1"/>
  <c r="H965" i="1"/>
  <c r="V964" i="1"/>
  <c r="U964" i="1"/>
  <c r="T964" i="1"/>
  <c r="H964" i="1"/>
  <c r="V963" i="1"/>
  <c r="U963" i="1"/>
  <c r="T963" i="1"/>
  <c r="H963" i="1"/>
  <c r="V962" i="1"/>
  <c r="U962" i="1"/>
  <c r="T962" i="1"/>
  <c r="H962" i="1"/>
  <c r="V961" i="1"/>
  <c r="U961" i="1"/>
  <c r="T961" i="1"/>
  <c r="H961" i="1"/>
  <c r="V960" i="1"/>
  <c r="U960" i="1"/>
  <c r="T960" i="1"/>
  <c r="H960" i="1"/>
  <c r="V959" i="1"/>
  <c r="U959" i="1"/>
  <c r="T959" i="1"/>
  <c r="H959" i="1"/>
  <c r="V958" i="1"/>
  <c r="U958" i="1"/>
  <c r="T958" i="1"/>
  <c r="H958" i="1"/>
  <c r="V957" i="1"/>
  <c r="U957" i="1"/>
  <c r="T957" i="1"/>
  <c r="H957" i="1"/>
  <c r="V956" i="1"/>
  <c r="U956" i="1"/>
  <c r="T956" i="1"/>
  <c r="H956" i="1"/>
  <c r="V955" i="1"/>
  <c r="U955" i="1"/>
  <c r="T955" i="1"/>
  <c r="H955" i="1"/>
  <c r="V954" i="1"/>
  <c r="U954" i="1"/>
  <c r="T954" i="1"/>
  <c r="H954" i="1"/>
  <c r="V953" i="1"/>
  <c r="U953" i="1"/>
  <c r="T953" i="1"/>
  <c r="H953" i="1"/>
  <c r="V952" i="1"/>
  <c r="U952" i="1"/>
  <c r="T952" i="1"/>
  <c r="H952" i="1"/>
  <c r="V951" i="1"/>
  <c r="U951" i="1"/>
  <c r="T951" i="1"/>
  <c r="H951" i="1"/>
  <c r="V950" i="1"/>
  <c r="U950" i="1"/>
  <c r="T950" i="1"/>
  <c r="H950" i="1"/>
  <c r="V949" i="1"/>
  <c r="U949" i="1"/>
  <c r="T949" i="1"/>
  <c r="H949" i="1"/>
  <c r="V948" i="1"/>
  <c r="U948" i="1"/>
  <c r="T948" i="1"/>
  <c r="H948" i="1"/>
  <c r="V947" i="1"/>
  <c r="U947" i="1"/>
  <c r="T947" i="1"/>
  <c r="H947" i="1"/>
  <c r="V946" i="1"/>
  <c r="U946" i="1"/>
  <c r="T946" i="1"/>
  <c r="H946" i="1"/>
  <c r="V945" i="1"/>
  <c r="U945" i="1"/>
  <c r="T945" i="1"/>
  <c r="H945" i="1"/>
  <c r="V944" i="1"/>
  <c r="U944" i="1"/>
  <c r="T944" i="1"/>
  <c r="H944" i="1"/>
  <c r="V943" i="1"/>
  <c r="U943" i="1"/>
  <c r="T943" i="1"/>
  <c r="H943" i="1"/>
  <c r="V942" i="1"/>
  <c r="U942" i="1"/>
  <c r="T942" i="1"/>
  <c r="H942" i="1"/>
  <c r="V941" i="1"/>
  <c r="U941" i="1"/>
  <c r="T941" i="1"/>
  <c r="H941" i="1"/>
  <c r="V940" i="1"/>
  <c r="U940" i="1"/>
  <c r="T940" i="1"/>
  <c r="H940" i="1"/>
  <c r="V939" i="1"/>
  <c r="U939" i="1"/>
  <c r="T939" i="1"/>
  <c r="H939" i="1"/>
  <c r="V938" i="1"/>
  <c r="U938" i="1"/>
  <c r="T938" i="1"/>
  <c r="H938" i="1"/>
  <c r="V937" i="1"/>
  <c r="U937" i="1"/>
  <c r="T937" i="1"/>
  <c r="H937" i="1"/>
  <c r="V936" i="1"/>
  <c r="U936" i="1"/>
  <c r="T936" i="1"/>
  <c r="H936" i="1"/>
  <c r="V935" i="1"/>
  <c r="U935" i="1"/>
  <c r="T935" i="1"/>
  <c r="H935" i="1"/>
  <c r="V934" i="1"/>
  <c r="U934" i="1"/>
  <c r="T934" i="1"/>
  <c r="H934" i="1"/>
  <c r="V933" i="1"/>
  <c r="U933" i="1"/>
  <c r="T933" i="1"/>
  <c r="H933" i="1"/>
  <c r="V932" i="1"/>
  <c r="U932" i="1"/>
  <c r="T932" i="1"/>
  <c r="H932" i="1"/>
  <c r="V931" i="1"/>
  <c r="U931" i="1"/>
  <c r="T931" i="1"/>
  <c r="H931" i="1"/>
  <c r="V930" i="1"/>
  <c r="U930" i="1"/>
  <c r="T930" i="1"/>
  <c r="H930" i="1"/>
  <c r="V929" i="1"/>
  <c r="U929" i="1"/>
  <c r="T929" i="1"/>
  <c r="H929" i="1"/>
  <c r="V928" i="1"/>
  <c r="U928" i="1"/>
  <c r="T928" i="1"/>
  <c r="H928" i="1"/>
  <c r="V927" i="1"/>
  <c r="U927" i="1"/>
  <c r="T927" i="1"/>
  <c r="H927" i="1"/>
  <c r="V926" i="1"/>
  <c r="U926" i="1"/>
  <c r="T926" i="1"/>
  <c r="H926" i="1"/>
  <c r="V925" i="1"/>
  <c r="U925" i="1"/>
  <c r="T925" i="1"/>
  <c r="H925" i="1"/>
  <c r="V924" i="1"/>
  <c r="U924" i="1"/>
  <c r="T924" i="1"/>
  <c r="H924" i="1"/>
  <c r="V923" i="1"/>
  <c r="U923" i="1"/>
  <c r="T923" i="1"/>
  <c r="H923" i="1"/>
  <c r="V922" i="1"/>
  <c r="U922" i="1"/>
  <c r="T922" i="1"/>
  <c r="H922" i="1"/>
  <c r="V921" i="1"/>
  <c r="U921" i="1"/>
  <c r="T921" i="1"/>
  <c r="H921" i="1"/>
  <c r="V920" i="1"/>
  <c r="U920" i="1"/>
  <c r="T920" i="1"/>
  <c r="H920" i="1"/>
  <c r="V919" i="1"/>
  <c r="U919" i="1"/>
  <c r="T919" i="1"/>
  <c r="H919" i="1"/>
  <c r="V918" i="1"/>
  <c r="U918" i="1"/>
  <c r="T918" i="1"/>
  <c r="H918" i="1"/>
  <c r="V917" i="1"/>
  <c r="U917" i="1"/>
  <c r="T917" i="1"/>
  <c r="H917" i="1"/>
  <c r="V916" i="1"/>
  <c r="U916" i="1"/>
  <c r="T916" i="1"/>
  <c r="H916" i="1"/>
  <c r="V915" i="1"/>
  <c r="U915" i="1"/>
  <c r="T915" i="1"/>
  <c r="H915" i="1"/>
  <c r="V914" i="1"/>
  <c r="U914" i="1"/>
  <c r="T914" i="1"/>
  <c r="H914" i="1"/>
  <c r="V913" i="1"/>
  <c r="U913" i="1"/>
  <c r="T913" i="1"/>
  <c r="H913" i="1"/>
  <c r="V912" i="1"/>
  <c r="U912" i="1"/>
  <c r="T912" i="1"/>
  <c r="H912" i="1"/>
  <c r="V911" i="1"/>
  <c r="U911" i="1"/>
  <c r="T911" i="1"/>
  <c r="H911" i="1"/>
  <c r="V910" i="1"/>
  <c r="U910" i="1"/>
  <c r="T910" i="1"/>
  <c r="H910" i="1"/>
  <c r="V909" i="1"/>
  <c r="U909" i="1"/>
  <c r="T909" i="1"/>
  <c r="H909" i="1"/>
  <c r="V908" i="1"/>
  <c r="U908" i="1"/>
  <c r="T908" i="1"/>
  <c r="H908" i="1"/>
  <c r="V907" i="1"/>
  <c r="U907" i="1"/>
  <c r="T907" i="1"/>
  <c r="H907" i="1"/>
  <c r="V906" i="1"/>
  <c r="U906" i="1"/>
  <c r="T906" i="1"/>
  <c r="H906" i="1"/>
  <c r="V905" i="1"/>
  <c r="U905" i="1"/>
  <c r="T905" i="1"/>
  <c r="H905" i="1"/>
  <c r="V904" i="1"/>
  <c r="U904" i="1"/>
  <c r="T904" i="1"/>
  <c r="H904" i="1"/>
  <c r="V903" i="1"/>
  <c r="U903" i="1"/>
  <c r="T903" i="1"/>
  <c r="H903" i="1"/>
  <c r="V902" i="1"/>
  <c r="U902" i="1"/>
  <c r="T902" i="1"/>
  <c r="H902" i="1"/>
  <c r="V901" i="1"/>
  <c r="U901" i="1"/>
  <c r="T901" i="1"/>
  <c r="H901" i="1"/>
  <c r="V900" i="1"/>
  <c r="U900" i="1"/>
  <c r="T900" i="1"/>
  <c r="H900" i="1"/>
  <c r="V899" i="1"/>
  <c r="U899" i="1"/>
  <c r="T899" i="1"/>
  <c r="H899" i="1"/>
  <c r="V898" i="1"/>
  <c r="U898" i="1"/>
  <c r="T898" i="1"/>
  <c r="H898" i="1"/>
  <c r="V897" i="1"/>
  <c r="U897" i="1"/>
  <c r="T897" i="1"/>
  <c r="H897" i="1"/>
  <c r="V896" i="1"/>
  <c r="U896" i="1"/>
  <c r="T896" i="1"/>
  <c r="H896" i="1"/>
  <c r="V895" i="1"/>
  <c r="U895" i="1"/>
  <c r="T895" i="1"/>
  <c r="H895" i="1"/>
  <c r="V894" i="1"/>
  <c r="U894" i="1"/>
  <c r="T894" i="1"/>
  <c r="H894" i="1"/>
  <c r="V893" i="1"/>
  <c r="U893" i="1"/>
  <c r="T893" i="1"/>
  <c r="H893" i="1"/>
  <c r="V892" i="1"/>
  <c r="U892" i="1"/>
  <c r="T892" i="1"/>
  <c r="H892" i="1"/>
  <c r="V891" i="1"/>
  <c r="U891" i="1"/>
  <c r="T891" i="1"/>
  <c r="H891" i="1"/>
  <c r="V890" i="1"/>
  <c r="U890" i="1"/>
  <c r="T890" i="1"/>
  <c r="H890" i="1"/>
  <c r="V889" i="1"/>
  <c r="U889" i="1"/>
  <c r="T889" i="1"/>
  <c r="H889" i="1"/>
  <c r="V888" i="1"/>
  <c r="U888" i="1"/>
  <c r="T888" i="1"/>
  <c r="H888" i="1"/>
  <c r="V887" i="1"/>
  <c r="U887" i="1"/>
  <c r="T887" i="1"/>
  <c r="H887" i="1"/>
  <c r="V886" i="1"/>
  <c r="U886" i="1"/>
  <c r="T886" i="1"/>
  <c r="H886" i="1"/>
  <c r="V885" i="1"/>
  <c r="U885" i="1"/>
  <c r="T885" i="1"/>
  <c r="H885" i="1"/>
  <c r="V884" i="1"/>
  <c r="U884" i="1"/>
  <c r="T884" i="1"/>
  <c r="H884" i="1"/>
  <c r="V883" i="1"/>
  <c r="U883" i="1"/>
  <c r="T883" i="1"/>
  <c r="H883" i="1"/>
  <c r="V882" i="1"/>
  <c r="U882" i="1"/>
  <c r="T882" i="1"/>
  <c r="H882" i="1"/>
  <c r="V881" i="1"/>
  <c r="U881" i="1"/>
  <c r="T881" i="1"/>
  <c r="H881" i="1"/>
  <c r="V880" i="1"/>
  <c r="U880" i="1"/>
  <c r="T880" i="1"/>
  <c r="H880" i="1"/>
  <c r="V879" i="1"/>
  <c r="U879" i="1"/>
  <c r="T879" i="1"/>
  <c r="H879" i="1"/>
  <c r="V878" i="1"/>
  <c r="U878" i="1"/>
  <c r="T878" i="1"/>
  <c r="H878" i="1"/>
  <c r="V877" i="1"/>
  <c r="U877" i="1"/>
  <c r="T877" i="1"/>
  <c r="H877" i="1"/>
  <c r="V876" i="1"/>
  <c r="U876" i="1"/>
  <c r="T876" i="1"/>
  <c r="H876" i="1"/>
  <c r="V875" i="1"/>
  <c r="U875" i="1"/>
  <c r="T875" i="1"/>
  <c r="H875" i="1"/>
  <c r="V874" i="1"/>
  <c r="U874" i="1"/>
  <c r="T874" i="1"/>
  <c r="H874" i="1"/>
  <c r="V873" i="1"/>
  <c r="U873" i="1"/>
  <c r="T873" i="1"/>
  <c r="H873" i="1"/>
  <c r="V872" i="1"/>
  <c r="U872" i="1"/>
  <c r="T872" i="1"/>
  <c r="H872" i="1"/>
  <c r="V871" i="1"/>
  <c r="U871" i="1"/>
  <c r="T871" i="1"/>
  <c r="H871" i="1"/>
  <c r="V870" i="1"/>
  <c r="U870" i="1"/>
  <c r="T870" i="1"/>
  <c r="H870" i="1"/>
  <c r="V869" i="1"/>
  <c r="U869" i="1"/>
  <c r="T869" i="1"/>
  <c r="H869" i="1"/>
  <c r="V868" i="1"/>
  <c r="U868" i="1"/>
  <c r="T868" i="1"/>
  <c r="H868" i="1"/>
  <c r="V867" i="1"/>
  <c r="U867" i="1"/>
  <c r="T867" i="1"/>
  <c r="H867" i="1"/>
  <c r="V866" i="1"/>
  <c r="U866" i="1"/>
  <c r="T866" i="1"/>
  <c r="H866" i="1"/>
  <c r="V865" i="1"/>
  <c r="U865" i="1"/>
  <c r="T865" i="1"/>
  <c r="H865" i="1"/>
  <c r="V864" i="1"/>
  <c r="U864" i="1"/>
  <c r="T864" i="1"/>
  <c r="H864" i="1"/>
  <c r="V863" i="1"/>
  <c r="U863" i="1"/>
  <c r="T863" i="1"/>
  <c r="H863" i="1"/>
  <c r="V862" i="1"/>
  <c r="U862" i="1"/>
  <c r="T862" i="1"/>
  <c r="H862" i="1"/>
  <c r="V861" i="1"/>
  <c r="U861" i="1"/>
  <c r="T861" i="1"/>
  <c r="H861" i="1"/>
  <c r="V860" i="1"/>
  <c r="U860" i="1"/>
  <c r="T860" i="1"/>
  <c r="H860" i="1"/>
  <c r="V859" i="1"/>
  <c r="U859" i="1"/>
  <c r="T859" i="1"/>
  <c r="H859" i="1"/>
  <c r="V858" i="1"/>
  <c r="U858" i="1"/>
  <c r="T858" i="1"/>
  <c r="H858" i="1"/>
  <c r="V857" i="1"/>
  <c r="U857" i="1"/>
  <c r="T857" i="1"/>
  <c r="H857" i="1"/>
  <c r="V856" i="1"/>
  <c r="U856" i="1"/>
  <c r="T856" i="1"/>
  <c r="H856" i="1"/>
  <c r="V855" i="1"/>
  <c r="U855" i="1"/>
  <c r="T855" i="1"/>
  <c r="H855" i="1"/>
  <c r="V854" i="1"/>
  <c r="U854" i="1"/>
  <c r="T854" i="1"/>
  <c r="H854" i="1"/>
  <c r="V853" i="1"/>
  <c r="U853" i="1"/>
  <c r="T853" i="1"/>
  <c r="H853" i="1"/>
  <c r="V852" i="1"/>
  <c r="U852" i="1"/>
  <c r="T852" i="1"/>
  <c r="H852" i="1"/>
  <c r="V851" i="1"/>
  <c r="U851" i="1"/>
  <c r="T851" i="1"/>
  <c r="H851" i="1"/>
  <c r="V850" i="1"/>
  <c r="U850" i="1"/>
  <c r="T850" i="1"/>
  <c r="H850" i="1"/>
  <c r="V849" i="1"/>
  <c r="U849" i="1"/>
  <c r="T849" i="1"/>
  <c r="H849" i="1"/>
  <c r="V848" i="1"/>
  <c r="U848" i="1"/>
  <c r="T848" i="1"/>
  <c r="H848" i="1"/>
  <c r="V847" i="1"/>
  <c r="U847" i="1"/>
  <c r="T847" i="1"/>
  <c r="H847" i="1"/>
  <c r="V846" i="1"/>
  <c r="U846" i="1"/>
  <c r="T846" i="1"/>
  <c r="H846" i="1"/>
  <c r="V845" i="1"/>
  <c r="U845" i="1"/>
  <c r="T845" i="1"/>
  <c r="H845" i="1"/>
  <c r="V844" i="1"/>
  <c r="U844" i="1"/>
  <c r="T844" i="1"/>
  <c r="H844" i="1"/>
  <c r="V843" i="1"/>
  <c r="U843" i="1"/>
  <c r="T843" i="1"/>
  <c r="H843" i="1"/>
  <c r="V842" i="1"/>
  <c r="U842" i="1"/>
  <c r="T842" i="1"/>
  <c r="H842" i="1"/>
  <c r="V841" i="1"/>
  <c r="U841" i="1"/>
  <c r="T841" i="1"/>
  <c r="H841" i="1"/>
  <c r="V840" i="1"/>
  <c r="U840" i="1"/>
  <c r="T840" i="1"/>
  <c r="H840" i="1"/>
  <c r="V839" i="1"/>
  <c r="U839" i="1"/>
  <c r="T839" i="1"/>
  <c r="H839" i="1"/>
  <c r="V838" i="1"/>
  <c r="U838" i="1"/>
  <c r="T838" i="1"/>
  <c r="H838" i="1"/>
  <c r="V837" i="1"/>
  <c r="U837" i="1"/>
  <c r="T837" i="1"/>
  <c r="H837" i="1"/>
  <c r="V836" i="1"/>
  <c r="U836" i="1"/>
  <c r="T836" i="1"/>
  <c r="H836" i="1"/>
  <c r="V835" i="1"/>
  <c r="U835" i="1"/>
  <c r="T835" i="1"/>
  <c r="H835" i="1"/>
  <c r="V834" i="1"/>
  <c r="U834" i="1"/>
  <c r="T834" i="1"/>
  <c r="H834" i="1"/>
  <c r="V833" i="1"/>
  <c r="U833" i="1"/>
  <c r="T833" i="1"/>
  <c r="H833" i="1"/>
  <c r="V832" i="1"/>
  <c r="U832" i="1"/>
  <c r="T832" i="1"/>
  <c r="H832" i="1"/>
  <c r="V831" i="1"/>
  <c r="U831" i="1"/>
  <c r="T831" i="1"/>
  <c r="H831" i="1"/>
  <c r="V830" i="1"/>
  <c r="U830" i="1"/>
  <c r="T830" i="1"/>
  <c r="H830" i="1"/>
  <c r="V829" i="1"/>
  <c r="U829" i="1"/>
  <c r="T829" i="1"/>
  <c r="H829" i="1"/>
  <c r="V828" i="1"/>
  <c r="U828" i="1"/>
  <c r="T828" i="1"/>
  <c r="H828" i="1"/>
  <c r="V827" i="1"/>
  <c r="U827" i="1"/>
  <c r="T827" i="1"/>
  <c r="H827" i="1"/>
  <c r="V826" i="1"/>
  <c r="U826" i="1"/>
  <c r="T826" i="1"/>
  <c r="H826" i="1"/>
  <c r="V825" i="1"/>
  <c r="U825" i="1"/>
  <c r="T825" i="1"/>
  <c r="H825" i="1"/>
  <c r="V824" i="1"/>
  <c r="U824" i="1"/>
  <c r="T824" i="1"/>
  <c r="H824" i="1"/>
  <c r="V823" i="1"/>
  <c r="U823" i="1"/>
  <c r="T823" i="1"/>
  <c r="H823" i="1"/>
  <c r="V822" i="1"/>
  <c r="U822" i="1"/>
  <c r="T822" i="1"/>
  <c r="H822" i="1"/>
  <c r="V821" i="1"/>
  <c r="U821" i="1"/>
  <c r="T821" i="1"/>
  <c r="H821" i="1"/>
  <c r="V820" i="1"/>
  <c r="U820" i="1"/>
  <c r="T820" i="1"/>
  <c r="H820" i="1"/>
  <c r="V819" i="1"/>
  <c r="U819" i="1"/>
  <c r="T819" i="1"/>
  <c r="H819" i="1"/>
  <c r="V818" i="1"/>
  <c r="U818" i="1"/>
  <c r="T818" i="1"/>
  <c r="H818" i="1"/>
  <c r="V817" i="1"/>
  <c r="U817" i="1"/>
  <c r="T817" i="1"/>
  <c r="H817" i="1"/>
  <c r="V816" i="1"/>
  <c r="U816" i="1"/>
  <c r="T816" i="1"/>
  <c r="H816" i="1"/>
  <c r="V815" i="1"/>
  <c r="U815" i="1"/>
  <c r="T815" i="1"/>
  <c r="H815" i="1"/>
  <c r="V814" i="1"/>
  <c r="U814" i="1"/>
  <c r="T814" i="1"/>
  <c r="H814" i="1"/>
  <c r="V813" i="1"/>
  <c r="U813" i="1"/>
  <c r="T813" i="1"/>
  <c r="H813" i="1"/>
  <c r="V812" i="1"/>
  <c r="U812" i="1"/>
  <c r="T812" i="1"/>
  <c r="H812" i="1"/>
  <c r="V811" i="1"/>
  <c r="U811" i="1"/>
  <c r="T811" i="1"/>
  <c r="H811" i="1"/>
  <c r="V810" i="1"/>
  <c r="U810" i="1"/>
  <c r="T810" i="1"/>
  <c r="H810" i="1"/>
  <c r="V809" i="1"/>
  <c r="U809" i="1"/>
  <c r="T809" i="1"/>
  <c r="H809" i="1"/>
  <c r="V808" i="1"/>
  <c r="U808" i="1"/>
  <c r="T808" i="1"/>
  <c r="H808" i="1"/>
  <c r="V807" i="1"/>
  <c r="U807" i="1"/>
  <c r="T807" i="1"/>
  <c r="H807" i="1"/>
  <c r="V806" i="1"/>
  <c r="U806" i="1"/>
  <c r="T806" i="1"/>
  <c r="H806" i="1"/>
  <c r="V805" i="1"/>
  <c r="U805" i="1"/>
  <c r="T805" i="1"/>
  <c r="H805" i="1"/>
  <c r="V804" i="1"/>
  <c r="U804" i="1"/>
  <c r="T804" i="1"/>
  <c r="H804" i="1"/>
  <c r="V803" i="1"/>
  <c r="U803" i="1"/>
  <c r="T803" i="1"/>
  <c r="H803" i="1"/>
  <c r="V802" i="1"/>
  <c r="U802" i="1"/>
  <c r="T802" i="1"/>
  <c r="H802" i="1"/>
  <c r="V801" i="1"/>
  <c r="U801" i="1"/>
  <c r="T801" i="1"/>
  <c r="H801" i="1"/>
  <c r="V800" i="1"/>
  <c r="U800" i="1"/>
  <c r="T800" i="1"/>
  <c r="H800" i="1"/>
  <c r="V799" i="1"/>
  <c r="U799" i="1"/>
  <c r="T799" i="1"/>
  <c r="H799" i="1"/>
  <c r="V798" i="1"/>
  <c r="U798" i="1"/>
  <c r="T798" i="1"/>
  <c r="H798" i="1"/>
  <c r="V797" i="1"/>
  <c r="U797" i="1"/>
  <c r="T797" i="1"/>
  <c r="H797" i="1"/>
  <c r="V796" i="1"/>
  <c r="U796" i="1"/>
  <c r="T796" i="1"/>
  <c r="H796" i="1"/>
  <c r="V795" i="1"/>
  <c r="U795" i="1"/>
  <c r="T795" i="1"/>
  <c r="H795" i="1"/>
  <c r="V794" i="1"/>
  <c r="U794" i="1"/>
  <c r="T794" i="1"/>
  <c r="H794" i="1"/>
  <c r="V793" i="1"/>
  <c r="U793" i="1"/>
  <c r="T793" i="1"/>
  <c r="H793" i="1"/>
  <c r="V792" i="1"/>
  <c r="U792" i="1"/>
  <c r="T792" i="1"/>
  <c r="H792" i="1"/>
  <c r="V791" i="1"/>
  <c r="U791" i="1"/>
  <c r="T791" i="1"/>
  <c r="H791" i="1"/>
  <c r="V790" i="1"/>
  <c r="U790" i="1"/>
  <c r="T790" i="1"/>
  <c r="H790" i="1"/>
  <c r="V789" i="1"/>
  <c r="U789" i="1"/>
  <c r="T789" i="1"/>
  <c r="H789" i="1"/>
  <c r="V788" i="1"/>
  <c r="U788" i="1"/>
  <c r="T788" i="1"/>
  <c r="H788" i="1"/>
  <c r="V787" i="1"/>
  <c r="U787" i="1"/>
  <c r="T787" i="1"/>
  <c r="H787" i="1"/>
  <c r="V786" i="1"/>
  <c r="U786" i="1"/>
  <c r="T786" i="1"/>
  <c r="H786" i="1"/>
  <c r="V785" i="1"/>
  <c r="U785" i="1"/>
  <c r="T785" i="1"/>
  <c r="H785" i="1"/>
  <c r="V784" i="1"/>
  <c r="U784" i="1"/>
  <c r="T784" i="1"/>
  <c r="H784" i="1"/>
  <c r="V783" i="1"/>
  <c r="U783" i="1"/>
  <c r="T783" i="1"/>
  <c r="H783" i="1"/>
  <c r="V782" i="1"/>
  <c r="U782" i="1"/>
  <c r="T782" i="1"/>
  <c r="H782" i="1"/>
  <c r="V781" i="1"/>
  <c r="U781" i="1"/>
  <c r="T781" i="1"/>
  <c r="H781" i="1"/>
  <c r="V780" i="1"/>
  <c r="U780" i="1"/>
  <c r="T780" i="1"/>
  <c r="H780" i="1"/>
  <c r="V779" i="1"/>
  <c r="U779" i="1"/>
  <c r="T779" i="1"/>
  <c r="H779" i="1"/>
  <c r="V778" i="1"/>
  <c r="U778" i="1"/>
  <c r="T778" i="1"/>
  <c r="H778" i="1"/>
  <c r="V777" i="1"/>
  <c r="U777" i="1"/>
  <c r="T777" i="1"/>
  <c r="H777" i="1"/>
  <c r="V776" i="1"/>
  <c r="U776" i="1"/>
  <c r="T776" i="1"/>
  <c r="H776" i="1"/>
  <c r="V775" i="1"/>
  <c r="U775" i="1"/>
  <c r="T775" i="1"/>
  <c r="H775" i="1"/>
  <c r="V774" i="1"/>
  <c r="U774" i="1"/>
  <c r="T774" i="1"/>
  <c r="H774" i="1"/>
  <c r="V773" i="1"/>
  <c r="U773" i="1"/>
  <c r="T773" i="1"/>
  <c r="H773" i="1"/>
  <c r="V772" i="1"/>
  <c r="U772" i="1"/>
  <c r="T772" i="1"/>
  <c r="H772" i="1"/>
  <c r="V771" i="1"/>
  <c r="U771" i="1"/>
  <c r="T771" i="1"/>
  <c r="H771" i="1"/>
  <c r="V770" i="1"/>
  <c r="U770" i="1"/>
  <c r="T770" i="1"/>
  <c r="H770" i="1"/>
  <c r="V769" i="1"/>
  <c r="U769" i="1"/>
  <c r="T769" i="1"/>
  <c r="H769" i="1"/>
  <c r="V768" i="1"/>
  <c r="U768" i="1"/>
  <c r="T768" i="1"/>
  <c r="H768" i="1"/>
  <c r="V767" i="1"/>
  <c r="U767" i="1"/>
  <c r="T767" i="1"/>
  <c r="H767" i="1"/>
  <c r="V766" i="1"/>
  <c r="U766" i="1"/>
  <c r="T766" i="1"/>
  <c r="H766" i="1"/>
  <c r="V765" i="1"/>
  <c r="U765" i="1"/>
  <c r="T765" i="1"/>
  <c r="H765" i="1"/>
  <c r="V764" i="1"/>
  <c r="U764" i="1"/>
  <c r="T764" i="1"/>
  <c r="H764" i="1"/>
  <c r="V763" i="1"/>
  <c r="U763" i="1"/>
  <c r="T763" i="1"/>
  <c r="H763" i="1"/>
  <c r="V762" i="1"/>
  <c r="U762" i="1"/>
  <c r="T762" i="1"/>
  <c r="H762" i="1"/>
  <c r="V761" i="1"/>
  <c r="U761" i="1"/>
  <c r="T761" i="1"/>
  <c r="H761" i="1"/>
  <c r="V760" i="1"/>
  <c r="U760" i="1"/>
  <c r="T760" i="1"/>
  <c r="H760" i="1"/>
  <c r="V759" i="1"/>
  <c r="U759" i="1"/>
  <c r="T759" i="1"/>
  <c r="H759" i="1"/>
  <c r="V758" i="1"/>
  <c r="U758" i="1"/>
  <c r="T758" i="1"/>
  <c r="H758" i="1"/>
  <c r="V757" i="1"/>
  <c r="U757" i="1"/>
  <c r="T757" i="1"/>
  <c r="H757" i="1"/>
  <c r="V756" i="1"/>
  <c r="U756" i="1"/>
  <c r="T756" i="1"/>
  <c r="H756" i="1"/>
  <c r="V755" i="1"/>
  <c r="U755" i="1"/>
  <c r="T755" i="1"/>
  <c r="H755" i="1"/>
  <c r="V754" i="1"/>
  <c r="U754" i="1"/>
  <c r="T754" i="1"/>
  <c r="H754" i="1"/>
  <c r="V753" i="1"/>
  <c r="U753" i="1"/>
  <c r="T753" i="1"/>
  <c r="H753" i="1"/>
  <c r="V752" i="1"/>
  <c r="U752" i="1"/>
  <c r="T752" i="1"/>
  <c r="H752" i="1"/>
  <c r="V751" i="1"/>
  <c r="U751" i="1"/>
  <c r="T751" i="1"/>
  <c r="H751" i="1"/>
  <c r="V750" i="1"/>
  <c r="U750" i="1"/>
  <c r="T750" i="1"/>
  <c r="H750" i="1"/>
  <c r="V749" i="1"/>
  <c r="U749" i="1"/>
  <c r="T749" i="1"/>
  <c r="H749" i="1"/>
  <c r="V748" i="1"/>
  <c r="U748" i="1"/>
  <c r="T748" i="1"/>
  <c r="H748" i="1"/>
  <c r="V747" i="1"/>
  <c r="U747" i="1"/>
  <c r="T747" i="1"/>
  <c r="H747" i="1"/>
  <c r="V746" i="1"/>
  <c r="U746" i="1"/>
  <c r="T746" i="1"/>
  <c r="H746" i="1"/>
  <c r="V745" i="1"/>
  <c r="U745" i="1"/>
  <c r="T745" i="1"/>
  <c r="H745" i="1"/>
  <c r="V744" i="1"/>
  <c r="U744" i="1"/>
  <c r="T744" i="1"/>
  <c r="H744" i="1"/>
  <c r="V743" i="1"/>
  <c r="U743" i="1"/>
  <c r="T743" i="1"/>
  <c r="H743" i="1"/>
  <c r="V742" i="1"/>
  <c r="U742" i="1"/>
  <c r="T742" i="1"/>
  <c r="H742" i="1"/>
  <c r="V741" i="1"/>
  <c r="U741" i="1"/>
  <c r="T741" i="1"/>
  <c r="H741" i="1"/>
  <c r="V740" i="1"/>
  <c r="U740" i="1"/>
  <c r="T740" i="1"/>
  <c r="H740" i="1"/>
  <c r="V739" i="1"/>
  <c r="U739" i="1"/>
  <c r="T739" i="1"/>
  <c r="H739" i="1"/>
  <c r="V738" i="1"/>
  <c r="U738" i="1"/>
  <c r="T738" i="1"/>
  <c r="H738" i="1"/>
  <c r="V737" i="1"/>
  <c r="U737" i="1"/>
  <c r="T737" i="1"/>
  <c r="H737" i="1"/>
  <c r="V736" i="1"/>
  <c r="U736" i="1"/>
  <c r="T736" i="1"/>
  <c r="H736" i="1"/>
  <c r="V735" i="1"/>
  <c r="U735" i="1"/>
  <c r="T735" i="1"/>
  <c r="H735" i="1"/>
  <c r="V734" i="1"/>
  <c r="U734" i="1"/>
  <c r="T734" i="1"/>
  <c r="H734" i="1"/>
  <c r="V733" i="1"/>
  <c r="U733" i="1"/>
  <c r="T733" i="1"/>
  <c r="H733" i="1"/>
  <c r="V732" i="1"/>
  <c r="U732" i="1"/>
  <c r="T732" i="1"/>
  <c r="H732" i="1"/>
  <c r="V731" i="1"/>
  <c r="U731" i="1"/>
  <c r="T731" i="1"/>
  <c r="H731" i="1"/>
  <c r="V730" i="1"/>
  <c r="U730" i="1"/>
  <c r="T730" i="1"/>
  <c r="H730" i="1"/>
  <c r="V729" i="1"/>
  <c r="U729" i="1"/>
  <c r="T729" i="1"/>
  <c r="H729" i="1"/>
  <c r="V728" i="1"/>
  <c r="U728" i="1"/>
  <c r="T728" i="1"/>
  <c r="H728" i="1"/>
  <c r="V727" i="1"/>
  <c r="U727" i="1"/>
  <c r="T727" i="1"/>
  <c r="H727" i="1"/>
  <c r="V726" i="1"/>
  <c r="U726" i="1"/>
  <c r="T726" i="1"/>
  <c r="H726" i="1"/>
  <c r="V725" i="1"/>
  <c r="U725" i="1"/>
  <c r="T725" i="1"/>
  <c r="H725" i="1"/>
  <c r="V724" i="1"/>
  <c r="U724" i="1"/>
  <c r="T724" i="1"/>
  <c r="H724" i="1"/>
  <c r="V723" i="1"/>
  <c r="U723" i="1"/>
  <c r="T723" i="1"/>
  <c r="H723" i="1"/>
  <c r="V722" i="1"/>
  <c r="U722" i="1"/>
  <c r="T722" i="1"/>
  <c r="H722" i="1"/>
  <c r="V721" i="1"/>
  <c r="U721" i="1"/>
  <c r="T721" i="1"/>
  <c r="H721" i="1"/>
  <c r="V720" i="1"/>
  <c r="U720" i="1"/>
  <c r="T720" i="1"/>
  <c r="H720" i="1"/>
  <c r="V719" i="1"/>
  <c r="U719" i="1"/>
  <c r="T719" i="1"/>
  <c r="H719" i="1"/>
  <c r="V718" i="1"/>
  <c r="U718" i="1"/>
  <c r="T718" i="1"/>
  <c r="H718" i="1"/>
  <c r="V717" i="1"/>
  <c r="U717" i="1"/>
  <c r="T717" i="1"/>
  <c r="H717" i="1"/>
  <c r="V716" i="1"/>
  <c r="U716" i="1"/>
  <c r="T716" i="1"/>
  <c r="H716" i="1"/>
  <c r="V715" i="1"/>
  <c r="U715" i="1"/>
  <c r="T715" i="1"/>
  <c r="H715" i="1"/>
  <c r="V714" i="1"/>
  <c r="U714" i="1"/>
  <c r="T714" i="1"/>
  <c r="H714" i="1"/>
  <c r="V713" i="1"/>
  <c r="U713" i="1"/>
  <c r="T713" i="1"/>
  <c r="H713" i="1"/>
  <c r="V712" i="1"/>
  <c r="U712" i="1"/>
  <c r="T712" i="1"/>
  <c r="H712" i="1"/>
  <c r="V711" i="1"/>
  <c r="U711" i="1"/>
  <c r="T711" i="1"/>
  <c r="H711" i="1"/>
  <c r="V710" i="1"/>
  <c r="U710" i="1"/>
  <c r="T710" i="1"/>
  <c r="H710" i="1"/>
  <c r="V709" i="1"/>
  <c r="U709" i="1"/>
  <c r="T709" i="1"/>
  <c r="H709" i="1"/>
  <c r="V708" i="1"/>
  <c r="U708" i="1"/>
  <c r="T708" i="1"/>
  <c r="H708" i="1"/>
  <c r="V707" i="1"/>
  <c r="U707" i="1"/>
  <c r="T707" i="1"/>
  <c r="H707" i="1"/>
  <c r="V706" i="1"/>
  <c r="U706" i="1"/>
  <c r="T706" i="1"/>
  <c r="H706" i="1"/>
  <c r="V705" i="1"/>
  <c r="U705" i="1"/>
  <c r="T705" i="1"/>
  <c r="H705" i="1"/>
  <c r="V704" i="1"/>
  <c r="U704" i="1"/>
  <c r="T704" i="1"/>
  <c r="H704" i="1"/>
  <c r="V703" i="1"/>
  <c r="U703" i="1"/>
  <c r="T703" i="1"/>
  <c r="H703" i="1"/>
  <c r="V702" i="1"/>
  <c r="U702" i="1"/>
  <c r="T702" i="1"/>
  <c r="H702" i="1"/>
  <c r="V701" i="1"/>
  <c r="U701" i="1"/>
  <c r="T701" i="1"/>
  <c r="H701" i="1"/>
  <c r="V700" i="1"/>
  <c r="U700" i="1"/>
  <c r="T700" i="1"/>
  <c r="H700" i="1"/>
  <c r="V699" i="1"/>
  <c r="U699" i="1"/>
  <c r="T699" i="1"/>
  <c r="H699" i="1"/>
  <c r="V698" i="1"/>
  <c r="U698" i="1"/>
  <c r="T698" i="1"/>
  <c r="H698" i="1"/>
  <c r="V697" i="1"/>
  <c r="U697" i="1"/>
  <c r="T697" i="1"/>
  <c r="H697" i="1"/>
  <c r="V696" i="1"/>
  <c r="U696" i="1"/>
  <c r="T696" i="1"/>
  <c r="H696" i="1"/>
  <c r="V695" i="1"/>
  <c r="U695" i="1"/>
  <c r="T695" i="1"/>
  <c r="H695" i="1"/>
  <c r="V694" i="1"/>
  <c r="U694" i="1"/>
  <c r="T694" i="1"/>
  <c r="H694" i="1"/>
  <c r="V693" i="1"/>
  <c r="U693" i="1"/>
  <c r="T693" i="1"/>
  <c r="H693" i="1"/>
  <c r="V692" i="1"/>
  <c r="U692" i="1"/>
  <c r="T692" i="1"/>
  <c r="H692" i="1"/>
  <c r="V691" i="1"/>
  <c r="U691" i="1"/>
  <c r="T691" i="1"/>
  <c r="H691" i="1"/>
  <c r="V690" i="1"/>
  <c r="U690" i="1"/>
  <c r="T690" i="1"/>
  <c r="H690" i="1"/>
  <c r="V689" i="1"/>
  <c r="U689" i="1"/>
  <c r="T689" i="1"/>
  <c r="H689" i="1"/>
  <c r="V688" i="1"/>
  <c r="U688" i="1"/>
  <c r="T688" i="1"/>
  <c r="H688" i="1"/>
  <c r="V687" i="1"/>
  <c r="U687" i="1"/>
  <c r="T687" i="1"/>
  <c r="H687" i="1"/>
  <c r="V686" i="1"/>
  <c r="U686" i="1"/>
  <c r="T686" i="1"/>
  <c r="H686" i="1"/>
  <c r="V685" i="1"/>
  <c r="U685" i="1"/>
  <c r="T685" i="1"/>
  <c r="H685" i="1"/>
  <c r="V684" i="1"/>
  <c r="U684" i="1"/>
  <c r="T684" i="1"/>
  <c r="H684" i="1"/>
  <c r="V683" i="1"/>
  <c r="U683" i="1"/>
  <c r="T683" i="1"/>
  <c r="H683" i="1"/>
  <c r="V682" i="1"/>
  <c r="U682" i="1"/>
  <c r="T682" i="1"/>
  <c r="H682" i="1"/>
  <c r="V681" i="1"/>
  <c r="U681" i="1"/>
  <c r="T681" i="1"/>
  <c r="H681" i="1"/>
  <c r="V680" i="1"/>
  <c r="U680" i="1"/>
  <c r="T680" i="1"/>
  <c r="H680" i="1"/>
  <c r="V679" i="1"/>
  <c r="U679" i="1"/>
  <c r="T679" i="1"/>
  <c r="H679" i="1"/>
  <c r="V678" i="1"/>
  <c r="U678" i="1"/>
  <c r="T678" i="1"/>
  <c r="H678" i="1"/>
  <c r="V677" i="1"/>
  <c r="U677" i="1"/>
  <c r="T677" i="1"/>
  <c r="H677" i="1"/>
  <c r="V676" i="1"/>
  <c r="U676" i="1"/>
  <c r="T676" i="1"/>
  <c r="H676" i="1"/>
  <c r="V675" i="1"/>
  <c r="U675" i="1"/>
  <c r="T675" i="1"/>
  <c r="H675" i="1"/>
  <c r="V674" i="1"/>
  <c r="U674" i="1"/>
  <c r="T674" i="1"/>
  <c r="H674" i="1"/>
  <c r="V673" i="1"/>
  <c r="U673" i="1"/>
  <c r="T673" i="1"/>
  <c r="H673" i="1"/>
  <c r="V672" i="1"/>
  <c r="U672" i="1"/>
  <c r="T672" i="1"/>
  <c r="H672" i="1"/>
  <c r="V671" i="1"/>
  <c r="U671" i="1"/>
  <c r="T671" i="1"/>
  <c r="H671" i="1"/>
  <c r="V670" i="1"/>
  <c r="U670" i="1"/>
  <c r="T670" i="1"/>
  <c r="H670" i="1"/>
  <c r="V669" i="1"/>
  <c r="U669" i="1"/>
  <c r="T669" i="1"/>
  <c r="H669" i="1"/>
  <c r="V668" i="1"/>
  <c r="U668" i="1"/>
  <c r="T668" i="1"/>
  <c r="H668" i="1"/>
  <c r="V667" i="1"/>
  <c r="U667" i="1"/>
  <c r="T667" i="1"/>
  <c r="H667" i="1"/>
  <c r="V666" i="1"/>
  <c r="U666" i="1"/>
  <c r="T666" i="1"/>
  <c r="H666" i="1"/>
  <c r="V665" i="1"/>
  <c r="U665" i="1"/>
  <c r="T665" i="1"/>
  <c r="H665" i="1"/>
  <c r="V664" i="1"/>
  <c r="U664" i="1"/>
  <c r="T664" i="1"/>
  <c r="H664" i="1"/>
  <c r="V663" i="1"/>
  <c r="U663" i="1"/>
  <c r="T663" i="1"/>
  <c r="H663" i="1"/>
  <c r="V662" i="1"/>
  <c r="U662" i="1"/>
  <c r="T662" i="1"/>
  <c r="H662" i="1"/>
  <c r="V661" i="1"/>
  <c r="U661" i="1"/>
  <c r="T661" i="1"/>
  <c r="H661" i="1"/>
  <c r="V660" i="1"/>
  <c r="U660" i="1"/>
  <c r="T660" i="1"/>
  <c r="H660" i="1"/>
  <c r="V659" i="1"/>
  <c r="U659" i="1"/>
  <c r="T659" i="1"/>
  <c r="H659" i="1"/>
  <c r="V658" i="1"/>
  <c r="U658" i="1"/>
  <c r="T658" i="1"/>
  <c r="H658" i="1"/>
  <c r="V657" i="1"/>
  <c r="U657" i="1"/>
  <c r="T657" i="1"/>
  <c r="H657" i="1"/>
  <c r="V656" i="1"/>
  <c r="U656" i="1"/>
  <c r="T656" i="1"/>
  <c r="H656" i="1"/>
  <c r="V655" i="1"/>
  <c r="U655" i="1"/>
  <c r="T655" i="1"/>
  <c r="H655" i="1"/>
  <c r="V654" i="1"/>
  <c r="U654" i="1"/>
  <c r="T654" i="1"/>
  <c r="H654" i="1"/>
  <c r="V653" i="1"/>
  <c r="U653" i="1"/>
  <c r="T653" i="1"/>
  <c r="H653" i="1"/>
  <c r="V652" i="1"/>
  <c r="U652" i="1"/>
  <c r="T652" i="1"/>
  <c r="H652" i="1"/>
  <c r="V651" i="1"/>
  <c r="U651" i="1"/>
  <c r="T651" i="1"/>
  <c r="H651" i="1"/>
  <c r="V650" i="1"/>
  <c r="U650" i="1"/>
  <c r="T650" i="1"/>
  <c r="H650" i="1"/>
  <c r="V649" i="1"/>
  <c r="U649" i="1"/>
  <c r="T649" i="1"/>
  <c r="H649" i="1"/>
  <c r="V648" i="1"/>
  <c r="U648" i="1"/>
  <c r="T648" i="1"/>
  <c r="H648" i="1"/>
  <c r="V647" i="1"/>
  <c r="U647" i="1"/>
  <c r="T647" i="1"/>
  <c r="H647" i="1"/>
  <c r="V646" i="1"/>
  <c r="U646" i="1"/>
  <c r="T646" i="1"/>
  <c r="H646" i="1"/>
  <c r="V645" i="1"/>
  <c r="U645" i="1"/>
  <c r="T645" i="1"/>
  <c r="H645" i="1"/>
  <c r="V644" i="1"/>
  <c r="U644" i="1"/>
  <c r="T644" i="1"/>
  <c r="H644" i="1"/>
  <c r="V643" i="1"/>
  <c r="U643" i="1"/>
  <c r="T643" i="1"/>
  <c r="H643" i="1"/>
  <c r="V642" i="1"/>
  <c r="U642" i="1"/>
  <c r="T642" i="1"/>
  <c r="H642" i="1"/>
  <c r="V641" i="1"/>
  <c r="U641" i="1"/>
  <c r="T641" i="1"/>
  <c r="H641" i="1"/>
  <c r="V640" i="1"/>
  <c r="U640" i="1"/>
  <c r="T640" i="1"/>
  <c r="H640" i="1"/>
  <c r="V639" i="1"/>
  <c r="U639" i="1"/>
  <c r="T639" i="1"/>
  <c r="H639" i="1"/>
  <c r="V638" i="1"/>
  <c r="U638" i="1"/>
  <c r="T638" i="1"/>
  <c r="H638" i="1"/>
  <c r="V637" i="1"/>
  <c r="U637" i="1"/>
  <c r="T637" i="1"/>
  <c r="H637" i="1"/>
  <c r="V636" i="1"/>
  <c r="U636" i="1"/>
  <c r="T636" i="1"/>
  <c r="H636" i="1"/>
  <c r="V635" i="1"/>
  <c r="U635" i="1"/>
  <c r="T635" i="1"/>
  <c r="H635" i="1"/>
  <c r="V634" i="1"/>
  <c r="U634" i="1"/>
  <c r="T634" i="1"/>
  <c r="H634" i="1"/>
  <c r="V633" i="1"/>
  <c r="U633" i="1"/>
  <c r="T633" i="1"/>
  <c r="H633" i="1"/>
  <c r="V632" i="1"/>
  <c r="U632" i="1"/>
  <c r="T632" i="1"/>
  <c r="H632" i="1"/>
  <c r="V631" i="1"/>
  <c r="U631" i="1"/>
  <c r="T631" i="1"/>
  <c r="H631" i="1"/>
  <c r="V630" i="1"/>
  <c r="U630" i="1"/>
  <c r="T630" i="1"/>
  <c r="H630" i="1"/>
  <c r="V629" i="1"/>
  <c r="U629" i="1"/>
  <c r="T629" i="1"/>
  <c r="H629" i="1"/>
  <c r="V628" i="1"/>
  <c r="U628" i="1"/>
  <c r="T628" i="1"/>
  <c r="H628" i="1"/>
  <c r="V627" i="1"/>
  <c r="U627" i="1"/>
  <c r="T627" i="1"/>
  <c r="H627" i="1"/>
  <c r="V626" i="1"/>
  <c r="U626" i="1"/>
  <c r="T626" i="1"/>
  <c r="H626" i="1"/>
  <c r="V625" i="1"/>
  <c r="U625" i="1"/>
  <c r="T625" i="1"/>
  <c r="H625" i="1"/>
  <c r="V624" i="1"/>
  <c r="U624" i="1"/>
  <c r="T624" i="1"/>
  <c r="H624" i="1"/>
  <c r="V623" i="1"/>
  <c r="U623" i="1"/>
  <c r="T623" i="1"/>
  <c r="H623" i="1"/>
  <c r="V622" i="1"/>
  <c r="U622" i="1"/>
  <c r="T622" i="1"/>
  <c r="H622" i="1"/>
  <c r="V621" i="1"/>
  <c r="U621" i="1"/>
  <c r="T621" i="1"/>
  <c r="H621" i="1"/>
  <c r="V620" i="1"/>
  <c r="U620" i="1"/>
  <c r="T620" i="1"/>
  <c r="H620" i="1"/>
  <c r="V619" i="1"/>
  <c r="U619" i="1"/>
  <c r="T619" i="1"/>
  <c r="H619" i="1"/>
  <c r="V618" i="1"/>
  <c r="U618" i="1"/>
  <c r="T618" i="1"/>
  <c r="H618" i="1"/>
  <c r="V617" i="1"/>
  <c r="U617" i="1"/>
  <c r="T617" i="1"/>
  <c r="H617" i="1"/>
  <c r="V616" i="1"/>
  <c r="U616" i="1"/>
  <c r="T616" i="1"/>
  <c r="H616" i="1"/>
  <c r="V615" i="1"/>
  <c r="U615" i="1"/>
  <c r="T615" i="1"/>
  <c r="H615" i="1"/>
  <c r="V614" i="1"/>
  <c r="U614" i="1"/>
  <c r="T614" i="1"/>
  <c r="H614" i="1"/>
  <c r="V613" i="1"/>
  <c r="U613" i="1"/>
  <c r="T613" i="1"/>
  <c r="H613" i="1"/>
  <c r="V612" i="1"/>
  <c r="U612" i="1"/>
  <c r="T612" i="1"/>
  <c r="H612" i="1"/>
  <c r="V611" i="1"/>
  <c r="U611" i="1"/>
  <c r="T611" i="1"/>
  <c r="H611" i="1"/>
  <c r="V610" i="1"/>
  <c r="U610" i="1"/>
  <c r="T610" i="1"/>
  <c r="H610" i="1"/>
  <c r="V609" i="1"/>
  <c r="U609" i="1"/>
  <c r="T609" i="1"/>
  <c r="H609" i="1"/>
  <c r="V608" i="1"/>
  <c r="U608" i="1"/>
  <c r="T608" i="1"/>
  <c r="H608" i="1"/>
  <c r="V607" i="1"/>
  <c r="U607" i="1"/>
  <c r="T607" i="1"/>
  <c r="H607" i="1"/>
  <c r="V606" i="1"/>
  <c r="U606" i="1"/>
  <c r="T606" i="1"/>
  <c r="H606" i="1"/>
  <c r="V605" i="1"/>
  <c r="U605" i="1"/>
  <c r="T605" i="1"/>
  <c r="H605" i="1"/>
  <c r="V604" i="1"/>
  <c r="U604" i="1"/>
  <c r="T604" i="1"/>
  <c r="H604" i="1"/>
  <c r="V603" i="1"/>
  <c r="U603" i="1"/>
  <c r="T603" i="1"/>
  <c r="H603" i="1"/>
  <c r="V602" i="1"/>
  <c r="U602" i="1"/>
  <c r="T602" i="1"/>
  <c r="H602" i="1"/>
  <c r="V601" i="1"/>
  <c r="U601" i="1"/>
  <c r="T601" i="1"/>
  <c r="H601" i="1"/>
  <c r="V600" i="1"/>
  <c r="U600" i="1"/>
  <c r="T600" i="1"/>
  <c r="H600" i="1"/>
  <c r="V599" i="1"/>
  <c r="U599" i="1"/>
  <c r="T599" i="1"/>
  <c r="H599" i="1"/>
  <c r="V598" i="1"/>
  <c r="U598" i="1"/>
  <c r="T598" i="1"/>
  <c r="H598" i="1"/>
  <c r="V597" i="1"/>
  <c r="U597" i="1"/>
  <c r="T597" i="1"/>
  <c r="H597" i="1"/>
  <c r="V596" i="1"/>
  <c r="U596" i="1"/>
  <c r="T596" i="1"/>
  <c r="H596" i="1"/>
  <c r="V595" i="1"/>
  <c r="U595" i="1"/>
  <c r="T595" i="1"/>
  <c r="H595" i="1"/>
  <c r="V594" i="1"/>
  <c r="U594" i="1"/>
  <c r="T594" i="1"/>
  <c r="H594" i="1"/>
  <c r="V593" i="1"/>
  <c r="U593" i="1"/>
  <c r="T593" i="1"/>
  <c r="H593" i="1"/>
  <c r="V592" i="1"/>
  <c r="U592" i="1"/>
  <c r="T592" i="1"/>
  <c r="H592" i="1"/>
  <c r="V591" i="1"/>
  <c r="U591" i="1"/>
  <c r="T591" i="1"/>
  <c r="H591" i="1"/>
  <c r="V590" i="1"/>
  <c r="U590" i="1"/>
  <c r="T590" i="1"/>
  <c r="H590" i="1"/>
  <c r="V589" i="1"/>
  <c r="U589" i="1"/>
  <c r="T589" i="1"/>
  <c r="H589" i="1"/>
  <c r="V588" i="1"/>
  <c r="U588" i="1"/>
  <c r="T588" i="1"/>
  <c r="H588" i="1"/>
  <c r="V587" i="1"/>
  <c r="U587" i="1"/>
  <c r="T587" i="1"/>
  <c r="H587" i="1"/>
  <c r="V586" i="1"/>
  <c r="U586" i="1"/>
  <c r="T586" i="1"/>
  <c r="H586" i="1"/>
  <c r="V585" i="1"/>
  <c r="U585" i="1"/>
  <c r="T585" i="1"/>
  <c r="H585" i="1"/>
  <c r="V584" i="1"/>
  <c r="U584" i="1"/>
  <c r="T584" i="1"/>
  <c r="H584" i="1"/>
  <c r="V583" i="1"/>
  <c r="U583" i="1"/>
  <c r="T583" i="1"/>
  <c r="H583" i="1"/>
  <c r="V582" i="1"/>
  <c r="U582" i="1"/>
  <c r="T582" i="1"/>
  <c r="H582" i="1"/>
  <c r="V581" i="1"/>
  <c r="U581" i="1"/>
  <c r="T581" i="1"/>
  <c r="H581" i="1"/>
  <c r="V580" i="1"/>
  <c r="U580" i="1"/>
  <c r="T580" i="1"/>
  <c r="H580" i="1"/>
  <c r="V579" i="1"/>
  <c r="U579" i="1"/>
  <c r="T579" i="1"/>
  <c r="H579" i="1"/>
  <c r="V578" i="1"/>
  <c r="U578" i="1"/>
  <c r="T578" i="1"/>
  <c r="H578" i="1"/>
  <c r="V577" i="1"/>
  <c r="U577" i="1"/>
  <c r="T577" i="1"/>
  <c r="H577" i="1"/>
  <c r="V576" i="1"/>
  <c r="U576" i="1"/>
  <c r="T576" i="1"/>
  <c r="H576" i="1"/>
  <c r="V575" i="1"/>
  <c r="U575" i="1"/>
  <c r="T575" i="1"/>
  <c r="H575" i="1"/>
  <c r="V574" i="1"/>
  <c r="U574" i="1"/>
  <c r="T574" i="1"/>
  <c r="H574" i="1"/>
  <c r="V573" i="1"/>
  <c r="U573" i="1"/>
  <c r="T573" i="1"/>
  <c r="H573" i="1"/>
  <c r="V572" i="1"/>
  <c r="U572" i="1"/>
  <c r="T572" i="1"/>
  <c r="H572" i="1"/>
  <c r="V571" i="1"/>
  <c r="U571" i="1"/>
  <c r="T571" i="1"/>
  <c r="H571" i="1"/>
  <c r="V570" i="1"/>
  <c r="U570" i="1"/>
  <c r="T570" i="1"/>
  <c r="H570" i="1"/>
  <c r="V569" i="1"/>
  <c r="U569" i="1"/>
  <c r="T569" i="1"/>
  <c r="H569" i="1"/>
  <c r="V568" i="1"/>
  <c r="U568" i="1"/>
  <c r="T568" i="1"/>
  <c r="H568" i="1"/>
  <c r="V567" i="1"/>
  <c r="U567" i="1"/>
  <c r="T567" i="1"/>
  <c r="H567" i="1"/>
  <c r="V566" i="1"/>
  <c r="U566" i="1"/>
  <c r="T566" i="1"/>
  <c r="H566" i="1"/>
  <c r="V565" i="1"/>
  <c r="U565" i="1"/>
  <c r="T565" i="1"/>
  <c r="H565" i="1"/>
  <c r="V564" i="1"/>
  <c r="U564" i="1"/>
  <c r="T564" i="1"/>
  <c r="H564" i="1"/>
  <c r="V563" i="1"/>
  <c r="U563" i="1"/>
  <c r="T563" i="1"/>
  <c r="H563" i="1"/>
  <c r="V562" i="1"/>
  <c r="U562" i="1"/>
  <c r="T562" i="1"/>
  <c r="H562" i="1"/>
  <c r="V561" i="1"/>
  <c r="U561" i="1"/>
  <c r="T561" i="1"/>
  <c r="H561" i="1"/>
  <c r="V560" i="1"/>
  <c r="U560" i="1"/>
  <c r="T560" i="1"/>
  <c r="H560" i="1"/>
  <c r="V559" i="1"/>
  <c r="U559" i="1"/>
  <c r="T559" i="1"/>
  <c r="H559" i="1"/>
  <c r="V558" i="1"/>
  <c r="U558" i="1"/>
  <c r="T558" i="1"/>
  <c r="H558" i="1"/>
  <c r="V557" i="1"/>
  <c r="U557" i="1"/>
  <c r="T557" i="1"/>
  <c r="H557" i="1"/>
  <c r="V556" i="1"/>
  <c r="U556" i="1"/>
  <c r="T556" i="1"/>
  <c r="H556" i="1"/>
  <c r="V555" i="1"/>
  <c r="U555" i="1"/>
  <c r="T555" i="1"/>
  <c r="H555" i="1"/>
  <c r="V554" i="1"/>
  <c r="U554" i="1"/>
  <c r="T554" i="1"/>
  <c r="H554" i="1"/>
  <c r="V553" i="1"/>
  <c r="U553" i="1"/>
  <c r="T553" i="1"/>
  <c r="H553" i="1"/>
  <c r="V552" i="1"/>
  <c r="U552" i="1"/>
  <c r="T552" i="1"/>
  <c r="H552" i="1"/>
  <c r="V551" i="1"/>
  <c r="U551" i="1"/>
  <c r="T551" i="1"/>
  <c r="H551" i="1"/>
  <c r="V550" i="1"/>
  <c r="U550" i="1"/>
  <c r="T550" i="1"/>
  <c r="H550" i="1"/>
  <c r="V549" i="1"/>
  <c r="U549" i="1"/>
  <c r="T549" i="1"/>
  <c r="H549" i="1"/>
  <c r="V548" i="1"/>
  <c r="U548" i="1"/>
  <c r="T548" i="1"/>
  <c r="H548" i="1"/>
  <c r="V547" i="1"/>
  <c r="U547" i="1"/>
  <c r="T547" i="1"/>
  <c r="H547" i="1"/>
  <c r="V546" i="1"/>
  <c r="U546" i="1"/>
  <c r="T546" i="1"/>
  <c r="H546" i="1"/>
  <c r="V545" i="1"/>
  <c r="U545" i="1"/>
  <c r="T545" i="1"/>
  <c r="H545" i="1"/>
  <c r="V544" i="1"/>
  <c r="U544" i="1"/>
  <c r="T544" i="1"/>
  <c r="H544" i="1"/>
  <c r="V543" i="1"/>
  <c r="U543" i="1"/>
  <c r="T543" i="1"/>
  <c r="H543" i="1"/>
  <c r="V542" i="1"/>
  <c r="U542" i="1"/>
  <c r="T542" i="1"/>
  <c r="H542" i="1"/>
  <c r="V541" i="1"/>
  <c r="U541" i="1"/>
  <c r="T541" i="1"/>
  <c r="H541" i="1"/>
  <c r="V540" i="1"/>
  <c r="U540" i="1"/>
  <c r="T540" i="1"/>
  <c r="H540" i="1"/>
  <c r="V539" i="1"/>
  <c r="U539" i="1"/>
  <c r="T539" i="1"/>
  <c r="H539" i="1"/>
  <c r="V538" i="1"/>
  <c r="U538" i="1"/>
  <c r="T538" i="1"/>
  <c r="H538" i="1"/>
  <c r="V537" i="1"/>
  <c r="U537" i="1"/>
  <c r="T537" i="1"/>
  <c r="H537" i="1"/>
  <c r="V536" i="1"/>
  <c r="U536" i="1"/>
  <c r="T536" i="1"/>
  <c r="H536" i="1"/>
  <c r="V535" i="1"/>
  <c r="U535" i="1"/>
  <c r="T535" i="1"/>
  <c r="H535" i="1"/>
  <c r="V534" i="1"/>
  <c r="U534" i="1"/>
  <c r="T534" i="1"/>
  <c r="H534" i="1"/>
  <c r="V533" i="1"/>
  <c r="U533" i="1"/>
  <c r="T533" i="1"/>
  <c r="H533" i="1"/>
  <c r="V532" i="1"/>
  <c r="U532" i="1"/>
  <c r="T532" i="1"/>
  <c r="H532" i="1"/>
  <c r="V531" i="1"/>
  <c r="U531" i="1"/>
  <c r="T531" i="1"/>
  <c r="H531" i="1"/>
  <c r="V530" i="1"/>
  <c r="U530" i="1"/>
  <c r="T530" i="1"/>
  <c r="H530" i="1"/>
  <c r="V529" i="1"/>
  <c r="U529" i="1"/>
  <c r="T529" i="1"/>
  <c r="H529" i="1"/>
  <c r="V528" i="1"/>
  <c r="U528" i="1"/>
  <c r="T528" i="1"/>
  <c r="H528" i="1"/>
  <c r="V527" i="1"/>
  <c r="U527" i="1"/>
  <c r="T527" i="1"/>
  <c r="H527" i="1"/>
  <c r="V526" i="1"/>
  <c r="U526" i="1"/>
  <c r="T526" i="1"/>
  <c r="H526" i="1"/>
  <c r="V525" i="1"/>
  <c r="U525" i="1"/>
  <c r="T525" i="1"/>
  <c r="H525" i="1"/>
  <c r="V524" i="1"/>
  <c r="U524" i="1"/>
  <c r="T524" i="1"/>
  <c r="H524" i="1"/>
  <c r="V523" i="1"/>
  <c r="U523" i="1"/>
  <c r="T523" i="1"/>
  <c r="H523" i="1"/>
  <c r="V522" i="1"/>
  <c r="U522" i="1"/>
  <c r="T522" i="1"/>
  <c r="H522" i="1"/>
  <c r="V521" i="1"/>
  <c r="U521" i="1"/>
  <c r="T521" i="1"/>
  <c r="H521" i="1"/>
  <c r="V520" i="1"/>
  <c r="U520" i="1"/>
  <c r="T520" i="1"/>
  <c r="H520" i="1"/>
  <c r="V519" i="1"/>
  <c r="U519" i="1"/>
  <c r="T519" i="1"/>
  <c r="H519" i="1"/>
  <c r="V518" i="1"/>
  <c r="U518" i="1"/>
  <c r="T518" i="1"/>
  <c r="H518" i="1"/>
  <c r="V517" i="1"/>
  <c r="U517" i="1"/>
  <c r="T517" i="1"/>
  <c r="H517" i="1"/>
  <c r="V516" i="1"/>
  <c r="U516" i="1"/>
  <c r="T516" i="1"/>
  <c r="H516" i="1"/>
  <c r="V515" i="1"/>
  <c r="U515" i="1"/>
  <c r="T515" i="1"/>
  <c r="H515" i="1"/>
  <c r="V514" i="1"/>
  <c r="U514" i="1"/>
  <c r="T514" i="1"/>
  <c r="H514" i="1"/>
  <c r="V513" i="1"/>
  <c r="U513" i="1"/>
  <c r="T513" i="1"/>
  <c r="H513" i="1"/>
  <c r="V512" i="1"/>
  <c r="U512" i="1"/>
  <c r="T512" i="1"/>
  <c r="H512" i="1"/>
  <c r="V511" i="1"/>
  <c r="U511" i="1"/>
  <c r="T511" i="1"/>
  <c r="H511" i="1"/>
  <c r="V510" i="1"/>
  <c r="U510" i="1"/>
  <c r="T510" i="1"/>
  <c r="H510" i="1"/>
  <c r="V509" i="1"/>
  <c r="U509" i="1"/>
  <c r="T509" i="1"/>
  <c r="H509" i="1"/>
  <c r="V508" i="1"/>
  <c r="U508" i="1"/>
  <c r="T508" i="1"/>
  <c r="H508" i="1"/>
  <c r="V507" i="1"/>
  <c r="U507" i="1"/>
  <c r="T507" i="1"/>
  <c r="H507" i="1"/>
  <c r="V506" i="1"/>
  <c r="U506" i="1"/>
  <c r="T506" i="1"/>
  <c r="H506" i="1"/>
  <c r="V505" i="1"/>
  <c r="U505" i="1"/>
  <c r="T505" i="1"/>
  <c r="H505" i="1"/>
  <c r="V504" i="1"/>
  <c r="U504" i="1"/>
  <c r="T504" i="1"/>
  <c r="H504" i="1"/>
  <c r="V503" i="1"/>
  <c r="U503" i="1"/>
  <c r="T503" i="1"/>
  <c r="H503" i="1"/>
  <c r="V502" i="1"/>
  <c r="U502" i="1"/>
  <c r="T502" i="1"/>
  <c r="H502" i="1"/>
  <c r="V501" i="1"/>
  <c r="U501" i="1"/>
  <c r="T501" i="1"/>
  <c r="H501" i="1"/>
  <c r="V500" i="1"/>
  <c r="U500" i="1"/>
  <c r="T500" i="1"/>
  <c r="H500" i="1"/>
  <c r="V499" i="1"/>
  <c r="U499" i="1"/>
  <c r="T499" i="1"/>
  <c r="H499" i="1"/>
  <c r="V498" i="1"/>
  <c r="U498" i="1"/>
  <c r="T498" i="1"/>
  <c r="H498" i="1"/>
  <c r="V497" i="1"/>
  <c r="U497" i="1"/>
  <c r="T497" i="1"/>
  <c r="H497" i="1"/>
  <c r="V496" i="1"/>
  <c r="U496" i="1"/>
  <c r="T496" i="1"/>
  <c r="H496" i="1"/>
  <c r="V495" i="1"/>
  <c r="U495" i="1"/>
  <c r="T495" i="1"/>
  <c r="H495" i="1"/>
  <c r="V494" i="1"/>
  <c r="U494" i="1"/>
  <c r="T494" i="1"/>
  <c r="H494" i="1"/>
  <c r="V493" i="1"/>
  <c r="U493" i="1"/>
  <c r="T493" i="1"/>
  <c r="H493" i="1"/>
  <c r="V492" i="1"/>
  <c r="U492" i="1"/>
  <c r="T492" i="1"/>
  <c r="H492" i="1"/>
  <c r="V491" i="1"/>
  <c r="U491" i="1"/>
  <c r="T491" i="1"/>
  <c r="H491" i="1"/>
  <c r="V490" i="1"/>
  <c r="U490" i="1"/>
  <c r="T490" i="1"/>
  <c r="H490" i="1"/>
  <c r="V489" i="1"/>
  <c r="U489" i="1"/>
  <c r="T489" i="1"/>
  <c r="H489" i="1"/>
  <c r="V488" i="1"/>
  <c r="U488" i="1"/>
  <c r="T488" i="1"/>
  <c r="H488" i="1"/>
  <c r="V487" i="1"/>
  <c r="U487" i="1"/>
  <c r="T487" i="1"/>
  <c r="H487" i="1"/>
  <c r="V486" i="1"/>
  <c r="U486" i="1"/>
  <c r="T486" i="1"/>
  <c r="H486" i="1"/>
  <c r="V485" i="1"/>
  <c r="U485" i="1"/>
  <c r="T485" i="1"/>
  <c r="H485" i="1"/>
  <c r="V484" i="1"/>
  <c r="U484" i="1"/>
  <c r="T484" i="1"/>
  <c r="H484" i="1"/>
  <c r="V483" i="1"/>
  <c r="U483" i="1"/>
  <c r="T483" i="1"/>
  <c r="H483" i="1"/>
  <c r="V482" i="1"/>
  <c r="U482" i="1"/>
  <c r="T482" i="1"/>
  <c r="H482" i="1"/>
  <c r="V481" i="1"/>
  <c r="U481" i="1"/>
  <c r="T481" i="1"/>
  <c r="H481" i="1"/>
  <c r="V480" i="1"/>
  <c r="U480" i="1"/>
  <c r="T480" i="1"/>
  <c r="H480" i="1"/>
  <c r="V479" i="1"/>
  <c r="U479" i="1"/>
  <c r="T479" i="1"/>
  <c r="H479" i="1"/>
  <c r="V478" i="1"/>
  <c r="U478" i="1"/>
  <c r="T478" i="1"/>
  <c r="H478" i="1"/>
  <c r="V477" i="1"/>
  <c r="U477" i="1"/>
  <c r="T477" i="1"/>
  <c r="H477" i="1"/>
  <c r="V476" i="1"/>
  <c r="U476" i="1"/>
  <c r="T476" i="1"/>
  <c r="H476" i="1"/>
  <c r="V475" i="1"/>
  <c r="U475" i="1"/>
  <c r="T475" i="1"/>
  <c r="H475" i="1"/>
  <c r="V474" i="1"/>
  <c r="U474" i="1"/>
  <c r="T474" i="1"/>
  <c r="H474" i="1"/>
  <c r="V473" i="1"/>
  <c r="U473" i="1"/>
  <c r="T473" i="1"/>
  <c r="H473" i="1"/>
  <c r="V472" i="1"/>
  <c r="U472" i="1"/>
  <c r="T472" i="1"/>
  <c r="H472" i="1"/>
  <c r="V471" i="1"/>
  <c r="U471" i="1"/>
  <c r="T471" i="1"/>
  <c r="H471" i="1"/>
  <c r="V470" i="1"/>
  <c r="U470" i="1"/>
  <c r="T470" i="1"/>
  <c r="H470" i="1"/>
  <c r="V469" i="1"/>
  <c r="U469" i="1"/>
  <c r="T469" i="1"/>
  <c r="H469" i="1"/>
  <c r="V468" i="1"/>
  <c r="U468" i="1"/>
  <c r="T468" i="1"/>
  <c r="H468" i="1"/>
  <c r="V467" i="1"/>
  <c r="U467" i="1"/>
  <c r="T467" i="1"/>
  <c r="H467" i="1"/>
  <c r="V466" i="1"/>
  <c r="U466" i="1"/>
  <c r="T466" i="1"/>
  <c r="H466" i="1"/>
  <c r="V465" i="1"/>
  <c r="U465" i="1"/>
  <c r="T465" i="1"/>
  <c r="H465" i="1"/>
  <c r="V464" i="1"/>
  <c r="U464" i="1"/>
  <c r="T464" i="1"/>
  <c r="H464" i="1"/>
  <c r="V463" i="1"/>
  <c r="U463" i="1"/>
  <c r="T463" i="1"/>
  <c r="H463" i="1"/>
  <c r="V462" i="1"/>
  <c r="U462" i="1"/>
  <c r="T462" i="1"/>
  <c r="H462" i="1"/>
  <c r="V461" i="1"/>
  <c r="U461" i="1"/>
  <c r="T461" i="1"/>
  <c r="H461" i="1"/>
  <c r="V460" i="1"/>
  <c r="U460" i="1"/>
  <c r="T460" i="1"/>
  <c r="H460" i="1"/>
  <c r="V459" i="1"/>
  <c r="U459" i="1"/>
  <c r="T459" i="1"/>
  <c r="H459" i="1"/>
  <c r="V458" i="1"/>
  <c r="U458" i="1"/>
  <c r="T458" i="1"/>
  <c r="H458" i="1"/>
  <c r="V457" i="1"/>
  <c r="U457" i="1"/>
  <c r="T457" i="1"/>
  <c r="H457" i="1"/>
  <c r="V456" i="1"/>
  <c r="U456" i="1"/>
  <c r="T456" i="1"/>
  <c r="H456" i="1"/>
  <c r="V455" i="1"/>
  <c r="U455" i="1"/>
  <c r="T455" i="1"/>
  <c r="H455" i="1"/>
  <c r="V454" i="1"/>
  <c r="U454" i="1"/>
  <c r="T454" i="1"/>
  <c r="H454" i="1"/>
  <c r="V453" i="1"/>
  <c r="U453" i="1"/>
  <c r="T453" i="1"/>
  <c r="H453" i="1"/>
  <c r="V452" i="1"/>
  <c r="U452" i="1"/>
  <c r="T452" i="1"/>
  <c r="H452" i="1"/>
  <c r="V451" i="1"/>
  <c r="U451" i="1"/>
  <c r="T451" i="1"/>
  <c r="H451" i="1"/>
  <c r="V450" i="1"/>
  <c r="U450" i="1"/>
  <c r="T450" i="1"/>
  <c r="H450" i="1"/>
  <c r="V449" i="1"/>
  <c r="U449" i="1"/>
  <c r="T449" i="1"/>
  <c r="H449" i="1"/>
  <c r="V448" i="1"/>
  <c r="U448" i="1"/>
  <c r="T448" i="1"/>
  <c r="H448" i="1"/>
  <c r="V447" i="1"/>
  <c r="U447" i="1"/>
  <c r="T447" i="1"/>
  <c r="H447" i="1"/>
  <c r="V446" i="1"/>
  <c r="U446" i="1"/>
  <c r="T446" i="1"/>
  <c r="H446" i="1"/>
  <c r="V445" i="1"/>
  <c r="U445" i="1"/>
  <c r="T445" i="1"/>
  <c r="H445" i="1"/>
  <c r="V444" i="1"/>
  <c r="U444" i="1"/>
  <c r="T444" i="1"/>
  <c r="H444" i="1"/>
  <c r="V443" i="1"/>
  <c r="U443" i="1"/>
  <c r="T443" i="1"/>
  <c r="H443" i="1"/>
  <c r="V442" i="1"/>
  <c r="U442" i="1"/>
  <c r="T442" i="1"/>
  <c r="H442" i="1"/>
  <c r="V441" i="1"/>
  <c r="U441" i="1"/>
  <c r="T441" i="1"/>
  <c r="H441" i="1"/>
  <c r="V440" i="1"/>
  <c r="U440" i="1"/>
  <c r="T440" i="1"/>
  <c r="H440" i="1"/>
  <c r="V439" i="1"/>
  <c r="U439" i="1"/>
  <c r="T439" i="1"/>
  <c r="H439" i="1"/>
  <c r="V438" i="1"/>
  <c r="U438" i="1"/>
  <c r="T438" i="1"/>
  <c r="H438" i="1"/>
  <c r="V437" i="1"/>
  <c r="U437" i="1"/>
  <c r="T437" i="1"/>
  <c r="H437" i="1"/>
  <c r="V436" i="1"/>
  <c r="U436" i="1"/>
  <c r="T436" i="1"/>
  <c r="H436" i="1"/>
  <c r="V435" i="1"/>
  <c r="U435" i="1"/>
  <c r="T435" i="1"/>
  <c r="H435" i="1"/>
  <c r="V434" i="1"/>
  <c r="U434" i="1"/>
  <c r="T434" i="1"/>
  <c r="H434" i="1"/>
  <c r="V433" i="1"/>
  <c r="U433" i="1"/>
  <c r="T433" i="1"/>
  <c r="H433" i="1"/>
  <c r="V432" i="1"/>
  <c r="U432" i="1"/>
  <c r="T432" i="1"/>
  <c r="H432" i="1"/>
  <c r="V431" i="1"/>
  <c r="U431" i="1"/>
  <c r="T431" i="1"/>
  <c r="H431" i="1"/>
  <c r="V430" i="1"/>
  <c r="U430" i="1"/>
  <c r="T430" i="1"/>
  <c r="H430" i="1"/>
  <c r="V429" i="1"/>
  <c r="U429" i="1"/>
  <c r="T429" i="1"/>
  <c r="H429" i="1"/>
  <c r="V428" i="1"/>
  <c r="U428" i="1"/>
  <c r="T428" i="1"/>
  <c r="H428" i="1"/>
  <c r="V427" i="1"/>
  <c r="U427" i="1"/>
  <c r="T427" i="1"/>
  <c r="H427" i="1"/>
  <c r="V426" i="1"/>
  <c r="U426" i="1"/>
  <c r="T426" i="1"/>
  <c r="H426" i="1"/>
  <c r="V425" i="1"/>
  <c r="U425" i="1"/>
  <c r="T425" i="1"/>
  <c r="H425" i="1"/>
  <c r="V424" i="1"/>
  <c r="U424" i="1"/>
  <c r="T424" i="1"/>
  <c r="H424" i="1"/>
  <c r="V423" i="1"/>
  <c r="U423" i="1"/>
  <c r="T423" i="1"/>
  <c r="H423" i="1"/>
  <c r="V422" i="1"/>
  <c r="U422" i="1"/>
  <c r="T422" i="1"/>
  <c r="H422" i="1"/>
  <c r="V421" i="1"/>
  <c r="U421" i="1"/>
  <c r="T421" i="1"/>
  <c r="H421" i="1"/>
  <c r="V420" i="1"/>
  <c r="U420" i="1"/>
  <c r="T420" i="1"/>
  <c r="H420" i="1"/>
  <c r="V419" i="1"/>
  <c r="U419" i="1"/>
  <c r="T419" i="1"/>
  <c r="H419" i="1"/>
  <c r="V418" i="1"/>
  <c r="U418" i="1"/>
  <c r="T418" i="1"/>
  <c r="H418" i="1"/>
  <c r="V417" i="1"/>
  <c r="U417" i="1"/>
  <c r="T417" i="1"/>
  <c r="H417" i="1"/>
  <c r="V416" i="1"/>
  <c r="U416" i="1"/>
  <c r="T416" i="1"/>
  <c r="H416" i="1"/>
  <c r="V415" i="1"/>
  <c r="U415" i="1"/>
  <c r="T415" i="1"/>
  <c r="H415" i="1"/>
  <c r="V414" i="1"/>
  <c r="U414" i="1"/>
  <c r="T414" i="1"/>
  <c r="H414" i="1"/>
  <c r="V413" i="1"/>
  <c r="U413" i="1"/>
  <c r="T413" i="1"/>
  <c r="H413" i="1"/>
  <c r="V412" i="1"/>
  <c r="U412" i="1"/>
  <c r="T412" i="1"/>
  <c r="H412" i="1"/>
  <c r="V411" i="1"/>
  <c r="U411" i="1"/>
  <c r="T411" i="1"/>
  <c r="H411" i="1"/>
  <c r="V410" i="1"/>
  <c r="U410" i="1"/>
  <c r="T410" i="1"/>
  <c r="H410" i="1"/>
  <c r="V409" i="1"/>
  <c r="U409" i="1"/>
  <c r="T409" i="1"/>
  <c r="H409" i="1"/>
  <c r="V408" i="1"/>
  <c r="U408" i="1"/>
  <c r="T408" i="1"/>
  <c r="H408" i="1"/>
  <c r="V407" i="1"/>
  <c r="U407" i="1"/>
  <c r="T407" i="1"/>
  <c r="H407" i="1"/>
  <c r="V406" i="1"/>
  <c r="U406" i="1"/>
  <c r="T406" i="1"/>
  <c r="H406" i="1"/>
  <c r="V405" i="1"/>
  <c r="U405" i="1"/>
  <c r="T405" i="1"/>
  <c r="H405" i="1"/>
  <c r="V404" i="1"/>
  <c r="U404" i="1"/>
  <c r="T404" i="1"/>
  <c r="H404" i="1"/>
  <c r="V403" i="1"/>
  <c r="U403" i="1"/>
  <c r="T403" i="1"/>
  <c r="H403" i="1"/>
  <c r="V402" i="1"/>
  <c r="U402" i="1"/>
  <c r="T402" i="1"/>
  <c r="H402" i="1"/>
  <c r="V401" i="1"/>
  <c r="U401" i="1"/>
  <c r="T401" i="1"/>
  <c r="H401" i="1"/>
  <c r="V400" i="1"/>
  <c r="U400" i="1"/>
  <c r="T400" i="1"/>
  <c r="H400" i="1"/>
  <c r="V399" i="1"/>
  <c r="U399" i="1"/>
  <c r="T399" i="1"/>
  <c r="H399" i="1"/>
  <c r="V398" i="1"/>
  <c r="U398" i="1"/>
  <c r="T398" i="1"/>
  <c r="H398" i="1"/>
  <c r="V397" i="1"/>
  <c r="U397" i="1"/>
  <c r="T397" i="1"/>
  <c r="H397" i="1"/>
  <c r="V396" i="1"/>
  <c r="U396" i="1"/>
  <c r="T396" i="1"/>
  <c r="H396" i="1"/>
  <c r="V395" i="1"/>
  <c r="U395" i="1"/>
  <c r="T395" i="1"/>
  <c r="H395" i="1"/>
  <c r="V394" i="1"/>
  <c r="U394" i="1"/>
  <c r="T394" i="1"/>
  <c r="H394" i="1"/>
  <c r="V393" i="1"/>
  <c r="U393" i="1"/>
  <c r="T393" i="1"/>
  <c r="H393" i="1"/>
  <c r="V392" i="1"/>
  <c r="U392" i="1"/>
  <c r="T392" i="1"/>
  <c r="H392" i="1"/>
  <c r="V391" i="1"/>
  <c r="U391" i="1"/>
  <c r="T391" i="1"/>
  <c r="H391" i="1"/>
  <c r="V390" i="1"/>
  <c r="U390" i="1"/>
  <c r="T390" i="1"/>
  <c r="H390" i="1"/>
  <c r="V389" i="1"/>
  <c r="U389" i="1"/>
  <c r="T389" i="1"/>
  <c r="H389" i="1"/>
  <c r="V388" i="1"/>
  <c r="U388" i="1"/>
  <c r="T388" i="1"/>
  <c r="H388" i="1"/>
  <c r="V387" i="1"/>
  <c r="U387" i="1"/>
  <c r="T387" i="1"/>
  <c r="H387" i="1"/>
  <c r="V386" i="1"/>
  <c r="U386" i="1"/>
  <c r="T386" i="1"/>
  <c r="H386" i="1"/>
  <c r="V385" i="1"/>
  <c r="U385" i="1"/>
  <c r="T385" i="1"/>
  <c r="H385" i="1"/>
  <c r="V384" i="1"/>
  <c r="U384" i="1"/>
  <c r="T384" i="1"/>
  <c r="H384" i="1"/>
  <c r="V383" i="1"/>
  <c r="U383" i="1"/>
  <c r="T383" i="1"/>
  <c r="H383" i="1"/>
  <c r="V382" i="1"/>
  <c r="U382" i="1"/>
  <c r="T382" i="1"/>
  <c r="H382" i="1"/>
  <c r="V381" i="1"/>
  <c r="U381" i="1"/>
  <c r="T381" i="1"/>
  <c r="H381" i="1"/>
  <c r="V380" i="1"/>
  <c r="U380" i="1"/>
  <c r="T380" i="1"/>
  <c r="H380" i="1"/>
  <c r="V379" i="1"/>
  <c r="U379" i="1"/>
  <c r="T379" i="1"/>
  <c r="H379" i="1"/>
  <c r="V378" i="1"/>
  <c r="U378" i="1"/>
  <c r="T378" i="1"/>
  <c r="H378" i="1"/>
  <c r="V377" i="1"/>
  <c r="U377" i="1"/>
  <c r="T377" i="1"/>
  <c r="H377" i="1"/>
  <c r="V376" i="1"/>
  <c r="U376" i="1"/>
  <c r="T376" i="1"/>
  <c r="H376" i="1"/>
  <c r="V375" i="1"/>
  <c r="U375" i="1"/>
  <c r="T375" i="1"/>
  <c r="H375" i="1"/>
  <c r="V374" i="1"/>
  <c r="U374" i="1"/>
  <c r="T374" i="1"/>
  <c r="H374" i="1"/>
  <c r="V373" i="1"/>
  <c r="U373" i="1"/>
  <c r="T373" i="1"/>
  <c r="H373" i="1"/>
  <c r="V372" i="1"/>
  <c r="U372" i="1"/>
  <c r="T372" i="1"/>
  <c r="H372" i="1"/>
  <c r="V371" i="1"/>
  <c r="U371" i="1"/>
  <c r="T371" i="1"/>
  <c r="H371" i="1"/>
  <c r="V370" i="1"/>
  <c r="U370" i="1"/>
  <c r="T370" i="1"/>
  <c r="H370" i="1"/>
  <c r="V369" i="1"/>
  <c r="U369" i="1"/>
  <c r="T369" i="1"/>
  <c r="H369" i="1"/>
  <c r="V368" i="1"/>
  <c r="U368" i="1"/>
  <c r="T368" i="1"/>
  <c r="H368" i="1"/>
  <c r="V367" i="1"/>
  <c r="U367" i="1"/>
  <c r="T367" i="1"/>
  <c r="H367" i="1"/>
  <c r="V366" i="1"/>
  <c r="U366" i="1"/>
  <c r="T366" i="1"/>
  <c r="H366" i="1"/>
  <c r="V365" i="1"/>
  <c r="U365" i="1"/>
  <c r="T365" i="1"/>
  <c r="H365" i="1"/>
  <c r="V364" i="1"/>
  <c r="U364" i="1"/>
  <c r="T364" i="1"/>
  <c r="H364" i="1"/>
  <c r="V363" i="1"/>
  <c r="U363" i="1"/>
  <c r="T363" i="1"/>
  <c r="H363" i="1"/>
  <c r="V362" i="1"/>
  <c r="U362" i="1"/>
  <c r="T362" i="1"/>
  <c r="H362" i="1"/>
  <c r="V361" i="1"/>
  <c r="U361" i="1"/>
  <c r="T361" i="1"/>
  <c r="H361" i="1"/>
  <c r="V360" i="1"/>
  <c r="U360" i="1"/>
  <c r="T360" i="1"/>
  <c r="H360" i="1"/>
  <c r="V359" i="1"/>
  <c r="U359" i="1"/>
  <c r="T359" i="1"/>
  <c r="H359" i="1"/>
  <c r="V358" i="1"/>
  <c r="U358" i="1"/>
  <c r="T358" i="1"/>
  <c r="H358" i="1"/>
  <c r="V357" i="1"/>
  <c r="U357" i="1"/>
  <c r="T357" i="1"/>
  <c r="H357" i="1"/>
  <c r="V356" i="1"/>
  <c r="U356" i="1"/>
  <c r="T356" i="1"/>
  <c r="H356" i="1"/>
  <c r="V355" i="1"/>
  <c r="U355" i="1"/>
  <c r="T355" i="1"/>
  <c r="H355" i="1"/>
  <c r="V354" i="1"/>
  <c r="U354" i="1"/>
  <c r="T354" i="1"/>
  <c r="H354" i="1"/>
  <c r="V353" i="1"/>
  <c r="U353" i="1"/>
  <c r="T353" i="1"/>
  <c r="H353" i="1"/>
  <c r="V352" i="1"/>
  <c r="U352" i="1"/>
  <c r="T352" i="1"/>
  <c r="H352" i="1"/>
  <c r="V351" i="1"/>
  <c r="U351" i="1"/>
  <c r="T351" i="1"/>
  <c r="H351" i="1"/>
  <c r="V350" i="1"/>
  <c r="U350" i="1"/>
  <c r="T350" i="1"/>
  <c r="H350" i="1"/>
  <c r="V349" i="1"/>
  <c r="U349" i="1"/>
  <c r="T349" i="1"/>
  <c r="H349" i="1"/>
  <c r="V348" i="1"/>
  <c r="U348" i="1"/>
  <c r="T348" i="1"/>
  <c r="H348" i="1"/>
  <c r="V347" i="1"/>
  <c r="U347" i="1"/>
  <c r="T347" i="1"/>
  <c r="H347" i="1"/>
  <c r="V346" i="1"/>
  <c r="U346" i="1"/>
  <c r="T346" i="1"/>
  <c r="H346" i="1"/>
  <c r="V345" i="1"/>
  <c r="U345" i="1"/>
  <c r="T345" i="1"/>
  <c r="H345" i="1"/>
  <c r="V344" i="1"/>
  <c r="U344" i="1"/>
  <c r="T344" i="1"/>
  <c r="H344" i="1"/>
  <c r="V343" i="1"/>
  <c r="U343" i="1"/>
  <c r="T343" i="1"/>
  <c r="H343" i="1"/>
  <c r="V342" i="1"/>
  <c r="U342" i="1"/>
  <c r="T342" i="1"/>
  <c r="H342" i="1"/>
  <c r="V341" i="1"/>
  <c r="U341" i="1"/>
  <c r="T341" i="1"/>
  <c r="H341" i="1"/>
  <c r="V340" i="1"/>
  <c r="U340" i="1"/>
  <c r="T340" i="1"/>
  <c r="H340" i="1"/>
  <c r="V339" i="1"/>
  <c r="U339" i="1"/>
  <c r="T339" i="1"/>
  <c r="H339" i="1"/>
  <c r="V338" i="1"/>
  <c r="U338" i="1"/>
  <c r="T338" i="1"/>
  <c r="H338" i="1"/>
  <c r="V337" i="1"/>
  <c r="U337" i="1"/>
  <c r="T337" i="1"/>
  <c r="H337" i="1"/>
  <c r="V336" i="1"/>
  <c r="U336" i="1"/>
  <c r="T336" i="1"/>
  <c r="H336" i="1"/>
  <c r="V335" i="1"/>
  <c r="U335" i="1"/>
  <c r="T335" i="1"/>
  <c r="H335" i="1"/>
  <c r="V334" i="1"/>
  <c r="U334" i="1"/>
  <c r="T334" i="1"/>
  <c r="H334" i="1"/>
  <c r="V333" i="1"/>
  <c r="U333" i="1"/>
  <c r="T333" i="1"/>
  <c r="H333" i="1"/>
  <c r="V332" i="1"/>
  <c r="U332" i="1"/>
  <c r="T332" i="1"/>
  <c r="H332" i="1"/>
  <c r="V331" i="1"/>
  <c r="U331" i="1"/>
  <c r="T331" i="1"/>
  <c r="H331" i="1"/>
  <c r="V330" i="1"/>
  <c r="U330" i="1"/>
  <c r="T330" i="1"/>
  <c r="H330" i="1"/>
  <c r="V329" i="1"/>
  <c r="U329" i="1"/>
  <c r="T329" i="1"/>
  <c r="H329" i="1"/>
  <c r="V328" i="1"/>
  <c r="U328" i="1"/>
  <c r="T328" i="1"/>
  <c r="H328" i="1"/>
  <c r="V327" i="1"/>
  <c r="U327" i="1"/>
  <c r="T327" i="1"/>
  <c r="H327" i="1"/>
  <c r="V326" i="1"/>
  <c r="U326" i="1"/>
  <c r="T326" i="1"/>
  <c r="H326" i="1"/>
  <c r="V325" i="1"/>
  <c r="U325" i="1"/>
  <c r="T325" i="1"/>
  <c r="H325" i="1"/>
  <c r="V324" i="1"/>
  <c r="U324" i="1"/>
  <c r="T324" i="1"/>
  <c r="H324" i="1"/>
  <c r="V323" i="1"/>
  <c r="U323" i="1"/>
  <c r="T323" i="1"/>
  <c r="H323" i="1"/>
  <c r="V322" i="1"/>
  <c r="U322" i="1"/>
  <c r="T322" i="1"/>
  <c r="H322" i="1"/>
  <c r="V321" i="1"/>
  <c r="U321" i="1"/>
  <c r="T321" i="1"/>
  <c r="H321" i="1"/>
  <c r="V320" i="1"/>
  <c r="U320" i="1"/>
  <c r="T320" i="1"/>
  <c r="H320" i="1"/>
  <c r="V319" i="1"/>
  <c r="U319" i="1"/>
  <c r="T319" i="1"/>
  <c r="H319" i="1"/>
  <c r="V318" i="1"/>
  <c r="U318" i="1"/>
  <c r="T318" i="1"/>
  <c r="H318" i="1"/>
  <c r="V317" i="1"/>
  <c r="U317" i="1"/>
  <c r="T317" i="1"/>
  <c r="H317" i="1"/>
  <c r="V316" i="1"/>
  <c r="U316" i="1"/>
  <c r="T316" i="1"/>
  <c r="H316" i="1"/>
  <c r="V315" i="1"/>
  <c r="U315" i="1"/>
  <c r="T315" i="1"/>
  <c r="H315" i="1"/>
  <c r="V314" i="1"/>
  <c r="U314" i="1"/>
  <c r="T314" i="1"/>
  <c r="H314" i="1"/>
  <c r="V313" i="1"/>
  <c r="U313" i="1"/>
  <c r="T313" i="1"/>
  <c r="H313" i="1"/>
  <c r="V312" i="1"/>
  <c r="U312" i="1"/>
  <c r="T312" i="1"/>
  <c r="H312" i="1"/>
  <c r="V311" i="1"/>
  <c r="U311" i="1"/>
  <c r="T311" i="1"/>
  <c r="H311" i="1"/>
  <c r="V310" i="1"/>
  <c r="U310" i="1"/>
  <c r="T310" i="1"/>
  <c r="H310" i="1"/>
  <c r="V309" i="1"/>
  <c r="U309" i="1"/>
  <c r="T309" i="1"/>
  <c r="H309" i="1"/>
  <c r="V308" i="1"/>
  <c r="U308" i="1"/>
  <c r="T308" i="1"/>
  <c r="H308" i="1"/>
  <c r="V307" i="1"/>
  <c r="U307" i="1"/>
  <c r="T307" i="1"/>
  <c r="H307" i="1"/>
  <c r="V306" i="1"/>
  <c r="U306" i="1"/>
  <c r="T306" i="1"/>
  <c r="H306" i="1"/>
  <c r="V305" i="1"/>
  <c r="U305" i="1"/>
  <c r="T305" i="1"/>
  <c r="H305" i="1"/>
  <c r="V304" i="1"/>
  <c r="U304" i="1"/>
  <c r="T304" i="1"/>
  <c r="H304" i="1"/>
  <c r="V303" i="1"/>
  <c r="U303" i="1"/>
  <c r="T303" i="1"/>
  <c r="H303" i="1"/>
  <c r="V302" i="1"/>
  <c r="U302" i="1"/>
  <c r="T302" i="1"/>
  <c r="H302" i="1"/>
  <c r="V301" i="1"/>
  <c r="U301" i="1"/>
  <c r="T301" i="1"/>
  <c r="H301" i="1"/>
  <c r="V300" i="1"/>
  <c r="U300" i="1"/>
  <c r="T300" i="1"/>
  <c r="H300" i="1"/>
  <c r="V299" i="1"/>
  <c r="U299" i="1"/>
  <c r="T299" i="1"/>
  <c r="H299" i="1"/>
  <c r="V298" i="1"/>
  <c r="U298" i="1"/>
  <c r="T298" i="1"/>
  <c r="H298" i="1"/>
  <c r="V297" i="1"/>
  <c r="U297" i="1"/>
  <c r="T297" i="1"/>
  <c r="H297" i="1"/>
  <c r="V296" i="1"/>
  <c r="U296" i="1"/>
  <c r="T296" i="1"/>
  <c r="H296" i="1"/>
  <c r="V295" i="1"/>
  <c r="U295" i="1"/>
  <c r="T295" i="1"/>
  <c r="H295" i="1"/>
  <c r="V294" i="1"/>
  <c r="U294" i="1"/>
  <c r="T294" i="1"/>
  <c r="H294" i="1"/>
  <c r="V293" i="1"/>
  <c r="U293" i="1"/>
  <c r="T293" i="1"/>
  <c r="H293" i="1"/>
  <c r="V292" i="1"/>
  <c r="U292" i="1"/>
  <c r="T292" i="1"/>
  <c r="H292" i="1"/>
  <c r="V291" i="1"/>
  <c r="U291" i="1"/>
  <c r="T291" i="1"/>
  <c r="H291" i="1"/>
  <c r="V290" i="1"/>
  <c r="U290" i="1"/>
  <c r="T290" i="1"/>
  <c r="H290" i="1"/>
  <c r="V289" i="1"/>
  <c r="U289" i="1"/>
  <c r="T289" i="1"/>
  <c r="H289" i="1"/>
  <c r="V288" i="1"/>
  <c r="U288" i="1"/>
  <c r="T288" i="1"/>
  <c r="H288" i="1"/>
  <c r="V287" i="1"/>
  <c r="U287" i="1"/>
  <c r="T287" i="1"/>
  <c r="H287" i="1"/>
  <c r="V286" i="1"/>
  <c r="U286" i="1"/>
  <c r="T286" i="1"/>
  <c r="H286" i="1"/>
  <c r="V285" i="1"/>
  <c r="U285" i="1"/>
  <c r="T285" i="1"/>
  <c r="H285" i="1"/>
  <c r="V284" i="1"/>
  <c r="U284" i="1"/>
  <c r="T284" i="1"/>
  <c r="H284" i="1"/>
  <c r="V283" i="1"/>
  <c r="U283" i="1"/>
  <c r="T283" i="1"/>
  <c r="H283" i="1"/>
  <c r="V282" i="1"/>
  <c r="U282" i="1"/>
  <c r="T282" i="1"/>
  <c r="H282" i="1"/>
  <c r="V281" i="1"/>
  <c r="U281" i="1"/>
  <c r="T281" i="1"/>
  <c r="H281" i="1"/>
  <c r="V280" i="1"/>
  <c r="U280" i="1"/>
  <c r="T280" i="1"/>
  <c r="H280" i="1"/>
  <c r="V279" i="1"/>
  <c r="U279" i="1"/>
  <c r="T279" i="1"/>
  <c r="H279" i="1"/>
  <c r="V278" i="1"/>
  <c r="U278" i="1"/>
  <c r="T278" i="1"/>
  <c r="H278" i="1"/>
  <c r="V277" i="1"/>
  <c r="U277" i="1"/>
  <c r="T277" i="1"/>
  <c r="H277" i="1"/>
  <c r="V276" i="1"/>
  <c r="U276" i="1"/>
  <c r="T276" i="1"/>
  <c r="H276" i="1"/>
  <c r="V275" i="1"/>
  <c r="U275" i="1"/>
  <c r="T275" i="1"/>
  <c r="H275" i="1"/>
  <c r="V274" i="1"/>
  <c r="U274" i="1"/>
  <c r="T274" i="1"/>
  <c r="H274" i="1"/>
  <c r="V273" i="1"/>
  <c r="U273" i="1"/>
  <c r="T273" i="1"/>
  <c r="H273" i="1"/>
  <c r="V272" i="1"/>
  <c r="U272" i="1"/>
  <c r="T272" i="1"/>
  <c r="H272" i="1"/>
  <c r="V271" i="1"/>
  <c r="U271" i="1"/>
  <c r="T271" i="1"/>
  <c r="H271" i="1"/>
  <c r="V270" i="1"/>
  <c r="U270" i="1"/>
  <c r="T270" i="1"/>
  <c r="H270" i="1"/>
  <c r="V269" i="1"/>
  <c r="U269" i="1"/>
  <c r="T269" i="1"/>
  <c r="H269" i="1"/>
  <c r="V268" i="1"/>
  <c r="U268" i="1"/>
  <c r="T268" i="1"/>
  <c r="H268" i="1"/>
  <c r="V267" i="1"/>
  <c r="U267" i="1"/>
  <c r="T267" i="1"/>
  <c r="H267" i="1"/>
  <c r="V266" i="1"/>
  <c r="U266" i="1"/>
  <c r="T266" i="1"/>
  <c r="H266" i="1"/>
  <c r="V265" i="1"/>
  <c r="U265" i="1"/>
  <c r="T265" i="1"/>
  <c r="H265" i="1"/>
  <c r="V264" i="1"/>
  <c r="U264" i="1"/>
  <c r="T264" i="1"/>
  <c r="H264" i="1"/>
  <c r="V263" i="1"/>
  <c r="U263" i="1"/>
  <c r="T263" i="1"/>
  <c r="H263" i="1"/>
  <c r="V262" i="1"/>
  <c r="U262" i="1"/>
  <c r="T262" i="1"/>
  <c r="H262" i="1"/>
  <c r="V261" i="1"/>
  <c r="U261" i="1"/>
  <c r="T261" i="1"/>
  <c r="H261" i="1"/>
  <c r="V260" i="1"/>
  <c r="U260" i="1"/>
  <c r="T260" i="1"/>
  <c r="H260" i="1"/>
  <c r="V259" i="1"/>
  <c r="U259" i="1"/>
  <c r="T259" i="1"/>
  <c r="H259" i="1"/>
  <c r="V258" i="1"/>
  <c r="U258" i="1"/>
  <c r="T258" i="1"/>
  <c r="H258" i="1"/>
  <c r="V257" i="1"/>
  <c r="U257" i="1"/>
  <c r="T257" i="1"/>
  <c r="H257" i="1"/>
  <c r="V256" i="1"/>
  <c r="U256" i="1"/>
  <c r="T256" i="1"/>
  <c r="H256" i="1"/>
  <c r="V255" i="1"/>
  <c r="U255" i="1"/>
  <c r="T255" i="1"/>
  <c r="H255" i="1"/>
  <c r="V254" i="1"/>
  <c r="U254" i="1"/>
  <c r="T254" i="1"/>
  <c r="H254" i="1"/>
  <c r="V253" i="1"/>
  <c r="U253" i="1"/>
  <c r="T253" i="1"/>
  <c r="H253" i="1"/>
  <c r="V252" i="1"/>
  <c r="U252" i="1"/>
  <c r="T252" i="1"/>
  <c r="H252" i="1"/>
  <c r="V251" i="1"/>
  <c r="U251" i="1"/>
  <c r="T251" i="1"/>
  <c r="H251" i="1"/>
  <c r="V250" i="1"/>
  <c r="U250" i="1"/>
  <c r="T250" i="1"/>
  <c r="H250" i="1"/>
  <c r="V249" i="1"/>
  <c r="U249" i="1"/>
  <c r="T249" i="1"/>
  <c r="H249" i="1"/>
  <c r="V248" i="1"/>
  <c r="U248" i="1"/>
  <c r="T248" i="1"/>
  <c r="H248" i="1"/>
  <c r="V247" i="1"/>
  <c r="U247" i="1"/>
  <c r="T247" i="1"/>
  <c r="H247" i="1"/>
  <c r="V246" i="1"/>
  <c r="U246" i="1"/>
  <c r="T246" i="1"/>
  <c r="H246" i="1"/>
  <c r="V245" i="1"/>
  <c r="U245" i="1"/>
  <c r="T245" i="1"/>
  <c r="H245" i="1"/>
  <c r="V244" i="1"/>
  <c r="U244" i="1"/>
  <c r="T244" i="1"/>
  <c r="H244" i="1"/>
  <c r="V243" i="1"/>
  <c r="U243" i="1"/>
  <c r="T243" i="1"/>
  <c r="H243" i="1"/>
  <c r="V242" i="1"/>
  <c r="U242" i="1"/>
  <c r="T242" i="1"/>
  <c r="H242" i="1"/>
  <c r="V241" i="1"/>
  <c r="U241" i="1"/>
  <c r="T241" i="1"/>
  <c r="H241" i="1"/>
  <c r="V240" i="1"/>
  <c r="U240" i="1"/>
  <c r="T240" i="1"/>
  <c r="H240" i="1"/>
  <c r="V239" i="1"/>
  <c r="U239" i="1"/>
  <c r="T239" i="1"/>
  <c r="H239" i="1"/>
  <c r="V238" i="1"/>
  <c r="U238" i="1"/>
  <c r="T238" i="1"/>
  <c r="H238" i="1"/>
  <c r="V237" i="1"/>
  <c r="U237" i="1"/>
  <c r="T237" i="1"/>
  <c r="H237" i="1"/>
  <c r="V236" i="1"/>
  <c r="U236" i="1"/>
  <c r="T236" i="1"/>
  <c r="H236" i="1"/>
  <c r="V235" i="1"/>
  <c r="U235" i="1"/>
  <c r="T235" i="1"/>
  <c r="H235" i="1"/>
  <c r="V234" i="1"/>
  <c r="U234" i="1"/>
  <c r="T234" i="1"/>
  <c r="H234" i="1"/>
  <c r="V233" i="1"/>
  <c r="U233" i="1"/>
  <c r="T233" i="1"/>
  <c r="H233" i="1"/>
  <c r="V232" i="1"/>
  <c r="U232" i="1"/>
  <c r="T232" i="1"/>
  <c r="H232" i="1"/>
  <c r="V231" i="1"/>
  <c r="U231" i="1"/>
  <c r="T231" i="1"/>
  <c r="H231" i="1"/>
  <c r="V230" i="1"/>
  <c r="U230" i="1"/>
  <c r="T230" i="1"/>
  <c r="H230" i="1"/>
  <c r="V229" i="1"/>
  <c r="U229" i="1"/>
  <c r="T229" i="1"/>
  <c r="H229" i="1"/>
  <c r="V228" i="1"/>
  <c r="U228" i="1"/>
  <c r="T228" i="1"/>
  <c r="H228" i="1"/>
  <c r="V227" i="1"/>
  <c r="U227" i="1"/>
  <c r="T227" i="1"/>
  <c r="H227" i="1"/>
  <c r="V226" i="1"/>
  <c r="U226" i="1"/>
  <c r="T226" i="1"/>
  <c r="H226" i="1"/>
  <c r="V225" i="1"/>
  <c r="U225" i="1"/>
  <c r="T225" i="1"/>
  <c r="H225" i="1"/>
  <c r="V224" i="1"/>
  <c r="U224" i="1"/>
  <c r="T224" i="1"/>
  <c r="H224" i="1"/>
  <c r="V223" i="1"/>
  <c r="U223" i="1"/>
  <c r="T223" i="1"/>
  <c r="H223" i="1"/>
  <c r="V222" i="1"/>
  <c r="U222" i="1"/>
  <c r="T222" i="1"/>
  <c r="H222" i="1"/>
  <c r="V221" i="1"/>
  <c r="U221" i="1"/>
  <c r="T221" i="1"/>
  <c r="H221" i="1"/>
  <c r="V220" i="1"/>
  <c r="U220" i="1"/>
  <c r="T220" i="1"/>
  <c r="H220" i="1"/>
  <c r="V219" i="1"/>
  <c r="U219" i="1"/>
  <c r="T219" i="1"/>
  <c r="H219" i="1"/>
  <c r="V218" i="1"/>
  <c r="U218" i="1"/>
  <c r="T218" i="1"/>
  <c r="H218" i="1"/>
  <c r="V217" i="1"/>
  <c r="U217" i="1"/>
  <c r="T217" i="1"/>
  <c r="H217" i="1"/>
  <c r="V216" i="1"/>
  <c r="U216" i="1"/>
  <c r="T216" i="1"/>
  <c r="H216" i="1"/>
  <c r="V215" i="1"/>
  <c r="U215" i="1"/>
  <c r="T215" i="1"/>
  <c r="H215" i="1"/>
  <c r="V214" i="1"/>
  <c r="U214" i="1"/>
  <c r="T214" i="1"/>
  <c r="H214" i="1"/>
  <c r="V213" i="1"/>
  <c r="U213" i="1"/>
  <c r="T213" i="1"/>
  <c r="H213" i="1"/>
  <c r="V212" i="1"/>
  <c r="U212" i="1"/>
  <c r="T212" i="1"/>
  <c r="H212" i="1"/>
  <c r="V211" i="1"/>
  <c r="U211" i="1"/>
  <c r="T211" i="1"/>
  <c r="H211" i="1"/>
  <c r="V210" i="1"/>
  <c r="U210" i="1"/>
  <c r="T210" i="1"/>
  <c r="H210" i="1"/>
  <c r="V209" i="1"/>
  <c r="U209" i="1"/>
  <c r="T209" i="1"/>
  <c r="H209" i="1"/>
  <c r="V208" i="1"/>
  <c r="U208" i="1"/>
  <c r="T208" i="1"/>
  <c r="H208" i="1"/>
  <c r="V207" i="1"/>
  <c r="U207" i="1"/>
  <c r="T207" i="1"/>
  <c r="H207" i="1"/>
  <c r="V206" i="1"/>
  <c r="U206" i="1"/>
  <c r="T206" i="1"/>
  <c r="H206" i="1"/>
  <c r="V205" i="1"/>
  <c r="U205" i="1"/>
  <c r="T205" i="1"/>
  <c r="H205" i="1"/>
  <c r="V204" i="1"/>
  <c r="U204" i="1"/>
  <c r="T204" i="1"/>
  <c r="H204" i="1"/>
  <c r="V203" i="1"/>
  <c r="U203" i="1"/>
  <c r="T203" i="1"/>
  <c r="H203" i="1"/>
  <c r="V202" i="1"/>
  <c r="U202" i="1"/>
  <c r="T202" i="1"/>
  <c r="H202" i="1"/>
  <c r="V201" i="1"/>
  <c r="U201" i="1"/>
  <c r="T201" i="1"/>
  <c r="H201" i="1"/>
  <c r="V200" i="1"/>
  <c r="U200" i="1"/>
  <c r="T200" i="1"/>
  <c r="H200" i="1"/>
  <c r="V199" i="1"/>
  <c r="U199" i="1"/>
  <c r="T199" i="1"/>
  <c r="H199" i="1"/>
  <c r="V198" i="1"/>
  <c r="U198" i="1"/>
  <c r="T198" i="1"/>
  <c r="H198" i="1"/>
  <c r="V197" i="1"/>
  <c r="U197" i="1"/>
  <c r="T197" i="1"/>
  <c r="H197" i="1"/>
  <c r="V196" i="1"/>
  <c r="U196" i="1"/>
  <c r="T196" i="1"/>
  <c r="H196" i="1"/>
  <c r="V195" i="1"/>
  <c r="U195" i="1"/>
  <c r="T195" i="1"/>
  <c r="H195" i="1"/>
  <c r="V194" i="1"/>
  <c r="U194" i="1"/>
  <c r="T194" i="1"/>
  <c r="H194" i="1"/>
  <c r="V193" i="1"/>
  <c r="U193" i="1"/>
  <c r="T193" i="1"/>
  <c r="H193" i="1"/>
  <c r="V192" i="1"/>
  <c r="U192" i="1"/>
  <c r="T192" i="1"/>
  <c r="H192" i="1"/>
  <c r="V191" i="1"/>
  <c r="U191" i="1"/>
  <c r="T191" i="1"/>
  <c r="H191" i="1"/>
  <c r="V190" i="1"/>
  <c r="U190" i="1"/>
  <c r="T190" i="1"/>
  <c r="H190" i="1"/>
  <c r="V189" i="1"/>
  <c r="U189" i="1"/>
  <c r="T189" i="1"/>
  <c r="H189" i="1"/>
  <c r="V188" i="1"/>
  <c r="U188" i="1"/>
  <c r="T188" i="1"/>
  <c r="H188" i="1"/>
  <c r="V187" i="1"/>
  <c r="U187" i="1"/>
  <c r="T187" i="1"/>
  <c r="H187" i="1"/>
  <c r="V186" i="1"/>
  <c r="U186" i="1"/>
  <c r="T186" i="1"/>
  <c r="H186" i="1"/>
  <c r="V185" i="1"/>
  <c r="U185" i="1"/>
  <c r="T185" i="1"/>
  <c r="H185" i="1"/>
  <c r="V184" i="1"/>
  <c r="U184" i="1"/>
  <c r="T184" i="1"/>
  <c r="H184" i="1"/>
  <c r="V183" i="1"/>
  <c r="U183" i="1"/>
  <c r="T183" i="1"/>
  <c r="H183" i="1"/>
  <c r="V182" i="1"/>
  <c r="U182" i="1"/>
  <c r="T182" i="1"/>
  <c r="H182" i="1"/>
  <c r="V181" i="1"/>
  <c r="U181" i="1"/>
  <c r="T181" i="1"/>
  <c r="H181" i="1"/>
  <c r="V180" i="1"/>
  <c r="U180" i="1"/>
  <c r="T180" i="1"/>
  <c r="H180" i="1"/>
  <c r="V179" i="1"/>
  <c r="U179" i="1"/>
  <c r="T179" i="1"/>
  <c r="H179" i="1"/>
  <c r="V178" i="1"/>
  <c r="U178" i="1"/>
  <c r="T178" i="1"/>
  <c r="H178" i="1"/>
  <c r="V177" i="1"/>
  <c r="U177" i="1"/>
  <c r="T177" i="1"/>
  <c r="H177" i="1"/>
  <c r="V176" i="1"/>
  <c r="U176" i="1"/>
  <c r="T176" i="1"/>
  <c r="H176" i="1"/>
  <c r="V175" i="1"/>
  <c r="U175" i="1"/>
  <c r="T175" i="1"/>
  <c r="H175" i="1"/>
  <c r="V174" i="1"/>
  <c r="U174" i="1"/>
  <c r="T174" i="1"/>
  <c r="H174" i="1"/>
  <c r="V173" i="1"/>
  <c r="U173" i="1"/>
  <c r="T173" i="1"/>
  <c r="H173" i="1"/>
  <c r="V172" i="1"/>
  <c r="U172" i="1"/>
  <c r="T172" i="1"/>
  <c r="H172" i="1"/>
  <c r="V171" i="1"/>
  <c r="U171" i="1"/>
  <c r="T171" i="1"/>
  <c r="H171" i="1"/>
  <c r="V170" i="1"/>
  <c r="U170" i="1"/>
  <c r="T170" i="1"/>
  <c r="H170" i="1"/>
  <c r="V169" i="1"/>
  <c r="U169" i="1"/>
  <c r="T169" i="1"/>
  <c r="H169" i="1"/>
  <c r="V168" i="1"/>
  <c r="U168" i="1"/>
  <c r="T168" i="1"/>
  <c r="H168" i="1"/>
  <c r="V167" i="1"/>
  <c r="U167" i="1"/>
  <c r="T167" i="1"/>
  <c r="H167" i="1"/>
  <c r="V166" i="1"/>
  <c r="U166" i="1"/>
  <c r="T166" i="1"/>
  <c r="H166" i="1"/>
  <c r="V165" i="1"/>
  <c r="U165" i="1"/>
  <c r="T165" i="1"/>
  <c r="H165" i="1"/>
  <c r="V164" i="1"/>
  <c r="U164" i="1"/>
  <c r="T164" i="1"/>
  <c r="H164" i="1"/>
  <c r="V163" i="1"/>
  <c r="U163" i="1"/>
  <c r="T163" i="1"/>
  <c r="H163" i="1"/>
  <c r="V162" i="1"/>
  <c r="U162" i="1"/>
  <c r="T162" i="1"/>
  <c r="H162" i="1"/>
  <c r="V161" i="1"/>
  <c r="U161" i="1"/>
  <c r="T161" i="1"/>
  <c r="H161" i="1"/>
  <c r="V160" i="1"/>
  <c r="U160" i="1"/>
  <c r="T160" i="1"/>
  <c r="H160" i="1"/>
  <c r="V159" i="1"/>
  <c r="U159" i="1"/>
  <c r="T159" i="1"/>
  <c r="H159" i="1"/>
  <c r="V158" i="1"/>
  <c r="U158" i="1"/>
  <c r="T158" i="1"/>
  <c r="H158" i="1"/>
  <c r="V157" i="1"/>
  <c r="U157" i="1"/>
  <c r="T157" i="1"/>
  <c r="H157" i="1"/>
  <c r="V156" i="1"/>
  <c r="U156" i="1"/>
  <c r="T156" i="1"/>
  <c r="H156" i="1"/>
  <c r="V155" i="1"/>
  <c r="U155" i="1"/>
  <c r="T155" i="1"/>
  <c r="H155" i="1"/>
  <c r="V154" i="1"/>
  <c r="U154" i="1"/>
  <c r="T154" i="1"/>
  <c r="H154" i="1"/>
  <c r="V153" i="1"/>
  <c r="U153" i="1"/>
  <c r="T153" i="1"/>
  <c r="H153" i="1"/>
  <c r="V152" i="1"/>
  <c r="U152" i="1"/>
  <c r="T152" i="1"/>
  <c r="H152" i="1"/>
  <c r="V151" i="1"/>
  <c r="U151" i="1"/>
  <c r="T151" i="1"/>
  <c r="H151" i="1"/>
  <c r="V150" i="1"/>
  <c r="U150" i="1"/>
  <c r="T150" i="1"/>
  <c r="H150" i="1"/>
  <c r="V149" i="1"/>
  <c r="U149" i="1"/>
  <c r="T149" i="1"/>
  <c r="H149" i="1"/>
  <c r="V148" i="1"/>
  <c r="U148" i="1"/>
  <c r="T148" i="1"/>
  <c r="H148" i="1"/>
  <c r="V147" i="1"/>
  <c r="U147" i="1"/>
  <c r="T147" i="1"/>
  <c r="H147" i="1"/>
  <c r="V146" i="1"/>
  <c r="U146" i="1"/>
  <c r="T146" i="1"/>
  <c r="H146" i="1"/>
  <c r="V145" i="1"/>
  <c r="U145" i="1"/>
  <c r="T145" i="1"/>
  <c r="H145" i="1"/>
  <c r="V144" i="1"/>
  <c r="U144" i="1"/>
  <c r="T144" i="1"/>
  <c r="H144" i="1"/>
  <c r="V143" i="1"/>
  <c r="U143" i="1"/>
  <c r="T143" i="1"/>
  <c r="H143" i="1"/>
  <c r="V142" i="1"/>
  <c r="U142" i="1"/>
  <c r="T142" i="1"/>
  <c r="H142" i="1"/>
  <c r="V141" i="1"/>
  <c r="U141" i="1"/>
  <c r="T141" i="1"/>
  <c r="H141" i="1"/>
  <c r="V140" i="1"/>
  <c r="U140" i="1"/>
  <c r="T140" i="1"/>
  <c r="H140" i="1"/>
  <c r="V139" i="1"/>
  <c r="U139" i="1"/>
  <c r="T139" i="1"/>
  <c r="H139" i="1"/>
  <c r="V138" i="1"/>
  <c r="U138" i="1"/>
  <c r="T138" i="1"/>
  <c r="H138" i="1"/>
  <c r="V137" i="1"/>
  <c r="U137" i="1"/>
  <c r="T137" i="1"/>
  <c r="H137" i="1"/>
  <c r="V136" i="1"/>
  <c r="U136" i="1"/>
  <c r="T136" i="1"/>
  <c r="H136" i="1"/>
  <c r="V135" i="1"/>
  <c r="U135" i="1"/>
  <c r="T135" i="1"/>
  <c r="H135" i="1"/>
  <c r="V134" i="1"/>
  <c r="U134" i="1"/>
  <c r="T134" i="1"/>
  <c r="H134" i="1"/>
  <c r="V133" i="1"/>
  <c r="U133" i="1"/>
  <c r="T133" i="1"/>
  <c r="H133" i="1"/>
  <c r="V132" i="1"/>
  <c r="U132" i="1"/>
  <c r="T132" i="1"/>
  <c r="H132" i="1"/>
  <c r="V131" i="1"/>
  <c r="U131" i="1"/>
  <c r="T131" i="1"/>
  <c r="H131" i="1"/>
  <c r="V130" i="1"/>
  <c r="U130" i="1"/>
  <c r="T130" i="1"/>
  <c r="H130" i="1"/>
  <c r="V129" i="1"/>
  <c r="U129" i="1"/>
  <c r="T129" i="1"/>
  <c r="H129" i="1"/>
  <c r="V128" i="1"/>
  <c r="U128" i="1"/>
  <c r="T128" i="1"/>
  <c r="H128" i="1"/>
  <c r="V127" i="1"/>
  <c r="U127" i="1"/>
  <c r="T127" i="1"/>
  <c r="H127" i="1"/>
  <c r="V126" i="1"/>
  <c r="U126" i="1"/>
  <c r="T126" i="1"/>
  <c r="H126" i="1"/>
  <c r="V125" i="1"/>
  <c r="U125" i="1"/>
  <c r="T125" i="1"/>
  <c r="H125" i="1"/>
  <c r="V124" i="1"/>
  <c r="U124" i="1"/>
  <c r="T124" i="1"/>
  <c r="H124" i="1"/>
  <c r="V123" i="1"/>
  <c r="U123" i="1"/>
  <c r="T123" i="1"/>
  <c r="H123" i="1"/>
  <c r="V122" i="1"/>
  <c r="U122" i="1"/>
  <c r="T122" i="1"/>
  <c r="H122" i="1"/>
  <c r="V121" i="1"/>
  <c r="U121" i="1"/>
  <c r="T121" i="1"/>
  <c r="H121" i="1"/>
  <c r="V120" i="1"/>
  <c r="U120" i="1"/>
  <c r="T120" i="1"/>
  <c r="H120" i="1"/>
  <c r="V119" i="1"/>
  <c r="U119" i="1"/>
  <c r="T119" i="1"/>
  <c r="H119" i="1"/>
  <c r="V118" i="1"/>
  <c r="U118" i="1"/>
  <c r="T118" i="1"/>
  <c r="H118" i="1"/>
  <c r="V117" i="1"/>
  <c r="U117" i="1"/>
  <c r="T117" i="1"/>
  <c r="H117" i="1"/>
  <c r="V116" i="1"/>
  <c r="U116" i="1"/>
  <c r="T116" i="1"/>
  <c r="H116" i="1"/>
  <c r="V115" i="1"/>
  <c r="U115" i="1"/>
  <c r="T115" i="1"/>
  <c r="H115" i="1"/>
  <c r="V114" i="1"/>
  <c r="U114" i="1"/>
  <c r="T114" i="1"/>
  <c r="H114" i="1"/>
  <c r="V113" i="1"/>
  <c r="U113" i="1"/>
  <c r="T113" i="1"/>
  <c r="H113" i="1"/>
  <c r="V112" i="1"/>
  <c r="U112" i="1"/>
  <c r="T112" i="1"/>
  <c r="H112" i="1"/>
  <c r="V111" i="1"/>
  <c r="U111" i="1"/>
  <c r="T111" i="1"/>
  <c r="H111" i="1"/>
  <c r="V110" i="1"/>
  <c r="U110" i="1"/>
  <c r="T110" i="1"/>
  <c r="H110" i="1"/>
  <c r="V109" i="1"/>
  <c r="U109" i="1"/>
  <c r="T109" i="1"/>
  <c r="H109" i="1"/>
  <c r="V108" i="1"/>
  <c r="U108" i="1"/>
  <c r="T108" i="1"/>
  <c r="H108" i="1"/>
  <c r="V107" i="1"/>
  <c r="U107" i="1"/>
  <c r="T107" i="1"/>
  <c r="H107" i="1"/>
  <c r="V106" i="1"/>
  <c r="U106" i="1"/>
  <c r="T106" i="1"/>
  <c r="H106" i="1"/>
  <c r="V105" i="1"/>
  <c r="U105" i="1"/>
  <c r="T105" i="1"/>
  <c r="H105" i="1"/>
  <c r="V104" i="1"/>
  <c r="U104" i="1"/>
  <c r="T104" i="1"/>
  <c r="H104" i="1"/>
  <c r="V103" i="1"/>
  <c r="U103" i="1"/>
  <c r="T103" i="1"/>
  <c r="H103" i="1"/>
  <c r="V102" i="1"/>
  <c r="U102" i="1"/>
  <c r="T102" i="1"/>
  <c r="H102" i="1"/>
  <c r="V101" i="1"/>
  <c r="U101" i="1"/>
  <c r="T101" i="1"/>
  <c r="H101" i="1"/>
  <c r="V100" i="1"/>
  <c r="U100" i="1"/>
  <c r="T100" i="1"/>
  <c r="H100" i="1"/>
  <c r="V99" i="1"/>
  <c r="U99" i="1"/>
  <c r="T99" i="1"/>
  <c r="H99" i="1"/>
  <c r="V98" i="1"/>
  <c r="U98" i="1"/>
  <c r="T98" i="1"/>
  <c r="H98" i="1"/>
  <c r="V97" i="1"/>
  <c r="U97" i="1"/>
  <c r="T97" i="1"/>
  <c r="H97" i="1"/>
  <c r="V96" i="1"/>
  <c r="U96" i="1"/>
  <c r="T96" i="1"/>
  <c r="H96" i="1"/>
  <c r="V95" i="1"/>
  <c r="U95" i="1"/>
  <c r="T95" i="1"/>
  <c r="H95" i="1"/>
  <c r="V94" i="1"/>
  <c r="U94" i="1"/>
  <c r="T94" i="1"/>
  <c r="H94" i="1"/>
  <c r="V93" i="1"/>
  <c r="U93" i="1"/>
  <c r="T93" i="1"/>
  <c r="H93" i="1"/>
  <c r="V92" i="1"/>
  <c r="U92" i="1"/>
  <c r="T92" i="1"/>
  <c r="H92" i="1"/>
  <c r="V91" i="1"/>
  <c r="U91" i="1"/>
  <c r="T91" i="1"/>
  <c r="H91" i="1"/>
  <c r="V90" i="1"/>
  <c r="U90" i="1"/>
  <c r="T90" i="1"/>
  <c r="H90" i="1"/>
  <c r="V89" i="1"/>
  <c r="U89" i="1"/>
  <c r="T89" i="1"/>
  <c r="H89" i="1"/>
  <c r="V88" i="1"/>
  <c r="U88" i="1"/>
  <c r="T88" i="1"/>
  <c r="H88" i="1"/>
  <c r="V87" i="1"/>
  <c r="U87" i="1"/>
  <c r="T87" i="1"/>
  <c r="H87" i="1"/>
  <c r="V86" i="1"/>
  <c r="U86" i="1"/>
  <c r="T86" i="1"/>
  <c r="H86" i="1"/>
  <c r="V85" i="1"/>
  <c r="U85" i="1"/>
  <c r="T85" i="1"/>
  <c r="H85" i="1"/>
  <c r="V84" i="1"/>
  <c r="U84" i="1"/>
  <c r="T84" i="1"/>
  <c r="H84" i="1"/>
  <c r="V83" i="1"/>
  <c r="U83" i="1"/>
  <c r="T83" i="1"/>
  <c r="H83" i="1"/>
  <c r="V82" i="1"/>
  <c r="U82" i="1"/>
  <c r="T82" i="1"/>
  <c r="H82" i="1"/>
  <c r="V81" i="1"/>
  <c r="U81" i="1"/>
  <c r="T81" i="1"/>
  <c r="H81" i="1"/>
  <c r="V80" i="1"/>
  <c r="U80" i="1"/>
  <c r="T80" i="1"/>
  <c r="H80" i="1"/>
  <c r="V79" i="1"/>
  <c r="U79" i="1"/>
  <c r="T79" i="1"/>
  <c r="H79" i="1"/>
  <c r="V78" i="1"/>
  <c r="U78" i="1"/>
  <c r="T78" i="1"/>
  <c r="H78" i="1"/>
  <c r="V77" i="1"/>
  <c r="U77" i="1"/>
  <c r="T77" i="1"/>
  <c r="H77" i="1"/>
  <c r="V76" i="1"/>
  <c r="U76" i="1"/>
  <c r="T76" i="1"/>
  <c r="H76" i="1"/>
  <c r="V75" i="1"/>
  <c r="U75" i="1"/>
  <c r="T75" i="1"/>
  <c r="H75" i="1"/>
  <c r="V74" i="1"/>
  <c r="U74" i="1"/>
  <c r="T74" i="1"/>
  <c r="H74" i="1"/>
  <c r="V73" i="1"/>
  <c r="U73" i="1"/>
  <c r="T73" i="1"/>
  <c r="H73" i="1"/>
  <c r="V72" i="1"/>
  <c r="U72" i="1"/>
  <c r="T72" i="1"/>
  <c r="H72" i="1"/>
  <c r="V71" i="1"/>
  <c r="U71" i="1"/>
  <c r="T71" i="1"/>
  <c r="H71" i="1"/>
  <c r="V70" i="1"/>
  <c r="U70" i="1"/>
  <c r="T70" i="1"/>
  <c r="H70" i="1"/>
  <c r="V69" i="1"/>
  <c r="U69" i="1"/>
  <c r="T69" i="1"/>
  <c r="H69" i="1"/>
  <c r="V68" i="1"/>
  <c r="U68" i="1"/>
  <c r="T68" i="1"/>
  <c r="H68" i="1"/>
  <c r="V67" i="1"/>
  <c r="U67" i="1"/>
  <c r="T67" i="1"/>
  <c r="H67" i="1"/>
  <c r="V66" i="1"/>
  <c r="U66" i="1"/>
  <c r="T66" i="1"/>
  <c r="H66" i="1"/>
  <c r="V65" i="1"/>
  <c r="U65" i="1"/>
  <c r="T65" i="1"/>
  <c r="H65" i="1"/>
  <c r="V64" i="1"/>
  <c r="U64" i="1"/>
  <c r="T64" i="1"/>
  <c r="H64" i="1"/>
  <c r="V63" i="1"/>
  <c r="U63" i="1"/>
  <c r="T63" i="1"/>
  <c r="H63" i="1"/>
  <c r="V62" i="1"/>
  <c r="U62" i="1"/>
  <c r="T62" i="1"/>
  <c r="H62" i="1"/>
  <c r="V61" i="1"/>
  <c r="U61" i="1"/>
  <c r="T61" i="1"/>
  <c r="H61" i="1"/>
  <c r="V60" i="1"/>
  <c r="U60" i="1"/>
  <c r="T60" i="1"/>
  <c r="H60" i="1"/>
  <c r="V59" i="1"/>
  <c r="U59" i="1"/>
  <c r="T59" i="1"/>
  <c r="H59" i="1"/>
  <c r="V58" i="1"/>
  <c r="U58" i="1"/>
  <c r="T58" i="1"/>
  <c r="H58" i="1"/>
  <c r="V57" i="1"/>
  <c r="U57" i="1"/>
  <c r="T57" i="1"/>
  <c r="H57" i="1"/>
  <c r="V56" i="1"/>
  <c r="U56" i="1"/>
  <c r="T56" i="1"/>
  <c r="H56" i="1"/>
  <c r="V55" i="1"/>
  <c r="U55" i="1"/>
  <c r="T55" i="1"/>
  <c r="H55" i="1"/>
  <c r="V54" i="1"/>
  <c r="U54" i="1"/>
  <c r="T54" i="1"/>
  <c r="H54" i="1"/>
  <c r="V53" i="1"/>
  <c r="U53" i="1"/>
  <c r="T53" i="1"/>
  <c r="H53" i="1"/>
  <c r="V52" i="1"/>
  <c r="U52" i="1"/>
  <c r="T52" i="1"/>
  <c r="H52" i="1"/>
  <c r="V51" i="1"/>
  <c r="U51" i="1"/>
  <c r="T51" i="1"/>
  <c r="H51" i="1"/>
  <c r="V50" i="1"/>
  <c r="U50" i="1"/>
  <c r="T50" i="1"/>
  <c r="H50" i="1"/>
  <c r="V49" i="1"/>
  <c r="U49" i="1"/>
  <c r="T49" i="1"/>
  <c r="H49" i="1"/>
  <c r="V48" i="1"/>
  <c r="U48" i="1"/>
  <c r="T48" i="1"/>
  <c r="H48" i="1"/>
  <c r="V47" i="1"/>
  <c r="U47" i="1"/>
  <c r="T47" i="1"/>
  <c r="H47" i="1"/>
  <c r="V46" i="1"/>
  <c r="U46" i="1"/>
  <c r="T46" i="1"/>
  <c r="H46" i="1"/>
  <c r="V45" i="1"/>
  <c r="U45" i="1"/>
  <c r="T45" i="1"/>
  <c r="H45" i="1"/>
  <c r="V44" i="1"/>
  <c r="U44" i="1"/>
  <c r="T44" i="1"/>
  <c r="H44" i="1"/>
  <c r="V43" i="1"/>
  <c r="U43" i="1"/>
  <c r="T43" i="1"/>
  <c r="H43" i="1"/>
  <c r="V42" i="1"/>
  <c r="U42" i="1"/>
  <c r="T42" i="1"/>
  <c r="H42" i="1"/>
  <c r="V41" i="1"/>
  <c r="U41" i="1"/>
  <c r="T41" i="1"/>
  <c r="H41" i="1"/>
  <c r="V40" i="1"/>
  <c r="U40" i="1"/>
  <c r="T40" i="1"/>
  <c r="H40" i="1"/>
  <c r="V39" i="1"/>
  <c r="U39" i="1"/>
  <c r="T39" i="1"/>
  <c r="H39" i="1"/>
  <c r="V38" i="1"/>
  <c r="U38" i="1"/>
  <c r="T38" i="1"/>
  <c r="H38" i="1"/>
  <c r="V37" i="1"/>
  <c r="U37" i="1"/>
  <c r="T37" i="1"/>
  <c r="H37" i="1"/>
  <c r="V36" i="1"/>
  <c r="U36" i="1"/>
  <c r="T36" i="1"/>
  <c r="H36" i="1"/>
  <c r="V35" i="1"/>
  <c r="U35" i="1"/>
  <c r="T35" i="1"/>
  <c r="H35" i="1"/>
  <c r="V34" i="1"/>
  <c r="U34" i="1"/>
  <c r="T34" i="1"/>
  <c r="H34" i="1"/>
  <c r="V33" i="1"/>
  <c r="U33" i="1"/>
  <c r="T33" i="1"/>
  <c r="H33" i="1"/>
  <c r="V32" i="1"/>
  <c r="U32" i="1"/>
  <c r="T32" i="1"/>
  <c r="H32" i="1"/>
  <c r="V31" i="1"/>
  <c r="U31" i="1"/>
  <c r="T31" i="1"/>
  <c r="H31" i="1"/>
  <c r="V30" i="1"/>
  <c r="U30" i="1"/>
  <c r="T30" i="1"/>
  <c r="H30" i="1"/>
  <c r="V29" i="1"/>
  <c r="U29" i="1"/>
  <c r="T29" i="1"/>
  <c r="H29" i="1"/>
  <c r="V28" i="1"/>
  <c r="U28" i="1"/>
  <c r="T28" i="1"/>
  <c r="H28" i="1"/>
  <c r="V27" i="1"/>
  <c r="U27" i="1"/>
  <c r="T27" i="1"/>
  <c r="H27" i="1"/>
  <c r="V26" i="1"/>
  <c r="U26" i="1"/>
  <c r="T26" i="1"/>
  <c r="H26" i="1"/>
  <c r="V25" i="1"/>
  <c r="U25" i="1"/>
  <c r="T25" i="1"/>
  <c r="H25" i="1"/>
  <c r="V24" i="1"/>
  <c r="U24" i="1"/>
  <c r="T24" i="1"/>
  <c r="H24" i="1"/>
  <c r="V23" i="1"/>
  <c r="U23" i="1"/>
  <c r="T23" i="1"/>
  <c r="H23" i="1"/>
  <c r="V22" i="1"/>
  <c r="U22" i="1"/>
  <c r="T22" i="1"/>
  <c r="H22" i="1"/>
  <c r="V21" i="1"/>
  <c r="U21" i="1"/>
  <c r="T21" i="1"/>
  <c r="H21" i="1"/>
  <c r="V20" i="1"/>
  <c r="U20" i="1"/>
  <c r="T20" i="1"/>
  <c r="H20" i="1"/>
  <c r="V19" i="1"/>
  <c r="U19" i="1"/>
  <c r="T19" i="1"/>
  <c r="H19" i="1"/>
  <c r="V18" i="1"/>
  <c r="U18" i="1"/>
  <c r="T18" i="1"/>
  <c r="H18" i="1"/>
  <c r="V17" i="1"/>
  <c r="U17" i="1"/>
  <c r="T17" i="1"/>
  <c r="H17" i="1"/>
  <c r="V16" i="1"/>
  <c r="U16" i="1"/>
  <c r="T16" i="1"/>
  <c r="H16" i="1"/>
  <c r="V15" i="1"/>
  <c r="U15" i="1"/>
  <c r="T15" i="1"/>
  <c r="H15" i="1"/>
  <c r="V14" i="1"/>
  <c r="U14" i="1"/>
  <c r="T14" i="1"/>
  <c r="H14" i="1"/>
  <c r="V13" i="1"/>
  <c r="U13" i="1"/>
  <c r="T13" i="1"/>
  <c r="H13" i="1"/>
  <c r="V12" i="1"/>
  <c r="U12" i="1"/>
  <c r="T12" i="1"/>
  <c r="H12" i="1"/>
  <c r="V11" i="1"/>
  <c r="U11" i="1"/>
  <c r="T11" i="1"/>
  <c r="H11" i="1"/>
  <c r="V10" i="1"/>
  <c r="U10" i="1"/>
  <c r="T10" i="1"/>
  <c r="H10" i="1"/>
  <c r="V9" i="1"/>
  <c r="U9" i="1"/>
  <c r="T9" i="1"/>
  <c r="H9" i="1"/>
  <c r="V8" i="1"/>
  <c r="U8" i="1"/>
  <c r="T8" i="1"/>
  <c r="H8" i="1"/>
  <c r="V7" i="1"/>
  <c r="U7" i="1"/>
  <c r="T7" i="1"/>
  <c r="H7" i="1"/>
  <c r="V6" i="1"/>
  <c r="U6" i="1"/>
  <c r="T6" i="1"/>
  <c r="H6" i="1"/>
  <c r="V5" i="1"/>
  <c r="U5" i="1"/>
  <c r="T5" i="1"/>
  <c r="H5" i="1"/>
  <c r="V4" i="1"/>
  <c r="U4" i="1"/>
  <c r="T4" i="1"/>
  <c r="H4" i="1"/>
  <c r="V3" i="1"/>
  <c r="U3" i="1"/>
  <c r="T3" i="1"/>
  <c r="H3" i="1"/>
  <c r="V2" i="1"/>
  <c r="U2" i="1"/>
  <c r="T2" i="1"/>
  <c r="H2" i="1"/>
  <c r="H4" i="9"/>
  <c r="F4" i="9"/>
  <c r="D4" i="9"/>
</calcChain>
</file>

<file path=xl/sharedStrings.xml><?xml version="1.0" encoding="utf-8"?>
<sst xmlns="http://schemas.openxmlformats.org/spreadsheetml/2006/main" count="6065" uniqueCount="46">
  <si>
    <t>Person_ID</t>
  </si>
  <si>
    <t>Age</t>
  </si>
  <si>
    <t>Gender</t>
  </si>
  <si>
    <t>Occupation</t>
  </si>
  <si>
    <t>Daily_Screen_Time</t>
  </si>
  <si>
    <t>Social_Media_Usage</t>
  </si>
  <si>
    <t>Night_Usage</t>
  </si>
  <si>
    <t>Sleep_Hours</t>
  </si>
  <si>
    <t>Stress_Level</t>
  </si>
  <si>
    <t>Work_Study_Hours</t>
  </si>
  <si>
    <t>Physical_Activity</t>
  </si>
  <si>
    <t>Social_Interaction_Score</t>
  </si>
  <si>
    <t>Caffeine_Intake</t>
  </si>
  <si>
    <t>Smoking</t>
  </si>
  <si>
    <t>Alcohol</t>
  </si>
  <si>
    <t>Depression</t>
  </si>
  <si>
    <t>Anxiety</t>
  </si>
  <si>
    <t>Burnout</t>
  </si>
  <si>
    <t>Male</t>
  </si>
  <si>
    <t>Student</t>
  </si>
  <si>
    <t>Low</t>
  </si>
  <si>
    <t>High</t>
  </si>
  <si>
    <t>Employed</t>
  </si>
  <si>
    <t>Female</t>
  </si>
  <si>
    <t>Unemployed</t>
  </si>
  <si>
    <t>Medium</t>
  </si>
  <si>
    <t>Sleep_Category</t>
  </si>
  <si>
    <t>Stress_Category</t>
  </si>
  <si>
    <t>Screen_Time_Category</t>
  </si>
  <si>
    <t>Average Stress by Occupation</t>
  </si>
  <si>
    <t>Row Labels</t>
  </si>
  <si>
    <t>Grand Total</t>
  </si>
  <si>
    <t>Average of Stress_Level</t>
  </si>
  <si>
    <t>Good</t>
  </si>
  <si>
    <t>Sleep VS Stress</t>
  </si>
  <si>
    <t>Screen_Time VS Stress</t>
  </si>
  <si>
    <t>Physical Activity Impact</t>
  </si>
  <si>
    <t>Gender Distribution</t>
  </si>
  <si>
    <t>Count of Person_ID</t>
  </si>
  <si>
    <t>Avg Stress</t>
  </si>
  <si>
    <t>Avg Sleep</t>
  </si>
  <si>
    <t>Screen time</t>
  </si>
  <si>
    <t>No Night Usage</t>
  </si>
  <si>
    <t>Night Usage</t>
  </si>
  <si>
    <t>Night Usage Label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</si>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</sst>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
      <b/>
      <sz val="28"/>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10" xfId="0" applyBorder="1"/>
    <xf numFmtId="2" fontId="18" fillId="33" borderId="11" xfId="0" applyNumberFormat="1" applyFont="1" applyFill="1" applyBorder="1"/>
    <xf numFmtId="2" fontId="18" fillId="33" borderId="11" xfId="0" applyNumberFormat="1" applyFont="1" applyFill="1" applyBorder="1" applyAlignment="1">
      <alignment horizontal="center"/>
    </xf>
    <xf numFmtId="0" fontId="19" fillId="0" borderId="0" xfId="0" applyFont="1" applyAlignment="1">
      <alignment vertical="center"/>
    </xf>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0" formatCode="General"/>
    </dxf>
    <dxf>
      <numFmt numFmtId="2" formatCode="0.00"/>
    </dxf>
    <dxf>
      <numFmt numFmtId="0" formatCode="General"/>
    </dxf>
    <dxf>
      <numFmt numFmtId="0" formatCode="General"/>
    </dxf>
    <dxf>
      <fill>
        <patternFill>
          <bgColor theme="5"/>
        </patternFill>
      </fill>
    </dxf>
    <dxf>
      <fill>
        <patternFill>
          <bgColor theme="0" tint="-0.34998626667073579"/>
        </patternFill>
      </fill>
    </dxf>
    <dxf>
      <fill>
        <patternFill>
          <bgColor theme="5" tint="-0.24994659260841701"/>
        </patternFill>
      </fill>
    </dxf>
    <dxf>
      <fill>
        <patternFill>
          <bgColor theme="5" tint="-0.24994659260841701"/>
        </patternFill>
      </fill>
    </dxf>
    <dxf>
      <fill>
        <patternFill>
          <bgColor theme="5"/>
        </patternFill>
      </fill>
    </dxf>
    <dxf>
      <font>
        <color theme="5" tint="0.59996337778862885"/>
      </font>
      <fill>
        <patternFill>
          <bgColor theme="5"/>
        </patternFill>
      </fill>
    </dxf>
    <dxf>
      <font>
        <color theme="5"/>
      </font>
    </dxf>
  </dxfs>
  <tableStyles count="6" defaultTableStyle="TableStyleMedium2" defaultPivotStyle="PivotStyleLight16">
    <tableStyle name="Slicer Style 1" pivot="0" table="0" count="1" xr9:uid="{E14B4676-A1C8-4917-91EF-5FFDF3D8F032}">
      <tableStyleElement type="headerRow" dxfId="12"/>
    </tableStyle>
    <tableStyle name="Slicer Style 2" pivot="0" table="0" count="1" xr9:uid="{F388DD3A-9871-48E5-AD70-7EA1E65C8F2D}">
      <tableStyleElement type="headerRow" dxfId="11"/>
    </tableStyle>
    <tableStyle name="Slicer Style 3" pivot="0" table="0" count="3" xr9:uid="{D16C4992-D0B1-4035-B4AA-F95A39BEB11B}">
      <tableStyleElement type="headerRow" dxfId="10"/>
    </tableStyle>
    <tableStyle name="Slicer Style 4" pivot="0" table="0" count="2" xr9:uid="{6D632C7F-8E86-4EAE-9C9D-FC5A3C48FE15}">
      <tableStyleElement type="headerRow" dxfId="9"/>
    </tableStyle>
    <tableStyle name="Slicer Style 5" pivot="0" table="0" count="2" xr9:uid="{CD83BFB4-49CF-4EE7-9169-46FEEFC9ED61}">
      <tableStyleElement type="headerRow" dxfId="8"/>
    </tableStyle>
    <tableStyle name="Slicer Style 6" pivot="0" table="0" count="4" xr9:uid="{78F687E0-1D0C-4543-9813-81B8397D3732}">
      <tableStyleElement type="wholeTable" dxfId="7"/>
      <tableStyleElement type="headerRow" dxfId="6"/>
    </tableStyle>
  </tableStyles>
  <extLst>
    <ext xmlns:x14="http://schemas.microsoft.com/office/spreadsheetml/2009/9/main" uri="{46F421CA-312F-682f-3DD2-61675219B42D}">
      <x14:dxfs count="6">
        <dxf>
          <fill>
            <patternFill>
              <bgColor theme="5" tint="-0.499984740745262"/>
            </patternFill>
          </fill>
        </dxf>
        <dxf>
          <fill>
            <patternFill>
              <bgColor theme="5" tint="0.39994506668294322"/>
            </patternFill>
          </fill>
        </dxf>
        <dxf>
          <fill>
            <patternFill>
              <bgColor theme="5" tint="0.79998168889431442"/>
            </patternFill>
          </fill>
        </dxf>
        <dxf>
          <fill>
            <patternFill>
              <bgColor theme="5" tint="0.39994506668294322"/>
            </patternFill>
          </fill>
        </dxf>
        <dxf>
          <font>
            <color theme="5" tint="0.39994506668294322"/>
          </font>
          <fill>
            <patternFill>
              <bgColor theme="5" tint="-0.49998474074526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5"/>
            <x14:slicerStyleElement type="selectedItemWithData" dxfId="4"/>
          </x14:slicerStyleElements>
        </x14:slicerStyle>
        <x14:slicerStyle name="Slicer Style 4">
          <x14:slicerStyleElements>
            <x14:slicerStyleElement type="selectedItemWithData" dxfId="3"/>
          </x14:slicerStyleElements>
        </x14:slicerStyle>
        <x14:slicerStyle name="Slicer Style 5">
          <x14:slicerStyleElements>
            <x14:slicerStyleElement type="hoveredSelectedItemWithData" dxfId="2"/>
          </x14:slicerStyleElements>
        </x14:slicerStyle>
        <x14:slicerStyle name="Slicer Style 6">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 Id="rId5" Type="http://schemas.openxmlformats.org/officeDocument/2006/relationships/image" Target="../media/image3.jpeg"/><Relationship Id="rId4" Type="http://schemas.openxmlformats.org/officeDocument/2006/relationships/image" Target="../media/image2.jpeg"/></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 Id="rId5" Type="http://schemas.openxmlformats.org/officeDocument/2006/relationships/image" Target="../media/image5.jpeg"/><Relationship Id="rId4" Type="http://schemas.openxmlformats.org/officeDocument/2006/relationships/image" Target="../media/image4.jpeg"/></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Dashboard.xlsx]AvgStrsOcc!PivotTable1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AvgStrsOcc!$B$3</c:f>
              <c:strCache>
                <c:ptCount val="1"/>
                <c:pt idx="0">
                  <c:v>Total</c:v>
                </c:pt>
              </c:strCache>
            </c:strRef>
          </c:tx>
          <c:spPr>
            <a:solidFill>
              <a:schemeClr val="accent1"/>
            </a:solidFill>
            <a:ln>
              <a:noFill/>
            </a:ln>
            <a:effectLst/>
            <a:sp3d/>
          </c:spPr>
          <c:invertIfNegative val="0"/>
          <c:cat>
            <c:strRef>
              <c:f>AvgStrsOcc!$A$4:$A$7</c:f>
              <c:strCache>
                <c:ptCount val="3"/>
                <c:pt idx="0">
                  <c:v>Employed</c:v>
                </c:pt>
                <c:pt idx="1">
                  <c:v>Student</c:v>
                </c:pt>
                <c:pt idx="2">
                  <c:v>Unemployed</c:v>
                </c:pt>
              </c:strCache>
            </c:strRef>
          </c:cat>
          <c:val>
            <c:numRef>
              <c:f>AvgStrsOcc!$B$4:$B$7</c:f>
              <c:numCache>
                <c:formatCode>General</c:formatCode>
                <c:ptCount val="3"/>
                <c:pt idx="0">
                  <c:v>5.458204334365325</c:v>
                </c:pt>
                <c:pt idx="1">
                  <c:v>5.3338257016248152</c:v>
                </c:pt>
                <c:pt idx="2">
                  <c:v>5.4387001477104873</c:v>
                </c:pt>
              </c:numCache>
            </c:numRef>
          </c:val>
          <c:extLst>
            <c:ext xmlns:c16="http://schemas.microsoft.com/office/drawing/2014/chart" uri="{C3380CC4-5D6E-409C-BE32-E72D297353CC}">
              <c16:uniqueId val="{00000000-0787-4DB8-94A7-5A76AD9E8FE9}"/>
            </c:ext>
          </c:extLst>
        </c:ser>
        <c:dLbls>
          <c:showLegendKey val="0"/>
          <c:showVal val="0"/>
          <c:showCatName val="0"/>
          <c:showSerName val="0"/>
          <c:showPercent val="0"/>
          <c:showBubbleSize val="0"/>
        </c:dLbls>
        <c:gapWidth val="150"/>
        <c:shape val="box"/>
        <c:axId val="1593277567"/>
        <c:axId val="1593282367"/>
        <c:axId val="0"/>
      </c:bar3DChart>
      <c:catAx>
        <c:axId val="1593277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282367"/>
        <c:crosses val="autoZero"/>
        <c:auto val="1"/>
        <c:lblAlgn val="ctr"/>
        <c:lblOffset val="100"/>
        <c:noMultiLvlLbl val="0"/>
      </c:catAx>
      <c:valAx>
        <c:axId val="159328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2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Dashboard.xlsx]SleepVsStress!PivotTable2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SleepVsStress!$B$3</c:f>
              <c:strCache>
                <c:ptCount val="1"/>
                <c:pt idx="0">
                  <c:v>Total</c:v>
                </c:pt>
              </c:strCache>
            </c:strRef>
          </c:tx>
          <c:spPr>
            <a:solidFill>
              <a:schemeClr val="accent1"/>
            </a:solidFill>
            <a:ln>
              <a:noFill/>
            </a:ln>
            <a:effectLst/>
            <a:sp3d/>
          </c:spPr>
          <c:invertIfNegative val="0"/>
          <c:cat>
            <c:strRef>
              <c:f>SleepVsStress!$A$4:$A$7</c:f>
              <c:strCache>
                <c:ptCount val="3"/>
                <c:pt idx="0">
                  <c:v>Good</c:v>
                </c:pt>
                <c:pt idx="1">
                  <c:v>Low</c:v>
                </c:pt>
                <c:pt idx="2">
                  <c:v>Medium</c:v>
                </c:pt>
              </c:strCache>
            </c:strRef>
          </c:cat>
          <c:val>
            <c:numRef>
              <c:f>SleepVsStress!$B$4:$B$7</c:f>
              <c:numCache>
                <c:formatCode>General</c:formatCode>
                <c:ptCount val="3"/>
                <c:pt idx="0">
                  <c:v>5.3338257016248152</c:v>
                </c:pt>
                <c:pt idx="1">
                  <c:v>5.5</c:v>
                </c:pt>
                <c:pt idx="2">
                  <c:v>5.4014388489208631</c:v>
                </c:pt>
              </c:numCache>
            </c:numRef>
          </c:val>
          <c:extLst>
            <c:ext xmlns:c16="http://schemas.microsoft.com/office/drawing/2014/chart" uri="{C3380CC4-5D6E-409C-BE32-E72D297353CC}">
              <c16:uniqueId val="{00000000-8F31-4324-8D0E-C465002FBF3B}"/>
            </c:ext>
          </c:extLst>
        </c:ser>
        <c:dLbls>
          <c:showLegendKey val="0"/>
          <c:showVal val="0"/>
          <c:showCatName val="0"/>
          <c:showSerName val="0"/>
          <c:showPercent val="0"/>
          <c:showBubbleSize val="0"/>
        </c:dLbls>
        <c:gapWidth val="150"/>
        <c:shape val="box"/>
        <c:axId val="1583862527"/>
        <c:axId val="1583882687"/>
        <c:axId val="0"/>
      </c:bar3DChart>
      <c:catAx>
        <c:axId val="158386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82687"/>
        <c:crosses val="autoZero"/>
        <c:auto val="1"/>
        <c:lblAlgn val="ctr"/>
        <c:lblOffset val="100"/>
        <c:noMultiLvlLbl val="0"/>
      </c:catAx>
      <c:valAx>
        <c:axId val="158388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6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Dashboard.xlsx]ScrTimeVsStrs!PivotTable3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ScrTimeVsStrs!$B$3</c:f>
              <c:strCache>
                <c:ptCount val="1"/>
                <c:pt idx="0">
                  <c:v>Total</c:v>
                </c:pt>
              </c:strCache>
            </c:strRef>
          </c:tx>
          <c:spPr>
            <a:solidFill>
              <a:schemeClr val="accent1"/>
            </a:solidFill>
            <a:ln>
              <a:noFill/>
            </a:ln>
            <a:effectLst/>
            <a:sp3d/>
          </c:spPr>
          <c:invertIfNegative val="0"/>
          <c:cat>
            <c:strRef>
              <c:f>ScrTimeVsStrs!$A$4:$A$7</c:f>
              <c:strCache>
                <c:ptCount val="3"/>
                <c:pt idx="0">
                  <c:v>High</c:v>
                </c:pt>
                <c:pt idx="1">
                  <c:v>Low</c:v>
                </c:pt>
                <c:pt idx="2">
                  <c:v>Medium</c:v>
                </c:pt>
              </c:strCache>
            </c:strRef>
          </c:cat>
          <c:val>
            <c:numRef>
              <c:f>ScrTimeVsStrs!$B$4:$B$7</c:f>
              <c:numCache>
                <c:formatCode>General</c:formatCode>
                <c:ptCount val="3"/>
                <c:pt idx="0">
                  <c:v>5.4691195795006573</c:v>
                </c:pt>
                <c:pt idx="1">
                  <c:v>5.528436018957346</c:v>
                </c:pt>
                <c:pt idx="2">
                  <c:v>5.2925336597307222</c:v>
                </c:pt>
              </c:numCache>
            </c:numRef>
          </c:val>
          <c:extLst>
            <c:ext xmlns:c16="http://schemas.microsoft.com/office/drawing/2014/chart" uri="{C3380CC4-5D6E-409C-BE32-E72D297353CC}">
              <c16:uniqueId val="{00000000-5458-4DC6-82D8-8FA1B2C09117}"/>
            </c:ext>
          </c:extLst>
        </c:ser>
        <c:dLbls>
          <c:showLegendKey val="0"/>
          <c:showVal val="0"/>
          <c:showCatName val="0"/>
          <c:showSerName val="0"/>
          <c:showPercent val="0"/>
          <c:showBubbleSize val="0"/>
        </c:dLbls>
        <c:gapWidth val="150"/>
        <c:shape val="box"/>
        <c:axId val="1355197839"/>
        <c:axId val="1355195439"/>
        <c:axId val="0"/>
      </c:bar3DChart>
      <c:catAx>
        <c:axId val="135519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195439"/>
        <c:crosses val="autoZero"/>
        <c:auto val="1"/>
        <c:lblAlgn val="ctr"/>
        <c:lblOffset val="100"/>
        <c:noMultiLvlLbl val="0"/>
      </c:catAx>
      <c:valAx>
        <c:axId val="135519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19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Dashboard.xlsx]PhsclActImpct!PivotTable4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PhsclActImpct!$B$3</c:f>
              <c:strCache>
                <c:ptCount val="1"/>
                <c:pt idx="0">
                  <c:v>Total</c:v>
                </c:pt>
              </c:strCache>
            </c:strRef>
          </c:tx>
          <c:spPr>
            <a:solidFill>
              <a:schemeClr val="accent1"/>
            </a:solidFill>
            <a:ln>
              <a:noFill/>
            </a:ln>
            <a:effectLst/>
            <a:sp3d/>
          </c:spPr>
          <c:invertIfNegative val="0"/>
          <c:cat>
            <c:strRef>
              <c:f>PhsclActImpct!$A$4:$A$7</c:f>
              <c:strCache>
                <c:ptCount val="3"/>
                <c:pt idx="0">
                  <c:v>High</c:v>
                </c:pt>
                <c:pt idx="1">
                  <c:v>Low</c:v>
                </c:pt>
                <c:pt idx="2">
                  <c:v>Medium</c:v>
                </c:pt>
              </c:strCache>
            </c:strRef>
          </c:cat>
          <c:val>
            <c:numRef>
              <c:f>PhsclActImpct!$B$4:$B$7</c:f>
              <c:numCache>
                <c:formatCode>General</c:formatCode>
                <c:ptCount val="3"/>
                <c:pt idx="0">
                  <c:v>5.4420731707317076</c:v>
                </c:pt>
                <c:pt idx="1">
                  <c:v>5.5073313782991207</c:v>
                </c:pt>
                <c:pt idx="2">
                  <c:v>5.2764350453172204</c:v>
                </c:pt>
              </c:numCache>
            </c:numRef>
          </c:val>
          <c:extLst>
            <c:ext xmlns:c16="http://schemas.microsoft.com/office/drawing/2014/chart" uri="{C3380CC4-5D6E-409C-BE32-E72D297353CC}">
              <c16:uniqueId val="{00000000-0812-40CD-B0F0-F244FC7F1EFE}"/>
            </c:ext>
          </c:extLst>
        </c:ser>
        <c:dLbls>
          <c:showLegendKey val="0"/>
          <c:showVal val="0"/>
          <c:showCatName val="0"/>
          <c:showSerName val="0"/>
          <c:showPercent val="0"/>
          <c:showBubbleSize val="0"/>
        </c:dLbls>
        <c:gapWidth val="150"/>
        <c:shape val="box"/>
        <c:axId val="1793605551"/>
        <c:axId val="1793599311"/>
        <c:axId val="0"/>
      </c:bar3DChart>
      <c:catAx>
        <c:axId val="179360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99311"/>
        <c:crosses val="autoZero"/>
        <c:auto val="1"/>
        <c:lblAlgn val="ctr"/>
        <c:lblOffset val="100"/>
        <c:noMultiLvlLbl val="0"/>
      </c:catAx>
      <c:valAx>
        <c:axId val="1793599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0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Dashboard.xlsx]GndrDist!PivotTable5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GndrDist!$B$3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95A-44E0-988A-8987BD3AB68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95A-44E0-988A-8987BD3AB68C}"/>
              </c:ext>
            </c:extLst>
          </c:dPt>
          <c:cat>
            <c:strRef>
              <c:f>GndrDist!$A$4:$A$6</c:f>
              <c:strCache>
                <c:ptCount val="2"/>
                <c:pt idx="0">
                  <c:v>Female</c:v>
                </c:pt>
                <c:pt idx="1">
                  <c:v>Male</c:v>
                </c:pt>
              </c:strCache>
            </c:strRef>
          </c:cat>
          <c:val>
            <c:numRef>
              <c:f>GndrDist!$B$4:$B$6</c:f>
              <c:numCache>
                <c:formatCode>0.00%</c:formatCode>
                <c:ptCount val="2"/>
                <c:pt idx="0">
                  <c:v>0.504</c:v>
                </c:pt>
                <c:pt idx="1">
                  <c:v>0.496</c:v>
                </c:pt>
              </c:numCache>
            </c:numRef>
          </c:val>
          <c:extLst>
            <c:ext xmlns:c16="http://schemas.microsoft.com/office/drawing/2014/chart" uri="{C3380CC4-5D6E-409C-BE32-E72D297353CC}">
              <c16:uniqueId val="{00000000-BDF1-4849-B7D5-746364DDCAA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Dashboard.xlsx]ScrTimeVsStrs!PivotTable3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40000"/>
                    <a:lumOff val="60000"/>
                  </a:schemeClr>
                </a:solidFill>
              </a:rPr>
              <a:t>Screen Time vs.</a:t>
            </a:r>
            <a:r>
              <a:rPr lang="en-US" baseline="0">
                <a:solidFill>
                  <a:schemeClr val="accent2">
                    <a:lumMod val="40000"/>
                    <a:lumOff val="60000"/>
                  </a:schemeClr>
                </a:solidFill>
              </a:rPr>
              <a:t> </a:t>
            </a:r>
            <a:r>
              <a:rPr lang="en-US">
                <a:solidFill>
                  <a:schemeClr val="accent2">
                    <a:lumMod val="40000"/>
                    <a:lumOff val="60000"/>
                  </a:schemeClr>
                </a:solidFill>
              </a:rPr>
              <a:t>Stress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pivotFmt>
      <c:pivotFmt>
        <c:idx val="4"/>
        <c:spPr>
          <a:blipFill>
            <a:blip xmlns:r="http://schemas.openxmlformats.org/officeDocument/2006/relationships" r:embed="rId4"/>
            <a:tile tx="0" ty="0" sx="100000" sy="100000" flip="none" algn="tl"/>
          </a:blipFill>
          <a:ln>
            <a:noFill/>
          </a:ln>
          <a:effectLst>
            <a:outerShdw blurRad="57150" dist="19050" dir="5400000" algn="ctr" rotWithShape="0">
              <a:srgbClr val="000000">
                <a:alpha val="63000"/>
              </a:srgbClr>
            </a:outerShdw>
          </a:effectLst>
          <a:sp3d/>
        </c:spPr>
      </c:pivotFmt>
      <c:pivotFmt>
        <c:idx val="5"/>
        <c:spPr>
          <a:blipFill>
            <a:blip xmlns:r="http://schemas.openxmlformats.org/officeDocument/2006/relationships" r:embed="rId5"/>
            <a:tile tx="0" ty="0" sx="100000" sy="100000" flip="none" algn="tl"/>
          </a:blip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770947640359394"/>
          <c:y val="0.1551320741467721"/>
          <c:w val="0.65142781924829329"/>
          <c:h val="0.63317711929725418"/>
        </c:manualLayout>
      </c:layout>
      <c:bar3DChart>
        <c:barDir val="col"/>
        <c:grouping val="stacked"/>
        <c:varyColors val="0"/>
        <c:ser>
          <c:idx val="0"/>
          <c:order val="0"/>
          <c:tx>
            <c:strRef>
              <c:f>ScrTimeVsStrs!$B$3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blipFill>
                <a:blip xmlns:r="http://schemas.openxmlformats.org/officeDocument/2006/relationships" r:embed="rId5"/>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0633-4499-AB5E-C73F65620309}"/>
              </c:ext>
            </c:extLst>
          </c:dPt>
          <c:dPt>
            <c:idx val="1"/>
            <c:invertIfNegative val="0"/>
            <c:bubble3D val="0"/>
            <c:spPr>
              <a:blipFill>
                <a:blip xmlns:r="http://schemas.openxmlformats.org/officeDocument/2006/relationships" r:embed="rId4"/>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633-4499-AB5E-C73F65620309}"/>
              </c:ext>
            </c:extLst>
          </c:dPt>
          <c:dPt>
            <c:idx val="2"/>
            <c:invertIfNegative val="0"/>
            <c:bubble3D val="0"/>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0633-4499-AB5E-C73F65620309}"/>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ScrTimeVsStrs!$A$4:$A$7</c:f>
              <c:strCache>
                <c:ptCount val="3"/>
                <c:pt idx="0">
                  <c:v>High</c:v>
                </c:pt>
                <c:pt idx="1">
                  <c:v>Low</c:v>
                </c:pt>
                <c:pt idx="2">
                  <c:v>Medium</c:v>
                </c:pt>
              </c:strCache>
            </c:strRef>
          </c:cat>
          <c:val>
            <c:numRef>
              <c:f>ScrTimeVsStrs!$B$4:$B$7</c:f>
              <c:numCache>
                <c:formatCode>General</c:formatCode>
                <c:ptCount val="3"/>
                <c:pt idx="0">
                  <c:v>5.4691195795006573</c:v>
                </c:pt>
                <c:pt idx="1">
                  <c:v>5.528436018957346</c:v>
                </c:pt>
                <c:pt idx="2">
                  <c:v>5.2925336597307222</c:v>
                </c:pt>
              </c:numCache>
            </c:numRef>
          </c:val>
          <c:extLst>
            <c:ext xmlns:c16="http://schemas.microsoft.com/office/drawing/2014/chart" uri="{C3380CC4-5D6E-409C-BE32-E72D297353CC}">
              <c16:uniqueId val="{00000000-32F2-4297-AAC0-67B5D3B73B40}"/>
            </c:ext>
          </c:extLst>
        </c:ser>
        <c:dLbls>
          <c:showLegendKey val="0"/>
          <c:showVal val="1"/>
          <c:showCatName val="0"/>
          <c:showSerName val="0"/>
          <c:showPercent val="0"/>
          <c:showBubbleSize val="0"/>
        </c:dLbls>
        <c:gapWidth val="150"/>
        <c:shape val="box"/>
        <c:axId val="1355197839"/>
        <c:axId val="1355195439"/>
        <c:axId val="0"/>
      </c:bar3DChart>
      <c:catAx>
        <c:axId val="13551978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sz="1200">
                    <a:solidFill>
                      <a:schemeClr val="bg1"/>
                    </a:solidFill>
                  </a:rPr>
                  <a:t>SCREEN</a:t>
                </a:r>
                <a:r>
                  <a:rPr lang="en-IN" sz="1200" baseline="0">
                    <a:solidFill>
                      <a:schemeClr val="bg1"/>
                    </a:solidFill>
                  </a:rPr>
                  <a:t> TIME</a:t>
                </a:r>
                <a:endParaRPr lang="en-IN" sz="1200">
                  <a:solidFill>
                    <a:schemeClr val="bg1"/>
                  </a:solidFill>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5195439"/>
        <c:crosses val="autoZero"/>
        <c:auto val="1"/>
        <c:lblAlgn val="ctr"/>
        <c:lblOffset val="100"/>
        <c:noMultiLvlLbl val="0"/>
      </c:catAx>
      <c:valAx>
        <c:axId val="1355195439"/>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sz="1200">
                    <a:solidFill>
                      <a:schemeClr val="bg1"/>
                    </a:solidFill>
                  </a:rPr>
                  <a:t>AVG</a:t>
                </a:r>
                <a:r>
                  <a:rPr lang="en-IN" sz="1200" baseline="0">
                    <a:solidFill>
                      <a:schemeClr val="bg1"/>
                    </a:solidFill>
                  </a:rPr>
                  <a:t> STRESS_LEVEL</a:t>
                </a:r>
                <a:endParaRPr lang="en-IN" sz="1200">
                  <a:solidFill>
                    <a:schemeClr val="bg1"/>
                  </a:solidFill>
                </a:endParaRPr>
              </a:p>
            </c:rich>
          </c:tx>
          <c:layout>
            <c:manualLayout>
              <c:xMode val="edge"/>
              <c:yMode val="edge"/>
              <c:x val="3.1712502670334423E-2"/>
              <c:y val="0.2965884258941902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519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Dashboard.xlsx]AvgStrsOcc!PivotTable1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40000"/>
                    <a:lumOff val="60000"/>
                  </a:schemeClr>
                </a:solidFill>
              </a:rPr>
              <a:t>Stress by Occupation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a:sp3d/>
        </c:spPr>
      </c:pivotFmt>
      <c:pivotFmt>
        <c:idx val="6"/>
        <c:spPr>
          <a:solidFill>
            <a:schemeClr val="accent2">
              <a:lumMod val="75000"/>
            </a:schemeClr>
          </a:solidFill>
          <a:ln>
            <a:noFill/>
          </a:ln>
          <a:effectLst>
            <a:outerShdw blurRad="57150" dist="19050" dir="5400000" algn="ctr" rotWithShape="0">
              <a:srgbClr val="000000">
                <a:alpha val="63000"/>
              </a:srgbClr>
            </a:outerShdw>
          </a:effectLst>
          <a:sp3d/>
        </c:spPr>
      </c:pivotFmt>
      <c:pivotFmt>
        <c:idx val="7"/>
        <c:spPr>
          <a:solidFill>
            <a:schemeClr val="accent2">
              <a:lumMod val="50000"/>
            </a:schemeClr>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941813226502183"/>
          <c:y val="0.15093457943925234"/>
          <c:w val="0.56299340672851805"/>
          <c:h val="0.50554425705283013"/>
        </c:manualLayout>
      </c:layout>
      <c:bar3DChart>
        <c:barDir val="col"/>
        <c:grouping val="stacked"/>
        <c:varyColors val="0"/>
        <c:ser>
          <c:idx val="0"/>
          <c:order val="0"/>
          <c:tx>
            <c:strRef>
              <c:f>AvgStrsOcc!$B$3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2">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909-4063-8129-D691047A07AB}"/>
              </c:ext>
            </c:extLst>
          </c:dPt>
          <c:dPt>
            <c:idx val="1"/>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A909-4063-8129-D691047A07AB}"/>
              </c:ext>
            </c:extLst>
          </c:dPt>
          <c:dPt>
            <c:idx val="2"/>
            <c:invertIfNegative val="0"/>
            <c:bubble3D val="0"/>
            <c:spPr>
              <a:solidFill>
                <a:schemeClr val="accent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909-4063-8129-D691047A07AB}"/>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AvgStrsOcc!$A$4:$A$7</c:f>
              <c:strCache>
                <c:ptCount val="3"/>
                <c:pt idx="0">
                  <c:v>Employed</c:v>
                </c:pt>
                <c:pt idx="1">
                  <c:v>Student</c:v>
                </c:pt>
                <c:pt idx="2">
                  <c:v>Unemployed</c:v>
                </c:pt>
              </c:strCache>
            </c:strRef>
          </c:cat>
          <c:val>
            <c:numRef>
              <c:f>AvgStrsOcc!$B$4:$B$7</c:f>
              <c:numCache>
                <c:formatCode>General</c:formatCode>
                <c:ptCount val="3"/>
                <c:pt idx="0">
                  <c:v>5.458204334365325</c:v>
                </c:pt>
                <c:pt idx="1">
                  <c:v>5.3338257016248152</c:v>
                </c:pt>
                <c:pt idx="2">
                  <c:v>5.4387001477104873</c:v>
                </c:pt>
              </c:numCache>
            </c:numRef>
          </c:val>
          <c:extLst>
            <c:ext xmlns:c16="http://schemas.microsoft.com/office/drawing/2014/chart" uri="{C3380CC4-5D6E-409C-BE32-E72D297353CC}">
              <c16:uniqueId val="{00000000-A909-4063-8129-D691047A07AB}"/>
            </c:ext>
          </c:extLst>
        </c:ser>
        <c:dLbls>
          <c:showLegendKey val="0"/>
          <c:showVal val="1"/>
          <c:showCatName val="0"/>
          <c:showSerName val="0"/>
          <c:showPercent val="0"/>
          <c:showBubbleSize val="0"/>
        </c:dLbls>
        <c:gapWidth val="150"/>
        <c:shape val="box"/>
        <c:axId val="1593277567"/>
        <c:axId val="1593282367"/>
        <c:axId val="0"/>
      </c:bar3DChart>
      <c:catAx>
        <c:axId val="15932775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sz="1200">
                    <a:solidFill>
                      <a:schemeClr val="bg1"/>
                    </a:solidFill>
                  </a:rPr>
                  <a:t>OCCUPATION</a:t>
                </a:r>
              </a:p>
            </c:rich>
          </c:tx>
          <c:layout>
            <c:manualLayout>
              <c:xMode val="edge"/>
              <c:yMode val="edge"/>
              <c:x val="0.37640461524119584"/>
              <c:y val="0.8299934903317436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3282367"/>
        <c:crosses val="autoZero"/>
        <c:auto val="1"/>
        <c:lblAlgn val="ctr"/>
        <c:lblOffset val="100"/>
        <c:noMultiLvlLbl val="0"/>
      </c:catAx>
      <c:valAx>
        <c:axId val="159328236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sz="1200">
                    <a:solidFill>
                      <a:schemeClr val="bg1"/>
                    </a:solidFill>
                  </a:rPr>
                  <a:t>AVG</a:t>
                </a:r>
                <a:r>
                  <a:rPr lang="en-IN" sz="1200" baseline="0">
                    <a:solidFill>
                      <a:schemeClr val="bg1"/>
                    </a:solidFill>
                  </a:rPr>
                  <a:t> STRESS_LEVEL</a:t>
                </a:r>
                <a:endParaRPr lang="en-IN" sz="1200">
                  <a:solidFill>
                    <a:schemeClr val="bg1"/>
                  </a:solidFill>
                </a:endParaRPr>
              </a:p>
            </c:rich>
          </c:tx>
          <c:layout>
            <c:manualLayout>
              <c:xMode val="edge"/>
              <c:yMode val="edge"/>
              <c:x val="4.1331028939878292E-2"/>
              <c:y val="0.2004682622268470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32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Dashboard.xlsx]SleepVsStress!PivotTable2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40000"/>
                    <a:lumOff val="60000"/>
                  </a:schemeClr>
                </a:solidFill>
              </a:rPr>
              <a:t>Sleep vs. Stress</a:t>
            </a:r>
          </a:p>
        </c:rich>
      </c:tx>
      <c:layout>
        <c:manualLayout>
          <c:xMode val="edge"/>
          <c:yMode val="edge"/>
          <c:x val="0.3155095761003594"/>
          <c:y val="6.3585277733211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pivotFmt>
      <c:pivotFmt>
        <c:idx val="6"/>
        <c:spPr>
          <a:blipFill>
            <a:blip xmlns:r="http://schemas.openxmlformats.org/officeDocument/2006/relationships" r:embed="rId4"/>
            <a:tile tx="0" ty="0" sx="100000" sy="100000" flip="none" algn="tl"/>
          </a:blipFill>
          <a:ln>
            <a:noFill/>
          </a:ln>
          <a:effectLst>
            <a:outerShdw blurRad="57150" dist="19050" dir="5400000" algn="ctr" rotWithShape="0">
              <a:srgbClr val="000000">
                <a:alpha val="63000"/>
              </a:srgbClr>
            </a:outerShdw>
          </a:effectLst>
          <a:sp3d/>
        </c:spPr>
      </c:pivotFmt>
      <c:pivotFmt>
        <c:idx val="7"/>
        <c:spPr>
          <a:blipFill>
            <a:blip xmlns:r="http://schemas.openxmlformats.org/officeDocument/2006/relationships" r:embed="rId5"/>
            <a:tile tx="0" ty="0" sx="100000" sy="100000" flip="none" algn="tl"/>
          </a:blip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44010275425717"/>
          <c:y val="0.18327934573118848"/>
          <c:w val="0.67094202518031254"/>
          <c:h val="0.57332843213910722"/>
        </c:manualLayout>
      </c:layout>
      <c:bar3DChart>
        <c:barDir val="bar"/>
        <c:grouping val="stacked"/>
        <c:varyColors val="0"/>
        <c:ser>
          <c:idx val="0"/>
          <c:order val="0"/>
          <c:tx>
            <c:strRef>
              <c:f>SleepVsStress!$B$3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blipFill>
                <a:blip xmlns:r="http://schemas.openxmlformats.org/officeDocument/2006/relationships" r:embed="rId4"/>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7BAC-4865-B86B-140C197DA7FC}"/>
              </c:ext>
            </c:extLst>
          </c:dPt>
          <c:dPt>
            <c:idx val="1"/>
            <c:invertIfNegative val="0"/>
            <c:bubble3D val="0"/>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BAC-4865-B86B-140C197DA7FC}"/>
              </c:ext>
            </c:extLst>
          </c:dPt>
          <c:dPt>
            <c:idx val="2"/>
            <c:invertIfNegative val="0"/>
            <c:bubble3D val="0"/>
            <c:spPr>
              <a:blipFill>
                <a:blip xmlns:r="http://schemas.openxmlformats.org/officeDocument/2006/relationships" r:embed="rId5"/>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BAC-4865-B86B-140C197DA7FC}"/>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SleepVsStress!$A$4:$A$7</c:f>
              <c:strCache>
                <c:ptCount val="3"/>
                <c:pt idx="0">
                  <c:v>Good</c:v>
                </c:pt>
                <c:pt idx="1">
                  <c:v>Low</c:v>
                </c:pt>
                <c:pt idx="2">
                  <c:v>Medium</c:v>
                </c:pt>
              </c:strCache>
            </c:strRef>
          </c:cat>
          <c:val>
            <c:numRef>
              <c:f>SleepVsStress!$B$4:$B$7</c:f>
              <c:numCache>
                <c:formatCode>General</c:formatCode>
                <c:ptCount val="3"/>
                <c:pt idx="0">
                  <c:v>5.3338257016248152</c:v>
                </c:pt>
                <c:pt idx="1">
                  <c:v>5.5</c:v>
                </c:pt>
                <c:pt idx="2">
                  <c:v>5.4014388489208631</c:v>
                </c:pt>
              </c:numCache>
            </c:numRef>
          </c:val>
          <c:extLst>
            <c:ext xmlns:c16="http://schemas.microsoft.com/office/drawing/2014/chart" uri="{C3380CC4-5D6E-409C-BE32-E72D297353CC}">
              <c16:uniqueId val="{00000000-7BAC-4865-B86B-140C197DA7FC}"/>
            </c:ext>
          </c:extLst>
        </c:ser>
        <c:dLbls>
          <c:showLegendKey val="0"/>
          <c:showVal val="1"/>
          <c:showCatName val="0"/>
          <c:showSerName val="0"/>
          <c:showPercent val="0"/>
          <c:showBubbleSize val="0"/>
        </c:dLbls>
        <c:gapWidth val="150"/>
        <c:shape val="box"/>
        <c:axId val="1583862527"/>
        <c:axId val="1583882687"/>
        <c:axId val="0"/>
      </c:bar3DChart>
      <c:catAx>
        <c:axId val="158386252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sz="1200">
                    <a:solidFill>
                      <a:schemeClr val="bg1"/>
                    </a:solidFill>
                  </a:rPr>
                  <a:t>SLEEP</a:t>
                </a:r>
              </a:p>
            </c:rich>
          </c:tx>
          <c:layout>
            <c:manualLayout>
              <c:xMode val="edge"/>
              <c:yMode val="edge"/>
              <c:x val="6.0621742053940879E-2"/>
              <c:y val="0.3999487196218962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83882687"/>
        <c:crosses val="autoZero"/>
        <c:auto val="1"/>
        <c:lblAlgn val="ctr"/>
        <c:lblOffset val="100"/>
        <c:noMultiLvlLbl val="0"/>
      </c:catAx>
      <c:valAx>
        <c:axId val="1583882687"/>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sz="1200">
                    <a:solidFill>
                      <a:schemeClr val="bg1"/>
                    </a:solidFill>
                  </a:rPr>
                  <a:t>AVG</a:t>
                </a:r>
                <a:r>
                  <a:rPr lang="en-IN" sz="1200" baseline="0">
                    <a:solidFill>
                      <a:schemeClr val="bg1"/>
                    </a:solidFill>
                  </a:rPr>
                  <a:t> STRESS LEVEL</a:t>
                </a:r>
                <a:endParaRPr lang="en-IN" sz="1200">
                  <a:solidFill>
                    <a:schemeClr val="bg1"/>
                  </a:solidFill>
                </a:endParaRPr>
              </a:p>
            </c:rich>
          </c:tx>
          <c:layout>
            <c:manualLayout>
              <c:xMode val="edge"/>
              <c:yMode val="edge"/>
              <c:x val="0.43778955692017801"/>
              <c:y val="0.882646726117340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8386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Dashboard.xlsx]PhsclActImpct!PivotTable4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accent2">
                    <a:lumMod val="40000"/>
                    <a:lumOff val="60000"/>
                  </a:schemeClr>
                </a:solidFill>
              </a:rPr>
              <a:t>Physical Activity Impact</a:t>
            </a:r>
          </a:p>
        </c:rich>
      </c:tx>
      <c:layout>
        <c:manualLayout>
          <c:xMode val="edge"/>
          <c:yMode val="edge"/>
          <c:x val="0.29969819208632026"/>
          <c:y val="5.64317247241737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7150" dist="19050" dir="5400000" algn="ctr" rotWithShape="0">
              <a:srgbClr val="000000">
                <a:alpha val="63000"/>
              </a:srgbClr>
            </a:outerShdw>
          </a:effectLst>
          <a:sp3d/>
        </c:spPr>
      </c:pivotFmt>
      <c:pivotFmt>
        <c:idx val="6"/>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a:outerShdw blurRad="57150" dist="19050" dir="5400000" algn="ctr" rotWithShape="0">
              <a:srgbClr val="000000">
                <a:alpha val="63000"/>
              </a:srgbClr>
            </a:outerShdw>
          </a:effectLst>
          <a:sp3d/>
        </c:spPr>
      </c:pivotFmt>
      <c:pivotFmt>
        <c:idx val="7"/>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PhsclActImpct!$B$3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8FA0-4741-B846-902E027C89CC}"/>
              </c:ext>
            </c:extLst>
          </c:dPt>
          <c:dPt>
            <c:idx val="1"/>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FA0-4741-B846-902E027C89CC}"/>
              </c:ext>
            </c:extLst>
          </c:dPt>
          <c:dPt>
            <c:idx val="2"/>
            <c:invertIfNegative val="0"/>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FA0-4741-B846-902E027C89CC}"/>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PhsclActImpct!$A$4:$A$7</c:f>
              <c:strCache>
                <c:ptCount val="3"/>
                <c:pt idx="0">
                  <c:v>High</c:v>
                </c:pt>
                <c:pt idx="1">
                  <c:v>Low</c:v>
                </c:pt>
                <c:pt idx="2">
                  <c:v>Medium</c:v>
                </c:pt>
              </c:strCache>
            </c:strRef>
          </c:cat>
          <c:val>
            <c:numRef>
              <c:f>PhsclActImpct!$B$4:$B$7</c:f>
              <c:numCache>
                <c:formatCode>General</c:formatCode>
                <c:ptCount val="3"/>
                <c:pt idx="0">
                  <c:v>5.4420731707317076</c:v>
                </c:pt>
                <c:pt idx="1">
                  <c:v>5.5073313782991207</c:v>
                </c:pt>
                <c:pt idx="2">
                  <c:v>5.2764350453172204</c:v>
                </c:pt>
              </c:numCache>
            </c:numRef>
          </c:val>
          <c:extLst>
            <c:ext xmlns:c16="http://schemas.microsoft.com/office/drawing/2014/chart" uri="{C3380CC4-5D6E-409C-BE32-E72D297353CC}">
              <c16:uniqueId val="{00000000-8FA0-4741-B846-902E027C89CC}"/>
            </c:ext>
          </c:extLst>
        </c:ser>
        <c:dLbls>
          <c:showLegendKey val="0"/>
          <c:showVal val="1"/>
          <c:showCatName val="0"/>
          <c:showSerName val="0"/>
          <c:showPercent val="0"/>
          <c:showBubbleSize val="0"/>
        </c:dLbls>
        <c:gapWidth val="150"/>
        <c:shape val="box"/>
        <c:axId val="1793605551"/>
        <c:axId val="1793599311"/>
        <c:axId val="0"/>
      </c:bar3DChart>
      <c:catAx>
        <c:axId val="179360555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sz="1200">
                    <a:solidFill>
                      <a:schemeClr val="bg1"/>
                    </a:solidFill>
                  </a:rPr>
                  <a:t>PHYSICAL</a:t>
                </a:r>
                <a:r>
                  <a:rPr lang="en-IN" sz="1200" baseline="0">
                    <a:solidFill>
                      <a:schemeClr val="bg1"/>
                    </a:solidFill>
                  </a:rPr>
                  <a:t> ACTIVITY</a:t>
                </a:r>
                <a:endParaRPr lang="en-IN" sz="1200">
                  <a:solidFill>
                    <a:schemeClr val="bg1"/>
                  </a:solidFill>
                </a:endParaRPr>
              </a:p>
            </c:rich>
          </c:tx>
          <c:layout>
            <c:manualLayout>
              <c:xMode val="edge"/>
              <c:yMode val="edge"/>
              <c:x val="3.7375147554376723E-2"/>
              <c:y val="0.2926543465154224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3599311"/>
        <c:crosses val="autoZero"/>
        <c:auto val="1"/>
        <c:lblAlgn val="ctr"/>
        <c:lblOffset val="100"/>
        <c:noMultiLvlLbl val="0"/>
      </c:catAx>
      <c:valAx>
        <c:axId val="1793599311"/>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sz="1200" b="1">
                    <a:solidFill>
                      <a:schemeClr val="bg1"/>
                    </a:solidFill>
                  </a:rPr>
                  <a:t>AVG</a:t>
                </a:r>
                <a:r>
                  <a:rPr lang="en-IN" sz="1200" b="1" baseline="0">
                    <a:solidFill>
                      <a:schemeClr val="bg1"/>
                    </a:solidFill>
                  </a:rPr>
                  <a:t> STRESS LEVEL</a:t>
                </a:r>
                <a:endParaRPr lang="en-IN" sz="1200" b="1">
                  <a:solidFill>
                    <a:schemeClr val="bg1"/>
                  </a:solidFill>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360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Dashboard.xlsx]GndrDist!PivotTable5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40000"/>
                    <a:lumOff val="60000"/>
                  </a:schemeClr>
                </a:solidFill>
              </a:rPr>
              <a:t>Gender</a:t>
            </a:r>
            <a:r>
              <a:rPr lang="en-IN" sz="1600" b="1" baseline="0">
                <a:solidFill>
                  <a:schemeClr val="accent2">
                    <a:lumMod val="40000"/>
                    <a:lumOff val="60000"/>
                  </a:schemeClr>
                </a:solidFill>
              </a:rPr>
              <a:t> Distribution</a:t>
            </a:r>
          </a:p>
          <a:p>
            <a:pPr>
              <a:defRPr/>
            </a:pPr>
            <a:r>
              <a:rPr lang="en-IN" sz="1600" b="1" baseline="0">
                <a:solidFill>
                  <a:schemeClr val="accent2">
                    <a:lumMod val="40000"/>
                    <a:lumOff val="60000"/>
                  </a:schemeClr>
                </a:solidFill>
              </a:rPr>
              <a:t>(Stress in %) </a:t>
            </a:r>
          </a:p>
        </c:rich>
      </c:tx>
      <c:layout>
        <c:manualLayout>
          <c:xMode val="edge"/>
          <c:yMode val="edge"/>
          <c:x val="0.36589312773054905"/>
          <c:y val="8.0602887337299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pattFill prst="pct60">
            <a:fgClr>
              <a:schemeClr val="tx1">
                <a:lumMod val="85000"/>
                <a:lumOff val="15000"/>
              </a:schemeClr>
            </a:fgClr>
            <a:bgClr>
              <a:schemeClr val="bg1"/>
            </a:bgClr>
          </a:pattFill>
          <a:ln w="25400">
            <a:solidFill>
              <a:schemeClr val="lt1"/>
            </a:solidFill>
          </a:ln>
          <a:effectLst/>
          <a:sp3d contourW="25400">
            <a:contourClr>
              <a:schemeClr val="lt1"/>
            </a:contourClr>
          </a:sp3d>
        </c:spPr>
      </c:pivotFmt>
      <c:pivotFmt>
        <c:idx val="12"/>
        <c:spPr>
          <a:pattFill prst="pct10">
            <a:fgClr>
              <a:schemeClr val="tx1">
                <a:lumMod val="85000"/>
                <a:lumOff val="15000"/>
              </a:schemeClr>
            </a:fgClr>
            <a:bgClr>
              <a:schemeClr val="bg1"/>
            </a:bgClr>
          </a:patt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01243490066292"/>
          <c:y val="0.33745279384318672"/>
          <c:w val="0.64995155038759689"/>
          <c:h val="0.56493892590349282"/>
        </c:manualLayout>
      </c:layout>
      <c:pie3DChart>
        <c:varyColors val="1"/>
        <c:ser>
          <c:idx val="0"/>
          <c:order val="0"/>
          <c:tx>
            <c:strRef>
              <c:f>GndrDist!$B$3</c:f>
              <c:strCache>
                <c:ptCount val="1"/>
                <c:pt idx="0">
                  <c:v>Total</c:v>
                </c:pt>
              </c:strCache>
            </c:strRef>
          </c:tx>
          <c:dPt>
            <c:idx val="0"/>
            <c:bubble3D val="0"/>
            <c:spPr>
              <a:pattFill prst="pct60">
                <a:fgClr>
                  <a:schemeClr val="tx1">
                    <a:lumMod val="85000"/>
                    <a:lumOff val="15000"/>
                  </a:schemeClr>
                </a:fgClr>
                <a:bgClr>
                  <a:schemeClr val="bg1"/>
                </a:bgClr>
              </a:pattFill>
              <a:ln w="25400">
                <a:solidFill>
                  <a:schemeClr val="lt1"/>
                </a:solidFill>
              </a:ln>
              <a:effectLst/>
              <a:sp3d contourW="25400">
                <a:contourClr>
                  <a:schemeClr val="lt1"/>
                </a:contourClr>
              </a:sp3d>
            </c:spPr>
            <c:extLst>
              <c:ext xmlns:c16="http://schemas.microsoft.com/office/drawing/2014/chart" uri="{C3380CC4-5D6E-409C-BE32-E72D297353CC}">
                <c16:uniqueId val="{00000001-DBE4-4FA1-8C23-543928440057}"/>
              </c:ext>
            </c:extLst>
          </c:dPt>
          <c:dPt>
            <c:idx val="1"/>
            <c:bubble3D val="0"/>
            <c:spPr>
              <a:pattFill prst="pct10">
                <a:fgClr>
                  <a:schemeClr val="tx1">
                    <a:lumMod val="85000"/>
                    <a:lumOff val="15000"/>
                  </a:schemeClr>
                </a:fgClr>
                <a:bgClr>
                  <a:schemeClr val="bg1"/>
                </a:bgClr>
              </a:pattFill>
              <a:ln w="25400">
                <a:solidFill>
                  <a:schemeClr val="lt1"/>
                </a:solidFill>
              </a:ln>
              <a:effectLst/>
              <a:sp3d contourW="25400">
                <a:contourClr>
                  <a:schemeClr val="lt1"/>
                </a:contourClr>
              </a:sp3d>
            </c:spPr>
            <c:extLst>
              <c:ext xmlns:c16="http://schemas.microsoft.com/office/drawing/2014/chart" uri="{C3380CC4-5D6E-409C-BE32-E72D297353CC}">
                <c16:uniqueId val="{00000003-DBE4-4FA1-8C23-543928440057}"/>
              </c:ext>
            </c:extLst>
          </c:dPt>
          <c:dLbls>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GndrDist!$A$4:$A$6</c:f>
              <c:strCache>
                <c:ptCount val="2"/>
                <c:pt idx="0">
                  <c:v>Female</c:v>
                </c:pt>
                <c:pt idx="1">
                  <c:v>Male</c:v>
                </c:pt>
              </c:strCache>
            </c:strRef>
          </c:cat>
          <c:val>
            <c:numRef>
              <c:f>GndrDist!$B$4:$B$6</c:f>
              <c:numCache>
                <c:formatCode>0.00%</c:formatCode>
                <c:ptCount val="2"/>
                <c:pt idx="0">
                  <c:v>0.504</c:v>
                </c:pt>
                <c:pt idx="1">
                  <c:v>0.496</c:v>
                </c:pt>
              </c:numCache>
            </c:numRef>
          </c:val>
          <c:extLst>
            <c:ext xmlns:c16="http://schemas.microsoft.com/office/drawing/2014/chart" uri="{C3380CC4-5D6E-409C-BE32-E72D297353CC}">
              <c16:uniqueId val="{00000004-DBE4-4FA1-8C23-54392844005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tx1">
            <a:lumMod val="50000"/>
            <a:lumOff val="5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Dashboard.xlsx]NitUsgLabel!PivotTable1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40000"/>
                    <a:lumOff val="60000"/>
                  </a:schemeClr>
                </a:solidFill>
              </a:rPr>
              <a:t>Night</a:t>
            </a:r>
            <a:r>
              <a:rPr lang="en-US" baseline="0">
                <a:solidFill>
                  <a:schemeClr val="accent2">
                    <a:lumMod val="40000"/>
                    <a:lumOff val="60000"/>
                  </a:schemeClr>
                </a:solidFill>
              </a:rPr>
              <a:t> Usage Impact</a:t>
            </a:r>
            <a:endParaRPr lang="en-US">
              <a:solidFill>
                <a:schemeClr val="accent2">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pct50">
            <a:fgClr>
              <a:schemeClr val="tx1"/>
            </a:fgClr>
            <a:bgClr>
              <a:schemeClr val="bg1"/>
            </a:bgClr>
          </a:pattFill>
          <a:ln>
            <a:noFill/>
          </a:ln>
          <a:effectLst>
            <a:outerShdw blurRad="57150" dist="19050" dir="5400000" algn="ctr" rotWithShape="0">
              <a:srgbClr val="000000">
                <a:alpha val="63000"/>
              </a:srgbClr>
            </a:outerShdw>
          </a:effectLst>
          <a:sp3d/>
        </c:spPr>
      </c:pivotFmt>
      <c:pivotFmt>
        <c:idx val="4"/>
        <c:spPr>
          <a:pattFill prst="pct70">
            <a:fgClr>
              <a:schemeClr val="tx1">
                <a:lumMod val="95000"/>
                <a:lumOff val="5000"/>
              </a:schemeClr>
            </a:fgClr>
            <a:bgClr>
              <a:schemeClr val="bg1"/>
            </a:bgClr>
          </a:patt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NitUsgLabel!$B$3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pattFill prst="pct70">
                <a:fgClr>
                  <a:schemeClr val="tx1">
                    <a:lumMod val="95000"/>
                    <a:lumOff val="5000"/>
                  </a:schemeClr>
                </a:fgClr>
                <a:bgClr>
                  <a:schemeClr val="bg1"/>
                </a:bgClr>
              </a:patt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1D53-4DE6-BB86-DEDEB63E3FE4}"/>
              </c:ext>
            </c:extLst>
          </c:dPt>
          <c:dPt>
            <c:idx val="1"/>
            <c:invertIfNegative val="0"/>
            <c:bubble3D val="0"/>
            <c:spPr>
              <a:pattFill prst="pct50">
                <a:fgClr>
                  <a:schemeClr val="tx1"/>
                </a:fgClr>
                <a:bgClr>
                  <a:schemeClr val="bg1"/>
                </a:bgClr>
              </a:patt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D53-4DE6-BB86-DEDEB63E3FE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NitUsgLabel!$A$4:$A$6</c:f>
              <c:strCache>
                <c:ptCount val="2"/>
                <c:pt idx="0">
                  <c:v>Night Usage</c:v>
                </c:pt>
                <c:pt idx="1">
                  <c:v>No Night Usage</c:v>
                </c:pt>
              </c:strCache>
            </c:strRef>
          </c:cat>
          <c:val>
            <c:numRef>
              <c:f>NitUsgLabel!$B$4:$B$6</c:f>
              <c:numCache>
                <c:formatCode>General</c:formatCode>
                <c:ptCount val="2"/>
                <c:pt idx="0">
                  <c:v>5.4259448416751788</c:v>
                </c:pt>
                <c:pt idx="1">
                  <c:v>5.3937316356513225</c:v>
                </c:pt>
              </c:numCache>
            </c:numRef>
          </c:val>
          <c:extLst>
            <c:ext xmlns:c16="http://schemas.microsoft.com/office/drawing/2014/chart" uri="{C3380CC4-5D6E-409C-BE32-E72D297353CC}">
              <c16:uniqueId val="{00000000-1D53-4DE6-BB86-DEDEB63E3FE4}"/>
            </c:ext>
          </c:extLst>
        </c:ser>
        <c:dLbls>
          <c:showLegendKey val="0"/>
          <c:showVal val="0"/>
          <c:showCatName val="0"/>
          <c:showSerName val="0"/>
          <c:showPercent val="0"/>
          <c:showBubbleSize val="0"/>
        </c:dLbls>
        <c:gapWidth val="150"/>
        <c:shape val="box"/>
        <c:axId val="1858234367"/>
        <c:axId val="1858226207"/>
        <c:axId val="0"/>
      </c:bar3DChart>
      <c:catAx>
        <c:axId val="185823436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solidFill>
                      <a:schemeClr val="bg1"/>
                    </a:solidFill>
                  </a:rPr>
                  <a:t>NIGHT</a:t>
                </a:r>
                <a:r>
                  <a:rPr lang="en-IN" sz="1200" baseline="0">
                    <a:solidFill>
                      <a:schemeClr val="bg1"/>
                    </a:solidFill>
                  </a:rPr>
                  <a:t> USAGE</a:t>
                </a:r>
                <a:endParaRPr lang="en-IN" sz="1200">
                  <a:solidFill>
                    <a:schemeClr val="bg1"/>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8226207"/>
        <c:crosses val="autoZero"/>
        <c:auto val="1"/>
        <c:lblAlgn val="ctr"/>
        <c:lblOffset val="100"/>
        <c:noMultiLvlLbl val="0"/>
      </c:catAx>
      <c:valAx>
        <c:axId val="1858226207"/>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200">
                    <a:solidFill>
                      <a:schemeClr val="bg1"/>
                    </a:solidFill>
                  </a:rPr>
                  <a:t>AVG STRESS_LEVEL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823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 Dashboard.xlsx]NitUsgLabel!PivotTable1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NitUsgLabel!$B$3</c:f>
              <c:strCache>
                <c:ptCount val="1"/>
                <c:pt idx="0">
                  <c:v>Total</c:v>
                </c:pt>
              </c:strCache>
            </c:strRef>
          </c:tx>
          <c:spPr>
            <a:solidFill>
              <a:schemeClr val="accent1"/>
            </a:solidFill>
            <a:ln>
              <a:noFill/>
            </a:ln>
            <a:effectLst/>
            <a:sp3d/>
          </c:spPr>
          <c:invertIfNegative val="0"/>
          <c:cat>
            <c:strRef>
              <c:f>NitUsgLabel!$A$4:$A$6</c:f>
              <c:strCache>
                <c:ptCount val="2"/>
                <c:pt idx="0">
                  <c:v>Night Usage</c:v>
                </c:pt>
                <c:pt idx="1">
                  <c:v>No Night Usage</c:v>
                </c:pt>
              </c:strCache>
            </c:strRef>
          </c:cat>
          <c:val>
            <c:numRef>
              <c:f>NitUsgLabel!$B$4:$B$6</c:f>
              <c:numCache>
                <c:formatCode>General</c:formatCode>
                <c:ptCount val="2"/>
                <c:pt idx="0">
                  <c:v>5.4259448416751788</c:v>
                </c:pt>
                <c:pt idx="1">
                  <c:v>5.3937316356513225</c:v>
                </c:pt>
              </c:numCache>
            </c:numRef>
          </c:val>
          <c:extLst>
            <c:ext xmlns:c16="http://schemas.microsoft.com/office/drawing/2014/chart" uri="{C3380CC4-5D6E-409C-BE32-E72D297353CC}">
              <c16:uniqueId val="{00000000-AE88-4EF1-AD0A-EF37B3B7C3B1}"/>
            </c:ext>
          </c:extLst>
        </c:ser>
        <c:dLbls>
          <c:showLegendKey val="0"/>
          <c:showVal val="0"/>
          <c:showCatName val="0"/>
          <c:showSerName val="0"/>
          <c:showPercent val="0"/>
          <c:showBubbleSize val="0"/>
        </c:dLbls>
        <c:gapWidth val="150"/>
        <c:shape val="box"/>
        <c:axId val="1858234367"/>
        <c:axId val="1858226207"/>
        <c:axId val="0"/>
      </c:bar3DChart>
      <c:catAx>
        <c:axId val="1858234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226207"/>
        <c:crosses val="autoZero"/>
        <c:auto val="1"/>
        <c:lblAlgn val="ctr"/>
        <c:lblOffset val="100"/>
        <c:noMultiLvlLbl val="0"/>
      </c:catAx>
      <c:valAx>
        <c:axId val="185822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23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220980</xdr:colOff>
      <xdr:row>5</xdr:row>
      <xdr:rowOff>148590</xdr:rowOff>
    </xdr:from>
    <xdr:to>
      <xdr:col>10</xdr:col>
      <xdr:colOff>525780</xdr:colOff>
      <xdr:row>20</xdr:row>
      <xdr:rowOff>148590</xdr:rowOff>
    </xdr:to>
    <xdr:graphicFrame macro="">
      <xdr:nvGraphicFramePr>
        <xdr:cNvPr id="2" name="Chart 1">
          <a:extLst>
            <a:ext uri="{FF2B5EF4-FFF2-40B4-BE49-F238E27FC236}">
              <a16:creationId xmlns:a16="http://schemas.microsoft.com/office/drawing/2014/main" id="{77A60095-6218-9FDB-C1BA-553FA0DA9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5</xdr:row>
      <xdr:rowOff>148590</xdr:rowOff>
    </xdr:from>
    <xdr:to>
      <xdr:col>10</xdr:col>
      <xdr:colOff>525780</xdr:colOff>
      <xdr:row>20</xdr:row>
      <xdr:rowOff>148590</xdr:rowOff>
    </xdr:to>
    <xdr:graphicFrame macro="">
      <xdr:nvGraphicFramePr>
        <xdr:cNvPr id="2" name="Chart 1">
          <a:extLst>
            <a:ext uri="{FF2B5EF4-FFF2-40B4-BE49-F238E27FC236}">
              <a16:creationId xmlns:a16="http://schemas.microsoft.com/office/drawing/2014/main" id="{3B925D1C-EABA-78BD-C5AB-D48AFE7AB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220980</xdr:colOff>
      <xdr:row>5</xdr:row>
      <xdr:rowOff>148590</xdr:rowOff>
    </xdr:from>
    <xdr:to>
      <xdr:col>10</xdr:col>
      <xdr:colOff>525780</xdr:colOff>
      <xdr:row>20</xdr:row>
      <xdr:rowOff>148590</xdr:rowOff>
    </xdr:to>
    <xdr:graphicFrame macro="">
      <xdr:nvGraphicFramePr>
        <xdr:cNvPr id="2" name="Chart 1">
          <a:extLst>
            <a:ext uri="{FF2B5EF4-FFF2-40B4-BE49-F238E27FC236}">
              <a16:creationId xmlns:a16="http://schemas.microsoft.com/office/drawing/2014/main" id="{E6AF26E7-D2C2-BC8E-40E8-C20B21771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220980</xdr:colOff>
      <xdr:row>5</xdr:row>
      <xdr:rowOff>148590</xdr:rowOff>
    </xdr:from>
    <xdr:to>
      <xdr:col>10</xdr:col>
      <xdr:colOff>525780</xdr:colOff>
      <xdr:row>20</xdr:row>
      <xdr:rowOff>148590</xdr:rowOff>
    </xdr:to>
    <xdr:graphicFrame macro="">
      <xdr:nvGraphicFramePr>
        <xdr:cNvPr id="2" name="Chart 1">
          <a:extLst>
            <a:ext uri="{FF2B5EF4-FFF2-40B4-BE49-F238E27FC236}">
              <a16:creationId xmlns:a16="http://schemas.microsoft.com/office/drawing/2014/main" id="{179F95AD-1EEF-37EA-D85F-9A68E641D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457200</xdr:colOff>
      <xdr:row>5</xdr:row>
      <xdr:rowOff>148590</xdr:rowOff>
    </xdr:from>
    <xdr:to>
      <xdr:col>11</xdr:col>
      <xdr:colOff>152400</xdr:colOff>
      <xdr:row>20</xdr:row>
      <xdr:rowOff>148590</xdr:rowOff>
    </xdr:to>
    <xdr:graphicFrame macro="">
      <xdr:nvGraphicFramePr>
        <xdr:cNvPr id="2" name="Chart 1">
          <a:extLst>
            <a:ext uri="{FF2B5EF4-FFF2-40B4-BE49-F238E27FC236}">
              <a16:creationId xmlns:a16="http://schemas.microsoft.com/office/drawing/2014/main" id="{406EE473-0731-AAD4-8352-CE2622867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599440</xdr:colOff>
      <xdr:row>2</xdr:row>
      <xdr:rowOff>91440</xdr:rowOff>
    </xdr:from>
    <xdr:to>
      <xdr:col>36</xdr:col>
      <xdr:colOff>0</xdr:colOff>
      <xdr:row>66</xdr:row>
      <xdr:rowOff>0</xdr:rowOff>
    </xdr:to>
    <xdr:sp macro="" textlink="">
      <xdr:nvSpPr>
        <xdr:cNvPr id="16" name="Rectangle 15">
          <a:extLst>
            <a:ext uri="{FF2B5EF4-FFF2-40B4-BE49-F238E27FC236}">
              <a16:creationId xmlns:a16="http://schemas.microsoft.com/office/drawing/2014/main" id="{DD63A067-E003-6EF0-FA88-D31982E4D66C}"/>
            </a:ext>
          </a:extLst>
        </xdr:cNvPr>
        <xdr:cNvSpPr/>
      </xdr:nvSpPr>
      <xdr:spPr>
        <a:xfrm>
          <a:off x="599440" y="454297"/>
          <a:ext cx="15729131" cy="1151998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40000"/>
                <a:lumOff val="60000"/>
              </a:schemeClr>
            </a:solidFill>
          </a:endParaRPr>
        </a:p>
      </xdr:txBody>
    </xdr:sp>
    <xdr:clientData/>
  </xdr:twoCellAnchor>
  <xdr:twoCellAnchor>
    <xdr:from>
      <xdr:col>26</xdr:col>
      <xdr:colOff>0</xdr:colOff>
      <xdr:row>8</xdr:row>
      <xdr:rowOff>10160</xdr:rowOff>
    </xdr:from>
    <xdr:to>
      <xdr:col>27</xdr:col>
      <xdr:colOff>599440</xdr:colOff>
      <xdr:row>10</xdr:row>
      <xdr:rowOff>162560</xdr:rowOff>
    </xdr:to>
    <xdr:sp macro="" textlink="">
      <xdr:nvSpPr>
        <xdr:cNvPr id="11" name="Rectangle 10">
          <a:extLst>
            <a:ext uri="{FF2B5EF4-FFF2-40B4-BE49-F238E27FC236}">
              <a16:creationId xmlns:a16="http://schemas.microsoft.com/office/drawing/2014/main" id="{A905937E-FB61-6F78-B7B0-966512170628}"/>
            </a:ext>
          </a:extLst>
        </xdr:cNvPr>
        <xdr:cNvSpPr/>
      </xdr:nvSpPr>
      <xdr:spPr>
        <a:xfrm>
          <a:off x="10280952" y="1461589"/>
          <a:ext cx="1204202" cy="515257"/>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589280</xdr:colOff>
      <xdr:row>8</xdr:row>
      <xdr:rowOff>10160</xdr:rowOff>
    </xdr:from>
    <xdr:to>
      <xdr:col>23</xdr:col>
      <xdr:colOff>599440</xdr:colOff>
      <xdr:row>11</xdr:row>
      <xdr:rowOff>0</xdr:rowOff>
    </xdr:to>
    <xdr:sp macro="" textlink="">
      <xdr:nvSpPr>
        <xdr:cNvPr id="10" name="Rectangle 9">
          <a:extLst>
            <a:ext uri="{FF2B5EF4-FFF2-40B4-BE49-F238E27FC236}">
              <a16:creationId xmlns:a16="http://schemas.microsoft.com/office/drawing/2014/main" id="{B096AFC4-B321-C553-ACC8-A9DC9A9302A1}"/>
            </a:ext>
          </a:extLst>
        </xdr:cNvPr>
        <xdr:cNvSpPr/>
      </xdr:nvSpPr>
      <xdr:spPr>
        <a:xfrm>
          <a:off x="7846423" y="1461589"/>
          <a:ext cx="1219684" cy="534125"/>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589280</xdr:colOff>
      <xdr:row>8</xdr:row>
      <xdr:rowOff>10160</xdr:rowOff>
    </xdr:from>
    <xdr:to>
      <xdr:col>20</xdr:col>
      <xdr:colOff>0</xdr:colOff>
      <xdr:row>10</xdr:row>
      <xdr:rowOff>172720</xdr:rowOff>
    </xdr:to>
    <xdr:sp macro="" textlink="">
      <xdr:nvSpPr>
        <xdr:cNvPr id="8" name="Rectangle 7">
          <a:extLst>
            <a:ext uri="{FF2B5EF4-FFF2-40B4-BE49-F238E27FC236}">
              <a16:creationId xmlns:a16="http://schemas.microsoft.com/office/drawing/2014/main" id="{1781D692-F1F0-E729-2F0F-524A9F873FD3}"/>
            </a:ext>
          </a:extLst>
        </xdr:cNvPr>
        <xdr:cNvSpPr/>
      </xdr:nvSpPr>
      <xdr:spPr>
        <a:xfrm>
          <a:off x="5427375" y="1461589"/>
          <a:ext cx="1225006" cy="525417"/>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23369</xdr:colOff>
      <xdr:row>11</xdr:row>
      <xdr:rowOff>151864</xdr:rowOff>
    </xdr:from>
    <xdr:to>
      <xdr:col>30</xdr:col>
      <xdr:colOff>470036</xdr:colOff>
      <xdr:row>28</xdr:row>
      <xdr:rowOff>127578</xdr:rowOff>
    </xdr:to>
    <xdr:graphicFrame macro="">
      <xdr:nvGraphicFramePr>
        <xdr:cNvPr id="6" name="Chart 5">
          <a:extLst>
            <a:ext uri="{FF2B5EF4-FFF2-40B4-BE49-F238E27FC236}">
              <a16:creationId xmlns:a16="http://schemas.microsoft.com/office/drawing/2014/main" id="{C79B7E2C-A9DA-495C-86CF-6005A27E6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83820</xdr:colOff>
      <xdr:row>7</xdr:row>
      <xdr:rowOff>99060</xdr:rowOff>
    </xdr:from>
    <xdr:ext cx="1046890" cy="259080"/>
    <xdr:sp macro="" textlink="">
      <xdr:nvSpPr>
        <xdr:cNvPr id="12" name="TextBox 11">
          <a:extLst>
            <a:ext uri="{FF2B5EF4-FFF2-40B4-BE49-F238E27FC236}">
              <a16:creationId xmlns:a16="http://schemas.microsoft.com/office/drawing/2014/main" id="{AD57D734-1911-6C0D-CD92-66ED4E2C3C82}"/>
            </a:ext>
          </a:extLst>
        </xdr:cNvPr>
        <xdr:cNvSpPr txBox="1"/>
      </xdr:nvSpPr>
      <xdr:spPr>
        <a:xfrm>
          <a:off x="1303020" y="464820"/>
          <a:ext cx="1046890" cy="259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endParaRPr lang="en-IN" sz="1100" b="1"/>
        </a:p>
      </xdr:txBody>
    </xdr:sp>
    <xdr:clientData/>
  </xdr:oneCellAnchor>
  <xdr:oneCellAnchor>
    <xdr:from>
      <xdr:col>21</xdr:col>
      <xdr:colOff>573226</xdr:colOff>
      <xdr:row>7</xdr:row>
      <xdr:rowOff>99060</xdr:rowOff>
    </xdr:from>
    <xdr:ext cx="184730" cy="264560"/>
    <xdr:sp macro="" textlink="">
      <xdr:nvSpPr>
        <xdr:cNvPr id="13" name="TextBox 12">
          <a:extLst>
            <a:ext uri="{FF2B5EF4-FFF2-40B4-BE49-F238E27FC236}">
              <a16:creationId xmlns:a16="http://schemas.microsoft.com/office/drawing/2014/main" id="{A1802AAC-6351-BDBA-D843-53FBCE59DFEA}"/>
            </a:ext>
          </a:extLst>
        </xdr:cNvPr>
        <xdr:cNvSpPr txBox="1"/>
      </xdr:nvSpPr>
      <xdr:spPr>
        <a:xfrm>
          <a:off x="3529786" y="464820"/>
          <a:ext cx="1847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IN" sz="1100" b="1"/>
        </a:p>
      </xdr:txBody>
    </xdr:sp>
    <xdr:clientData/>
  </xdr:oneCellAnchor>
  <xdr:oneCellAnchor>
    <xdr:from>
      <xdr:col>22</xdr:col>
      <xdr:colOff>586482</xdr:colOff>
      <xdr:row>7</xdr:row>
      <xdr:rowOff>106680</xdr:rowOff>
    </xdr:from>
    <xdr:ext cx="184730" cy="264560"/>
    <xdr:sp macro="" textlink="">
      <xdr:nvSpPr>
        <xdr:cNvPr id="14" name="TextBox 13">
          <a:extLst>
            <a:ext uri="{FF2B5EF4-FFF2-40B4-BE49-F238E27FC236}">
              <a16:creationId xmlns:a16="http://schemas.microsoft.com/office/drawing/2014/main" id="{6EE11A43-99DE-ABF1-286E-7F2F94F969CF}"/>
            </a:ext>
          </a:extLst>
        </xdr:cNvPr>
        <xdr:cNvSpPr txBox="1"/>
      </xdr:nvSpPr>
      <xdr:spPr>
        <a:xfrm>
          <a:off x="5455662" y="472440"/>
          <a:ext cx="1847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IN" sz="1100" b="1"/>
        </a:p>
      </xdr:txBody>
    </xdr:sp>
    <xdr:clientData/>
  </xdr:oneCellAnchor>
  <xdr:oneCellAnchor>
    <xdr:from>
      <xdr:col>26</xdr:col>
      <xdr:colOff>143573</xdr:colOff>
      <xdr:row>7</xdr:row>
      <xdr:rowOff>161471</xdr:rowOff>
    </xdr:from>
    <xdr:ext cx="965329" cy="280205"/>
    <xdr:sp macro="" textlink="">
      <xdr:nvSpPr>
        <xdr:cNvPr id="17" name="TextBox 16">
          <a:extLst>
            <a:ext uri="{FF2B5EF4-FFF2-40B4-BE49-F238E27FC236}">
              <a16:creationId xmlns:a16="http://schemas.microsoft.com/office/drawing/2014/main" id="{AD89D9FF-F8B3-4BF9-9E9B-F4CE28E0CE0B}"/>
            </a:ext>
          </a:extLst>
        </xdr:cNvPr>
        <xdr:cNvSpPr txBox="1"/>
      </xdr:nvSpPr>
      <xdr:spPr>
        <a:xfrm>
          <a:off x="10424525" y="1431471"/>
          <a:ext cx="9653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b="1"/>
            <a:t>Screen Time</a:t>
          </a:r>
        </a:p>
      </xdr:txBody>
    </xdr:sp>
    <xdr:clientData/>
  </xdr:oneCellAnchor>
  <xdr:oneCellAnchor>
    <xdr:from>
      <xdr:col>22</xdr:col>
      <xdr:colOff>83031</xdr:colOff>
      <xdr:row>7</xdr:row>
      <xdr:rowOff>165463</xdr:rowOff>
    </xdr:from>
    <xdr:ext cx="1119410" cy="280205"/>
    <xdr:sp macro="" textlink="">
      <xdr:nvSpPr>
        <xdr:cNvPr id="18" name="TextBox 17">
          <a:extLst>
            <a:ext uri="{FF2B5EF4-FFF2-40B4-BE49-F238E27FC236}">
              <a16:creationId xmlns:a16="http://schemas.microsoft.com/office/drawing/2014/main" id="{9922D1F1-9A6C-477E-9DBE-F62E3E1A526F}"/>
            </a:ext>
          </a:extLst>
        </xdr:cNvPr>
        <xdr:cNvSpPr txBox="1"/>
      </xdr:nvSpPr>
      <xdr:spPr>
        <a:xfrm>
          <a:off x="7944936" y="1435463"/>
          <a:ext cx="11194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b="1"/>
            <a:t>Average SLeep</a:t>
          </a:r>
        </a:p>
      </xdr:txBody>
    </xdr:sp>
    <xdr:clientData/>
  </xdr:oneCellAnchor>
  <xdr:oneCellAnchor>
    <xdr:from>
      <xdr:col>18</xdr:col>
      <xdr:colOff>167277</xdr:colOff>
      <xdr:row>7</xdr:row>
      <xdr:rowOff>150586</xdr:rowOff>
    </xdr:from>
    <xdr:ext cx="1046890" cy="228600"/>
    <xdr:sp macro="" textlink="">
      <xdr:nvSpPr>
        <xdr:cNvPr id="19" name="TextBox 18">
          <a:extLst>
            <a:ext uri="{FF2B5EF4-FFF2-40B4-BE49-F238E27FC236}">
              <a16:creationId xmlns:a16="http://schemas.microsoft.com/office/drawing/2014/main" id="{E0DAEB39-F644-4BB0-805E-F3C02190001E}"/>
            </a:ext>
          </a:extLst>
        </xdr:cNvPr>
        <xdr:cNvSpPr txBox="1"/>
      </xdr:nvSpPr>
      <xdr:spPr>
        <a:xfrm>
          <a:off x="5610134" y="1420586"/>
          <a:ext cx="104689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200" b="1"/>
            <a:t>Average Stress</a:t>
          </a:r>
        </a:p>
      </xdr:txBody>
    </xdr:sp>
    <xdr:clientData/>
  </xdr:oneCellAnchor>
  <xdr:twoCellAnchor editAs="oneCell">
    <xdr:from>
      <xdr:col>11</xdr:col>
      <xdr:colOff>564000</xdr:colOff>
      <xdr:row>7</xdr:row>
      <xdr:rowOff>172720</xdr:rowOff>
    </xdr:from>
    <xdr:to>
      <xdr:col>15</xdr:col>
      <xdr:colOff>16953</xdr:colOff>
      <xdr:row>17</xdr:row>
      <xdr:rowOff>158434</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AFC87332-7702-4539-BDBA-F13FF61B0EE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73524" y="1442720"/>
              <a:ext cx="1872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552291</xdr:colOff>
      <xdr:row>7</xdr:row>
      <xdr:rowOff>172720</xdr:rowOff>
    </xdr:from>
    <xdr:to>
      <xdr:col>34</xdr:col>
      <xdr:colOff>5243</xdr:colOff>
      <xdr:row>17</xdr:row>
      <xdr:rowOff>158434</xdr:rowOff>
    </xdr:to>
    <mc:AlternateContent xmlns:mc="http://schemas.openxmlformats.org/markup-compatibility/2006" xmlns:a14="http://schemas.microsoft.com/office/drawing/2010/main">
      <mc:Choice Requires="a14">
        <xdr:graphicFrame macro="">
          <xdr:nvGraphicFramePr>
            <xdr:cNvPr id="21" name="Sleep_Category 1">
              <a:extLst>
                <a:ext uri="{FF2B5EF4-FFF2-40B4-BE49-F238E27FC236}">
                  <a16:creationId xmlns:a16="http://schemas.microsoft.com/office/drawing/2014/main" id="{F2EEAEFE-68D6-419B-87B1-800274AACC6E}"/>
                </a:ext>
              </a:extLst>
            </xdr:cNvPr>
            <xdr:cNvGraphicFramePr/>
          </xdr:nvGraphicFramePr>
          <xdr:xfrm>
            <a:off x="0" y="0"/>
            <a:ext cx="0" cy="0"/>
          </xdr:xfrm>
          <a:graphic>
            <a:graphicData uri="http://schemas.microsoft.com/office/drawing/2010/slicer">
              <sle:slicer xmlns:sle="http://schemas.microsoft.com/office/drawing/2010/slicer" name="Sleep_Category 1"/>
            </a:graphicData>
          </a:graphic>
        </xdr:graphicFrame>
      </mc:Choice>
      <mc:Fallback xmlns="">
        <xdr:sp macro="" textlink="">
          <xdr:nvSpPr>
            <xdr:cNvPr id="0" name=""/>
            <xdr:cNvSpPr>
              <a:spLocks noTextEdit="1"/>
            </xdr:cNvSpPr>
          </xdr:nvSpPr>
          <xdr:spPr>
            <a:xfrm>
              <a:off x="13252291" y="1442720"/>
              <a:ext cx="1872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564000</xdr:colOff>
      <xdr:row>18</xdr:row>
      <xdr:rowOff>141864</xdr:rowOff>
    </xdr:from>
    <xdr:to>
      <xdr:col>15</xdr:col>
      <xdr:colOff>16953</xdr:colOff>
      <xdr:row>28</xdr:row>
      <xdr:rowOff>127578</xdr:rowOff>
    </xdr:to>
    <mc:AlternateContent xmlns:mc="http://schemas.openxmlformats.org/markup-compatibility/2006" xmlns:a14="http://schemas.microsoft.com/office/drawing/2010/main">
      <mc:Choice Requires="a14">
        <xdr:graphicFrame macro="">
          <xdr:nvGraphicFramePr>
            <xdr:cNvPr id="22" name="Occupation 1">
              <a:extLst>
                <a:ext uri="{FF2B5EF4-FFF2-40B4-BE49-F238E27FC236}">
                  <a16:creationId xmlns:a16="http://schemas.microsoft.com/office/drawing/2014/main" id="{9FDEBFB9-B197-4272-8ABB-D4081AB48BAE}"/>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1773524" y="3407578"/>
              <a:ext cx="1872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552291</xdr:colOff>
      <xdr:row>18</xdr:row>
      <xdr:rowOff>141864</xdr:rowOff>
    </xdr:from>
    <xdr:to>
      <xdr:col>34</xdr:col>
      <xdr:colOff>5243</xdr:colOff>
      <xdr:row>28</xdr:row>
      <xdr:rowOff>127578</xdr:rowOff>
    </xdr:to>
    <mc:AlternateContent xmlns:mc="http://schemas.openxmlformats.org/markup-compatibility/2006" xmlns:a14="http://schemas.microsoft.com/office/drawing/2010/main">
      <mc:Choice Requires="a14">
        <xdr:graphicFrame macro="">
          <xdr:nvGraphicFramePr>
            <xdr:cNvPr id="23" name="Physical_Activity 1">
              <a:extLst>
                <a:ext uri="{FF2B5EF4-FFF2-40B4-BE49-F238E27FC236}">
                  <a16:creationId xmlns:a16="http://schemas.microsoft.com/office/drawing/2014/main" id="{5AAC2171-41C8-48FE-AFB2-C942CB46DE08}"/>
                </a:ext>
              </a:extLst>
            </xdr:cNvPr>
            <xdr:cNvGraphicFramePr/>
          </xdr:nvGraphicFramePr>
          <xdr:xfrm>
            <a:off x="0" y="0"/>
            <a:ext cx="0" cy="0"/>
          </xdr:xfrm>
          <a:graphic>
            <a:graphicData uri="http://schemas.microsoft.com/office/drawing/2010/slicer">
              <sle:slicer xmlns:sle="http://schemas.microsoft.com/office/drawing/2010/slicer" name="Physical_Activity 1"/>
            </a:graphicData>
          </a:graphic>
        </xdr:graphicFrame>
      </mc:Choice>
      <mc:Fallback xmlns="">
        <xdr:sp macro="" textlink="">
          <xdr:nvSpPr>
            <xdr:cNvPr id="0" name=""/>
            <xdr:cNvSpPr>
              <a:spLocks noTextEdit="1"/>
            </xdr:cNvSpPr>
          </xdr:nvSpPr>
          <xdr:spPr>
            <a:xfrm>
              <a:off x="13252291" y="3407578"/>
              <a:ext cx="1872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99209</xdr:colOff>
      <xdr:row>11</xdr:row>
      <xdr:rowOff>151864</xdr:rowOff>
    </xdr:from>
    <xdr:to>
      <xdr:col>22</xdr:col>
      <xdr:colOff>545875</xdr:colOff>
      <xdr:row>28</xdr:row>
      <xdr:rowOff>127578</xdr:rowOff>
    </xdr:to>
    <xdr:graphicFrame macro="">
      <xdr:nvGraphicFramePr>
        <xdr:cNvPr id="24" name="Chart 23">
          <a:extLst>
            <a:ext uri="{FF2B5EF4-FFF2-40B4-BE49-F238E27FC236}">
              <a16:creationId xmlns:a16="http://schemas.microsoft.com/office/drawing/2014/main" id="{9F46FE79-52AE-4F9A-B532-90D4E33E2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574256</xdr:colOff>
      <xdr:row>29</xdr:row>
      <xdr:rowOff>74721</xdr:rowOff>
    </xdr:from>
    <xdr:to>
      <xdr:col>22</xdr:col>
      <xdr:colOff>545875</xdr:colOff>
      <xdr:row>46</xdr:row>
      <xdr:rowOff>50436</xdr:rowOff>
    </xdr:to>
    <xdr:graphicFrame macro="">
      <xdr:nvGraphicFramePr>
        <xdr:cNvPr id="25" name="Chart 24">
          <a:extLst>
            <a:ext uri="{FF2B5EF4-FFF2-40B4-BE49-F238E27FC236}">
              <a16:creationId xmlns:a16="http://schemas.microsoft.com/office/drawing/2014/main" id="{906B1688-0444-485A-957D-9B31FAC97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23369</xdr:colOff>
      <xdr:row>29</xdr:row>
      <xdr:rowOff>74721</xdr:rowOff>
    </xdr:from>
    <xdr:to>
      <xdr:col>33</xdr:col>
      <xdr:colOff>599750</xdr:colOff>
      <xdr:row>46</xdr:row>
      <xdr:rowOff>50436</xdr:rowOff>
    </xdr:to>
    <xdr:graphicFrame macro="">
      <xdr:nvGraphicFramePr>
        <xdr:cNvPr id="26" name="Chart 25">
          <a:extLst>
            <a:ext uri="{FF2B5EF4-FFF2-40B4-BE49-F238E27FC236}">
              <a16:creationId xmlns:a16="http://schemas.microsoft.com/office/drawing/2014/main" id="{F61D0540-E575-4555-9F7A-2298444B1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574256</xdr:colOff>
      <xdr:row>46</xdr:row>
      <xdr:rowOff>179008</xdr:rowOff>
    </xdr:from>
    <xdr:to>
      <xdr:col>22</xdr:col>
      <xdr:colOff>545875</xdr:colOff>
      <xdr:row>63</xdr:row>
      <xdr:rowOff>154722</xdr:rowOff>
    </xdr:to>
    <xdr:graphicFrame macro="">
      <xdr:nvGraphicFramePr>
        <xdr:cNvPr id="27" name="Chart 26">
          <a:extLst>
            <a:ext uri="{FF2B5EF4-FFF2-40B4-BE49-F238E27FC236}">
              <a16:creationId xmlns:a16="http://schemas.microsoft.com/office/drawing/2014/main" id="{561647E7-877C-4AB8-9D1A-37AFBFAFF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584623</xdr:colOff>
      <xdr:row>8</xdr:row>
      <xdr:rowOff>82550</xdr:rowOff>
    </xdr:from>
    <xdr:ext cx="826508" cy="530658"/>
    <xdr:sp macro="" textlink="Backend!D4">
      <xdr:nvSpPr>
        <xdr:cNvPr id="2" name="TextBox 1">
          <a:extLst>
            <a:ext uri="{FF2B5EF4-FFF2-40B4-BE49-F238E27FC236}">
              <a16:creationId xmlns:a16="http://schemas.microsoft.com/office/drawing/2014/main" id="{1E8ADACC-6DCF-66E1-CBDC-268AB5BAA129}"/>
            </a:ext>
          </a:extLst>
        </xdr:cNvPr>
        <xdr:cNvSpPr txBox="1"/>
      </xdr:nvSpPr>
      <xdr:spPr>
        <a:xfrm>
          <a:off x="5495290" y="1521883"/>
          <a:ext cx="82650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EBFEFAE-C57C-41AD-A57A-6FA9F34C64BF}" type="TxLink">
            <a:rPr lang="en-US" sz="2800" b="1" i="0" u="none" strike="noStrike">
              <a:solidFill>
                <a:srgbClr val="000000"/>
              </a:solidFill>
              <a:latin typeface="Calibri"/>
              <a:ea typeface="Calibri"/>
              <a:cs typeface="Calibri"/>
            </a:rPr>
            <a:pPr/>
            <a:t>5.41</a:t>
          </a:fld>
          <a:endParaRPr lang="en-US"/>
        </a:p>
      </xdr:txBody>
    </xdr:sp>
    <xdr:clientData/>
  </xdr:oneCellAnchor>
  <xdr:oneCellAnchor>
    <xdr:from>
      <xdr:col>22</xdr:col>
      <xdr:colOff>140124</xdr:colOff>
      <xdr:row>8</xdr:row>
      <xdr:rowOff>81703</xdr:rowOff>
    </xdr:from>
    <xdr:ext cx="826508" cy="530658"/>
    <xdr:sp macro="" textlink="Backend!F4">
      <xdr:nvSpPr>
        <xdr:cNvPr id="5" name="TextBox 4">
          <a:extLst>
            <a:ext uri="{FF2B5EF4-FFF2-40B4-BE49-F238E27FC236}">
              <a16:creationId xmlns:a16="http://schemas.microsoft.com/office/drawing/2014/main" id="{7F467C28-4152-12A2-693A-48A4C554C9E0}"/>
            </a:ext>
          </a:extLst>
        </xdr:cNvPr>
        <xdr:cNvSpPr txBox="1"/>
      </xdr:nvSpPr>
      <xdr:spPr>
        <a:xfrm>
          <a:off x="8109374" y="1521036"/>
          <a:ext cx="82650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6657B62-419F-4146-8556-BDE84E0297A2}" type="TxLink">
            <a:rPr lang="en-US" sz="2800" b="1" i="0" u="none" strike="noStrike">
              <a:solidFill>
                <a:srgbClr val="000000"/>
              </a:solidFill>
              <a:latin typeface="Calibri"/>
              <a:ea typeface="Calibri"/>
              <a:cs typeface="Calibri"/>
            </a:rPr>
            <a:pPr/>
            <a:t>6.01</a:t>
          </a:fld>
          <a:endParaRPr lang="en-IN" sz="1100"/>
        </a:p>
      </xdr:txBody>
    </xdr:sp>
    <xdr:clientData/>
  </xdr:oneCellAnchor>
  <xdr:oneCellAnchor>
    <xdr:from>
      <xdr:col>25</xdr:col>
      <xdr:colOff>596476</xdr:colOff>
      <xdr:row>8</xdr:row>
      <xdr:rowOff>70696</xdr:rowOff>
    </xdr:from>
    <xdr:ext cx="826508" cy="530658"/>
    <xdr:sp macro="" textlink="Backend!H4">
      <xdr:nvSpPr>
        <xdr:cNvPr id="7" name="TextBox 6">
          <a:extLst>
            <a:ext uri="{FF2B5EF4-FFF2-40B4-BE49-F238E27FC236}">
              <a16:creationId xmlns:a16="http://schemas.microsoft.com/office/drawing/2014/main" id="{D929B70A-A665-B625-8FD1-DD4CB003B739}"/>
            </a:ext>
          </a:extLst>
        </xdr:cNvPr>
        <xdr:cNvSpPr txBox="1"/>
      </xdr:nvSpPr>
      <xdr:spPr>
        <a:xfrm>
          <a:off x="10407226" y="1510029"/>
          <a:ext cx="82650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9F54765-EBF2-44C5-BF66-DC6D0C2A938C}" type="TxLink">
            <a:rPr lang="en-US" sz="2800" b="1" i="0" u="none" strike="noStrike">
              <a:solidFill>
                <a:srgbClr val="000000"/>
              </a:solidFill>
              <a:latin typeface="Calibri"/>
              <a:ea typeface="Calibri"/>
              <a:cs typeface="Calibri"/>
            </a:rPr>
            <a:pPr/>
            <a:t>6.94</a:t>
          </a:fld>
          <a:endParaRPr lang="en-IN" sz="1100"/>
        </a:p>
      </xdr:txBody>
    </xdr:sp>
    <xdr:clientData/>
  </xdr:oneCellAnchor>
  <xdr:oneCellAnchor>
    <xdr:from>
      <xdr:col>14</xdr:col>
      <xdr:colOff>489615</xdr:colOff>
      <xdr:row>3</xdr:row>
      <xdr:rowOff>32415</xdr:rowOff>
    </xdr:from>
    <xdr:ext cx="9916160" cy="731520"/>
    <xdr:sp macro="" textlink="">
      <xdr:nvSpPr>
        <xdr:cNvPr id="29" name="TextBox 28">
          <a:extLst>
            <a:ext uri="{FF2B5EF4-FFF2-40B4-BE49-F238E27FC236}">
              <a16:creationId xmlns:a16="http://schemas.microsoft.com/office/drawing/2014/main" id="{1AC5D30F-5A67-38ED-D04D-820B18AFF9E6}"/>
            </a:ext>
          </a:extLst>
        </xdr:cNvPr>
        <xdr:cNvSpPr txBox="1"/>
      </xdr:nvSpPr>
      <xdr:spPr>
        <a:xfrm>
          <a:off x="3513425" y="576701"/>
          <a:ext cx="9916160" cy="731520"/>
        </a:xfrm>
        <a:prstGeom prst="rect">
          <a:avLst/>
        </a:prstGeom>
        <a:solidFill>
          <a:schemeClr val="accent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b="1">
              <a:latin typeface="Times New Roman" panose="02020603050405020304" pitchFamily="18" charset="0"/>
              <a:cs typeface="Times New Roman" panose="02020603050405020304" pitchFamily="18" charset="0"/>
            </a:rPr>
            <a:t>MENTAL HEALTH ANALYSIS</a:t>
          </a:r>
        </a:p>
      </xdr:txBody>
    </xdr:sp>
    <xdr:clientData/>
  </xdr:oneCellAnchor>
  <xdr:twoCellAnchor>
    <xdr:from>
      <xdr:col>23</xdr:col>
      <xdr:colOff>18814</xdr:colOff>
      <xdr:row>47</xdr:row>
      <xdr:rowOff>9406</xdr:rowOff>
    </xdr:from>
    <xdr:to>
      <xdr:col>33</xdr:col>
      <xdr:colOff>602073</xdr:colOff>
      <xdr:row>63</xdr:row>
      <xdr:rowOff>150517</xdr:rowOff>
    </xdr:to>
    <xdr:graphicFrame macro="">
      <xdr:nvGraphicFramePr>
        <xdr:cNvPr id="9" name="Chart 8">
          <a:extLst>
            <a:ext uri="{FF2B5EF4-FFF2-40B4-BE49-F238E27FC236}">
              <a16:creationId xmlns:a16="http://schemas.microsoft.com/office/drawing/2014/main" id="{74745119-2BD7-4555-9849-D928622D5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18</xdr:col>
      <xdr:colOff>592667</xdr:colOff>
      <xdr:row>8</xdr:row>
      <xdr:rowOff>84667</xdr:rowOff>
    </xdr:from>
    <xdr:ext cx="702885" cy="530658"/>
    <xdr:sp macro="" textlink="">
      <xdr:nvSpPr>
        <xdr:cNvPr id="15" name="TextBox 14">
          <a:extLst>
            <a:ext uri="{FF2B5EF4-FFF2-40B4-BE49-F238E27FC236}">
              <a16:creationId xmlns:a16="http://schemas.microsoft.com/office/drawing/2014/main" id="{0D01BBDB-0D6C-B844-CB51-23692FA40D33}"/>
            </a:ext>
          </a:extLst>
        </xdr:cNvPr>
        <xdr:cNvSpPr txBox="1"/>
      </xdr:nvSpPr>
      <xdr:spPr>
        <a:xfrm>
          <a:off x="6117167" y="1524000"/>
          <a:ext cx="70288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1"/>
            <a:t>/10</a:t>
          </a:r>
        </a:p>
      </xdr:txBody>
    </xdr:sp>
    <xdr:clientData/>
  </xdr:oneCellAnchor>
  <xdr:oneCellAnchor>
    <xdr:from>
      <xdr:col>23</xdr:col>
      <xdr:colOff>222251</xdr:colOff>
      <xdr:row>9</xdr:row>
      <xdr:rowOff>74083</xdr:rowOff>
    </xdr:from>
    <xdr:ext cx="383310" cy="280205"/>
    <xdr:sp macro="" textlink="">
      <xdr:nvSpPr>
        <xdr:cNvPr id="28" name="TextBox 27">
          <a:extLst>
            <a:ext uri="{FF2B5EF4-FFF2-40B4-BE49-F238E27FC236}">
              <a16:creationId xmlns:a16="http://schemas.microsoft.com/office/drawing/2014/main" id="{508C7A7B-C3BF-2A57-CCC1-64C06DF0A442}"/>
            </a:ext>
          </a:extLst>
        </xdr:cNvPr>
        <xdr:cNvSpPr txBox="1"/>
      </xdr:nvSpPr>
      <xdr:spPr>
        <a:xfrm>
          <a:off x="8805334" y="1693333"/>
          <a:ext cx="3833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hrs</a:t>
          </a:r>
        </a:p>
      </xdr:txBody>
    </xdr:sp>
    <xdr:clientData/>
  </xdr:oneCellAnchor>
  <xdr:oneCellAnchor>
    <xdr:from>
      <xdr:col>27</xdr:col>
      <xdr:colOff>42334</xdr:colOff>
      <xdr:row>9</xdr:row>
      <xdr:rowOff>84667</xdr:rowOff>
    </xdr:from>
    <xdr:ext cx="639599" cy="264560"/>
    <xdr:sp macro="" textlink="">
      <xdr:nvSpPr>
        <xdr:cNvPr id="30" name="TextBox 29">
          <a:extLst>
            <a:ext uri="{FF2B5EF4-FFF2-40B4-BE49-F238E27FC236}">
              <a16:creationId xmlns:a16="http://schemas.microsoft.com/office/drawing/2014/main" id="{AD57CFAD-1C53-F8ED-6698-FEF7E592EB06}"/>
            </a:ext>
          </a:extLst>
        </xdr:cNvPr>
        <xdr:cNvSpPr txBox="1"/>
      </xdr:nvSpPr>
      <xdr:spPr>
        <a:xfrm>
          <a:off x="11080751" y="1703917"/>
          <a:ext cx="6395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hrs/day</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7</xdr:row>
      <xdr:rowOff>0</xdr:rowOff>
    </xdr:from>
    <xdr:to>
      <xdr:col>6</xdr:col>
      <xdr:colOff>457200</xdr:colOff>
      <xdr:row>20</xdr:row>
      <xdr:rowOff>89535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ECDCF73-597B-4843-AD2E-E1795B4D66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9080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7</xdr:row>
      <xdr:rowOff>0</xdr:rowOff>
    </xdr:from>
    <xdr:to>
      <xdr:col>11</xdr:col>
      <xdr:colOff>0</xdr:colOff>
      <xdr:row>20</xdr:row>
      <xdr:rowOff>89535</xdr:rowOff>
    </xdr:to>
    <mc:AlternateContent xmlns:mc="http://schemas.openxmlformats.org/markup-compatibility/2006" xmlns:a14="http://schemas.microsoft.com/office/drawing/2010/main">
      <mc:Choice Requires="a14">
        <xdr:graphicFrame macro="">
          <xdr:nvGraphicFramePr>
            <xdr:cNvPr id="3" name="Sleep_Category">
              <a:extLst>
                <a:ext uri="{FF2B5EF4-FFF2-40B4-BE49-F238E27FC236}">
                  <a16:creationId xmlns:a16="http://schemas.microsoft.com/office/drawing/2014/main" id="{C650E113-350A-43B4-BF41-97AFC7947028}"/>
                </a:ext>
              </a:extLst>
            </xdr:cNvPr>
            <xdr:cNvGraphicFramePr/>
          </xdr:nvGraphicFramePr>
          <xdr:xfrm>
            <a:off x="0" y="0"/>
            <a:ext cx="0" cy="0"/>
          </xdr:xfrm>
          <a:graphic>
            <a:graphicData uri="http://schemas.microsoft.com/office/drawing/2010/slicer">
              <sle:slicer xmlns:sle="http://schemas.microsoft.com/office/drawing/2010/slicer" name="Sleep_Category"/>
            </a:graphicData>
          </a:graphic>
        </xdr:graphicFrame>
      </mc:Choice>
      <mc:Fallback xmlns="">
        <xdr:sp macro="" textlink="">
          <xdr:nvSpPr>
            <xdr:cNvPr id="0" name=""/>
            <xdr:cNvSpPr>
              <a:spLocks noTextEdit="1"/>
            </xdr:cNvSpPr>
          </xdr:nvSpPr>
          <xdr:spPr>
            <a:xfrm>
              <a:off x="533400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7</xdr:row>
      <xdr:rowOff>0</xdr:rowOff>
    </xdr:from>
    <xdr:to>
      <xdr:col>15</xdr:col>
      <xdr:colOff>0</xdr:colOff>
      <xdr:row>20</xdr:row>
      <xdr:rowOff>89535</xdr:rowOff>
    </xdr:to>
    <mc:AlternateContent xmlns:mc="http://schemas.openxmlformats.org/markup-compatibility/2006" xmlns:a14="http://schemas.microsoft.com/office/drawing/2010/main">
      <mc:Choice Requires="a14">
        <xdr:graphicFrame macro="">
          <xdr:nvGraphicFramePr>
            <xdr:cNvPr id="4" name="Physical_Activity">
              <a:extLst>
                <a:ext uri="{FF2B5EF4-FFF2-40B4-BE49-F238E27FC236}">
                  <a16:creationId xmlns:a16="http://schemas.microsoft.com/office/drawing/2014/main" id="{2266EAFA-5E35-4DC7-A0F2-D07FF125D073}"/>
                </a:ext>
              </a:extLst>
            </xdr:cNvPr>
            <xdr:cNvGraphicFramePr/>
          </xdr:nvGraphicFramePr>
          <xdr:xfrm>
            <a:off x="0" y="0"/>
            <a:ext cx="0" cy="0"/>
          </xdr:xfrm>
          <a:graphic>
            <a:graphicData uri="http://schemas.microsoft.com/office/drawing/2010/slicer">
              <sle:slicer xmlns:sle="http://schemas.microsoft.com/office/drawing/2010/slicer" name="Physical_Activity"/>
            </a:graphicData>
          </a:graphic>
        </xdr:graphicFrame>
      </mc:Choice>
      <mc:Fallback xmlns="">
        <xdr:sp macro="" textlink="">
          <xdr:nvSpPr>
            <xdr:cNvPr id="0" name=""/>
            <xdr:cNvSpPr>
              <a:spLocks noTextEdit="1"/>
            </xdr:cNvSpPr>
          </xdr:nvSpPr>
          <xdr:spPr>
            <a:xfrm>
              <a:off x="777240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3</xdr:col>
      <xdr:colOff>0</xdr:colOff>
      <xdr:row>21</xdr:row>
      <xdr:rowOff>89535</xdr:rowOff>
    </xdr:to>
    <mc:AlternateContent xmlns:mc="http://schemas.openxmlformats.org/markup-compatibility/2006" xmlns:a14="http://schemas.microsoft.com/office/drawing/2010/main">
      <mc:Choice Requires="a14">
        <xdr:graphicFrame macro="">
          <xdr:nvGraphicFramePr>
            <xdr:cNvPr id="5" name="Occupation">
              <a:extLst>
                <a:ext uri="{FF2B5EF4-FFF2-40B4-BE49-F238E27FC236}">
                  <a16:creationId xmlns:a16="http://schemas.microsoft.com/office/drawing/2014/main" id="{7D016FB7-A12E-4A4D-866E-2DF4ADB2BB9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1760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137160</xdr:colOff>
      <xdr:row>5</xdr:row>
      <xdr:rowOff>148590</xdr:rowOff>
    </xdr:from>
    <xdr:to>
      <xdr:col>10</xdr:col>
      <xdr:colOff>441960</xdr:colOff>
      <xdr:row>20</xdr:row>
      <xdr:rowOff>148590</xdr:rowOff>
    </xdr:to>
    <xdr:graphicFrame macro="">
      <xdr:nvGraphicFramePr>
        <xdr:cNvPr id="2" name="Chart 1">
          <a:extLst>
            <a:ext uri="{FF2B5EF4-FFF2-40B4-BE49-F238E27FC236}">
              <a16:creationId xmlns:a16="http://schemas.microsoft.com/office/drawing/2014/main" id="{A568DEBA-008A-23C6-E867-11D8D87B0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G" refreshedDate="46132.485809490739" createdVersion="8" refreshedVersion="8" minRefreshableVersion="3" recordCount="2000" xr:uid="{EF87F626-05F4-42A9-AFCD-7004545B7B8D}">
  <cacheSource type="worksheet">
    <worksheetSource name="mental_health"/>
  </cacheSource>
  <cacheFields count="22">
    <cacheField name="Person_ID" numFmtId="0">
      <sharedItems containsSemiMixedTypes="0" containsString="0" containsNumber="1" containsInteger="1" minValue="1" maxValue="2000"/>
    </cacheField>
    <cacheField name="Age" numFmtId="0">
      <sharedItems containsSemiMixedTypes="0" containsString="0" containsNumber="1" containsInteger="1" minValue="16" maxValue="59"/>
    </cacheField>
    <cacheField name="Gender" numFmtId="0">
      <sharedItems count="2">
        <s v="Male"/>
        <s v="Female"/>
      </sharedItems>
    </cacheField>
    <cacheField name="Occupation" numFmtId="0">
      <sharedItems count="3">
        <s v="Student"/>
        <s v="Employed"/>
        <s v="Unemployed"/>
      </sharedItems>
    </cacheField>
    <cacheField name="Daily_Screen_Time" numFmtId="0">
      <sharedItems containsSemiMixedTypes="0" containsString="0" containsNumber="1" minValue="2" maxValue="12"/>
    </cacheField>
    <cacheField name="Social_Media_Usage" numFmtId="0">
      <sharedItems containsSemiMixedTypes="0" containsString="0" containsNumber="1" minValue="1" maxValue="8"/>
    </cacheField>
    <cacheField name="Night_Usage" numFmtId="0">
      <sharedItems containsString="0" containsBlank="1" containsNumber="1" containsInteger="1" minValue="0" maxValue="1" count="3">
        <m/>
        <n v="0"/>
        <n v="1"/>
      </sharedItems>
    </cacheField>
    <cacheField name="Night Usage Label" numFmtId="0">
      <sharedItems count="2">
        <s v="No Night Usage"/>
        <s v="Night Usage"/>
      </sharedItems>
    </cacheField>
    <cacheField name="Sleep_Hours" numFmtId="0">
      <sharedItems containsSemiMixedTypes="0" containsString="0" containsNumber="1" minValue="3" maxValue="9"/>
    </cacheField>
    <cacheField name="Stress_Level" numFmtId="2">
      <sharedItems containsSemiMixedTypes="0" containsString="0" containsNumber="1" containsInteger="1" minValue="1" maxValue="10"/>
    </cacheField>
    <cacheField name="Work_Study_Hours" numFmtId="0">
      <sharedItems containsSemiMixedTypes="0" containsString="0" containsNumber="1" minValue="2" maxValue="12"/>
    </cacheField>
    <cacheField name="Physical_Activity" numFmtId="0">
      <sharedItems count="3">
        <s v="Low"/>
        <s v="High"/>
        <s v="Medium"/>
      </sharedItems>
    </cacheField>
    <cacheField name="Social_Interaction_Score" numFmtId="0">
      <sharedItems containsSemiMixedTypes="0" containsString="0" containsNumber="1" containsInteger="1" minValue="1" maxValue="10"/>
    </cacheField>
    <cacheField name="Caffeine_Intake" numFmtId="0">
      <sharedItems containsSemiMixedTypes="0" containsString="0" containsNumber="1" containsInteger="1" minValue="0" maxValue="4"/>
    </cacheField>
    <cacheField name="Smoking" numFmtId="0">
      <sharedItems containsSemiMixedTypes="0" containsString="0" containsNumber="1" containsInteger="1" minValue="0" maxValue="1"/>
    </cacheField>
    <cacheField name="Alcohol" numFmtId="0">
      <sharedItems containsSemiMixedTypes="0" containsString="0" containsNumber="1" containsInteger="1" minValue="0" maxValue="1"/>
    </cacheField>
    <cacheField name="Depression" numFmtId="0">
      <sharedItems containsSemiMixedTypes="0" containsString="0" containsNumber="1" containsInteger="1" minValue="0" maxValue="1"/>
    </cacheField>
    <cacheField name="Anxiety" numFmtId="0">
      <sharedItems containsSemiMixedTypes="0" containsString="0" containsNumber="1" containsInteger="1" minValue="0" maxValue="1"/>
    </cacheField>
    <cacheField name="Burnout" numFmtId="0">
      <sharedItems containsSemiMixedTypes="0" containsString="0" containsNumber="1" containsInteger="1" minValue="0" maxValue="1"/>
    </cacheField>
    <cacheField name="Sleep_Category" numFmtId="0">
      <sharedItems count="3">
        <s v="Medium"/>
        <s v="Low"/>
        <s v="Good"/>
      </sharedItems>
    </cacheField>
    <cacheField name="Stress_Category" numFmtId="0">
      <sharedItems count="3">
        <s v="High"/>
        <s v="Medium"/>
        <s v="Low"/>
      </sharedItems>
    </cacheField>
    <cacheField name="Screen_Time_Category" numFmtId="0">
      <sharedItems count="3">
        <s v="High"/>
        <s v="Medium"/>
        <s v="Low"/>
      </sharedItems>
    </cacheField>
  </cacheFields>
  <extLst>
    <ext xmlns:x14="http://schemas.microsoft.com/office/spreadsheetml/2009/9/main" uri="{725AE2AE-9491-48be-B2B4-4EB974FC3084}">
      <x14:pivotCacheDefinition pivotCacheId="2139474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n v="54"/>
    <x v="0"/>
    <x v="0"/>
    <n v="10.199999999999999"/>
    <n v="7.5"/>
    <x v="0"/>
    <x v="0"/>
    <n v="6.5"/>
    <n v="8"/>
    <n v="5.8"/>
    <x v="0"/>
    <n v="6"/>
    <n v="2"/>
    <n v="0"/>
    <n v="1"/>
    <n v="1"/>
    <n v="1"/>
    <n v="1"/>
    <x v="0"/>
    <x v="0"/>
    <x v="0"/>
  </r>
  <r>
    <n v="2"/>
    <n v="44"/>
    <x v="0"/>
    <x v="0"/>
    <n v="6.8"/>
    <n v="4.5"/>
    <x v="1"/>
    <x v="0"/>
    <n v="5.0999999999999996"/>
    <n v="4"/>
    <n v="7.9"/>
    <x v="1"/>
    <n v="2"/>
    <n v="1"/>
    <n v="1"/>
    <n v="0"/>
    <n v="0"/>
    <n v="0"/>
    <n v="0"/>
    <x v="0"/>
    <x v="1"/>
    <x v="1"/>
  </r>
  <r>
    <n v="3"/>
    <n v="30"/>
    <x v="0"/>
    <x v="1"/>
    <n v="5.5"/>
    <n v="6.9"/>
    <x v="1"/>
    <x v="0"/>
    <n v="3.5"/>
    <n v="10"/>
    <n v="9.4"/>
    <x v="0"/>
    <n v="2"/>
    <n v="0"/>
    <n v="1"/>
    <n v="1"/>
    <n v="1"/>
    <n v="0"/>
    <n v="1"/>
    <x v="1"/>
    <x v="0"/>
    <x v="1"/>
  </r>
  <r>
    <n v="4"/>
    <n v="58"/>
    <x v="0"/>
    <x v="1"/>
    <n v="5.6"/>
    <n v="4.0999999999999996"/>
    <x v="1"/>
    <x v="0"/>
    <n v="9"/>
    <n v="2"/>
    <n v="2"/>
    <x v="1"/>
    <n v="10"/>
    <n v="0"/>
    <n v="0"/>
    <n v="1"/>
    <n v="0"/>
    <n v="0"/>
    <n v="0"/>
    <x v="2"/>
    <x v="2"/>
    <x v="1"/>
  </r>
  <r>
    <n v="5"/>
    <n v="23"/>
    <x v="1"/>
    <x v="1"/>
    <n v="10.1"/>
    <n v="6"/>
    <x v="2"/>
    <x v="1"/>
    <n v="3.8"/>
    <n v="4"/>
    <n v="4.5999999999999996"/>
    <x v="0"/>
    <n v="4"/>
    <n v="4"/>
    <n v="0"/>
    <n v="1"/>
    <n v="1"/>
    <n v="1"/>
    <n v="0"/>
    <x v="1"/>
    <x v="1"/>
    <x v="0"/>
  </r>
  <r>
    <n v="6"/>
    <n v="36"/>
    <x v="1"/>
    <x v="0"/>
    <n v="5.3"/>
    <n v="6.1"/>
    <x v="2"/>
    <x v="1"/>
    <n v="3.4"/>
    <n v="2"/>
    <n v="7.4"/>
    <x v="0"/>
    <n v="8"/>
    <n v="2"/>
    <n v="1"/>
    <n v="0"/>
    <n v="1"/>
    <n v="0"/>
    <n v="0"/>
    <x v="1"/>
    <x v="2"/>
    <x v="1"/>
  </r>
  <r>
    <n v="7"/>
    <n v="54"/>
    <x v="1"/>
    <x v="2"/>
    <n v="4.0999999999999996"/>
    <n v="2.2000000000000002"/>
    <x v="1"/>
    <x v="0"/>
    <n v="8.3000000000000007"/>
    <n v="3"/>
    <n v="7.3"/>
    <x v="0"/>
    <n v="5"/>
    <n v="4"/>
    <n v="1"/>
    <n v="1"/>
    <n v="1"/>
    <n v="0"/>
    <n v="0"/>
    <x v="2"/>
    <x v="2"/>
    <x v="1"/>
  </r>
  <r>
    <n v="8"/>
    <n v="34"/>
    <x v="0"/>
    <x v="2"/>
    <n v="2.8"/>
    <n v="3.5"/>
    <x v="2"/>
    <x v="1"/>
    <n v="4.8"/>
    <n v="4"/>
    <n v="8.4"/>
    <x v="2"/>
    <n v="9"/>
    <n v="0"/>
    <n v="1"/>
    <n v="0"/>
    <n v="0"/>
    <n v="0"/>
    <n v="1"/>
    <x v="1"/>
    <x v="1"/>
    <x v="2"/>
  </r>
  <r>
    <n v="9"/>
    <n v="38"/>
    <x v="0"/>
    <x v="1"/>
    <n v="6.7"/>
    <n v="5.5"/>
    <x v="1"/>
    <x v="0"/>
    <n v="6.9"/>
    <n v="4"/>
    <n v="5"/>
    <x v="0"/>
    <n v="4"/>
    <n v="1"/>
    <n v="0"/>
    <n v="0"/>
    <n v="0"/>
    <n v="1"/>
    <n v="0"/>
    <x v="0"/>
    <x v="1"/>
    <x v="1"/>
  </r>
  <r>
    <n v="10"/>
    <n v="26"/>
    <x v="0"/>
    <x v="1"/>
    <n v="6.8"/>
    <n v="1.5"/>
    <x v="1"/>
    <x v="0"/>
    <n v="5"/>
    <n v="10"/>
    <n v="7.4"/>
    <x v="2"/>
    <n v="3"/>
    <n v="3"/>
    <n v="1"/>
    <n v="0"/>
    <n v="1"/>
    <n v="1"/>
    <n v="1"/>
    <x v="0"/>
    <x v="0"/>
    <x v="1"/>
  </r>
  <r>
    <n v="11"/>
    <n v="26"/>
    <x v="0"/>
    <x v="2"/>
    <n v="10.4"/>
    <n v="3.5"/>
    <x v="2"/>
    <x v="1"/>
    <n v="5.3"/>
    <n v="9"/>
    <n v="3.9"/>
    <x v="2"/>
    <n v="10"/>
    <n v="4"/>
    <n v="0"/>
    <n v="0"/>
    <n v="1"/>
    <n v="1"/>
    <n v="0"/>
    <x v="0"/>
    <x v="0"/>
    <x v="0"/>
  </r>
  <r>
    <n v="12"/>
    <n v="39"/>
    <x v="0"/>
    <x v="2"/>
    <n v="4.2"/>
    <n v="4.7"/>
    <x v="2"/>
    <x v="1"/>
    <n v="4.5999999999999996"/>
    <n v="10"/>
    <n v="3.9"/>
    <x v="2"/>
    <n v="8"/>
    <n v="0"/>
    <n v="1"/>
    <n v="0"/>
    <n v="0"/>
    <n v="1"/>
    <n v="1"/>
    <x v="1"/>
    <x v="0"/>
    <x v="1"/>
  </r>
  <r>
    <n v="13"/>
    <n v="51"/>
    <x v="1"/>
    <x v="1"/>
    <n v="5.8"/>
    <n v="8"/>
    <x v="1"/>
    <x v="0"/>
    <n v="5.0999999999999996"/>
    <n v="6"/>
    <n v="7.8"/>
    <x v="1"/>
    <n v="1"/>
    <n v="3"/>
    <n v="1"/>
    <n v="0"/>
    <n v="1"/>
    <n v="0"/>
    <n v="1"/>
    <x v="0"/>
    <x v="1"/>
    <x v="1"/>
  </r>
  <r>
    <n v="14"/>
    <n v="55"/>
    <x v="1"/>
    <x v="1"/>
    <n v="10.1"/>
    <n v="4.3"/>
    <x v="1"/>
    <x v="0"/>
    <n v="5.5"/>
    <n v="9"/>
    <n v="8.9"/>
    <x v="0"/>
    <n v="9"/>
    <n v="3"/>
    <n v="0"/>
    <n v="1"/>
    <n v="1"/>
    <n v="1"/>
    <n v="1"/>
    <x v="0"/>
    <x v="0"/>
    <x v="0"/>
  </r>
  <r>
    <n v="15"/>
    <n v="39"/>
    <x v="0"/>
    <x v="2"/>
    <n v="10.199999999999999"/>
    <n v="6.7"/>
    <x v="2"/>
    <x v="1"/>
    <n v="7.3"/>
    <n v="4"/>
    <n v="3.2"/>
    <x v="1"/>
    <n v="4"/>
    <n v="0"/>
    <n v="0"/>
    <n v="1"/>
    <n v="1"/>
    <n v="0"/>
    <n v="1"/>
    <x v="2"/>
    <x v="1"/>
    <x v="0"/>
  </r>
  <r>
    <n v="16"/>
    <n v="18"/>
    <x v="0"/>
    <x v="0"/>
    <n v="5.8"/>
    <n v="4"/>
    <x v="2"/>
    <x v="1"/>
    <n v="6.1"/>
    <n v="9"/>
    <n v="3.2"/>
    <x v="2"/>
    <n v="9"/>
    <n v="2"/>
    <n v="1"/>
    <n v="0"/>
    <n v="0"/>
    <n v="1"/>
    <n v="0"/>
    <x v="0"/>
    <x v="0"/>
    <x v="1"/>
  </r>
  <r>
    <n v="17"/>
    <n v="37"/>
    <x v="0"/>
    <x v="1"/>
    <n v="6.6"/>
    <n v="6.6"/>
    <x v="1"/>
    <x v="0"/>
    <n v="8.6999999999999993"/>
    <n v="9"/>
    <n v="7.7"/>
    <x v="0"/>
    <n v="8"/>
    <n v="0"/>
    <n v="0"/>
    <n v="0"/>
    <n v="1"/>
    <n v="1"/>
    <n v="0"/>
    <x v="2"/>
    <x v="0"/>
    <x v="1"/>
  </r>
  <r>
    <n v="18"/>
    <n v="17"/>
    <x v="0"/>
    <x v="2"/>
    <n v="5"/>
    <n v="5.2"/>
    <x v="1"/>
    <x v="0"/>
    <n v="3.3"/>
    <n v="6"/>
    <n v="4.7"/>
    <x v="1"/>
    <n v="3"/>
    <n v="1"/>
    <n v="0"/>
    <n v="1"/>
    <n v="1"/>
    <n v="0"/>
    <n v="0"/>
    <x v="1"/>
    <x v="1"/>
    <x v="1"/>
  </r>
  <r>
    <n v="19"/>
    <n v="39"/>
    <x v="1"/>
    <x v="2"/>
    <n v="11.3"/>
    <n v="7.2"/>
    <x v="1"/>
    <x v="0"/>
    <n v="6"/>
    <n v="5"/>
    <n v="5.9"/>
    <x v="2"/>
    <n v="3"/>
    <n v="3"/>
    <n v="1"/>
    <n v="1"/>
    <n v="1"/>
    <n v="1"/>
    <n v="1"/>
    <x v="0"/>
    <x v="1"/>
    <x v="0"/>
  </r>
  <r>
    <n v="20"/>
    <n v="59"/>
    <x v="0"/>
    <x v="2"/>
    <n v="3.2"/>
    <n v="3.9"/>
    <x v="2"/>
    <x v="1"/>
    <n v="6.5"/>
    <n v="3"/>
    <n v="6"/>
    <x v="1"/>
    <n v="9"/>
    <n v="1"/>
    <n v="0"/>
    <n v="0"/>
    <n v="0"/>
    <n v="1"/>
    <n v="1"/>
    <x v="0"/>
    <x v="2"/>
    <x v="2"/>
  </r>
  <r>
    <n v="21"/>
    <n v="45"/>
    <x v="0"/>
    <x v="2"/>
    <n v="11.3"/>
    <n v="5.2"/>
    <x v="1"/>
    <x v="0"/>
    <n v="8.5"/>
    <n v="5"/>
    <n v="3.8"/>
    <x v="1"/>
    <n v="3"/>
    <n v="4"/>
    <n v="0"/>
    <n v="1"/>
    <n v="1"/>
    <n v="0"/>
    <n v="0"/>
    <x v="2"/>
    <x v="1"/>
    <x v="0"/>
  </r>
  <r>
    <n v="22"/>
    <n v="53"/>
    <x v="0"/>
    <x v="0"/>
    <n v="8.8000000000000007"/>
    <n v="5.4"/>
    <x v="2"/>
    <x v="1"/>
    <n v="3.3"/>
    <n v="3"/>
    <n v="2"/>
    <x v="0"/>
    <n v="4"/>
    <n v="3"/>
    <n v="1"/>
    <n v="0"/>
    <n v="0"/>
    <n v="1"/>
    <n v="1"/>
    <x v="1"/>
    <x v="2"/>
    <x v="0"/>
  </r>
  <r>
    <n v="23"/>
    <n v="17"/>
    <x v="0"/>
    <x v="2"/>
    <n v="7.3"/>
    <n v="3.9"/>
    <x v="1"/>
    <x v="0"/>
    <n v="6.4"/>
    <n v="5"/>
    <n v="10.5"/>
    <x v="0"/>
    <n v="9"/>
    <n v="2"/>
    <n v="1"/>
    <n v="1"/>
    <n v="0"/>
    <n v="1"/>
    <n v="0"/>
    <x v="0"/>
    <x v="1"/>
    <x v="1"/>
  </r>
  <r>
    <n v="24"/>
    <n v="36"/>
    <x v="1"/>
    <x v="1"/>
    <n v="2.2999999999999998"/>
    <n v="2"/>
    <x v="2"/>
    <x v="1"/>
    <n v="8.1"/>
    <n v="5"/>
    <n v="9.1999999999999993"/>
    <x v="1"/>
    <n v="4"/>
    <n v="0"/>
    <n v="0"/>
    <n v="1"/>
    <n v="0"/>
    <n v="0"/>
    <n v="1"/>
    <x v="2"/>
    <x v="1"/>
    <x v="2"/>
  </r>
  <r>
    <n v="25"/>
    <n v="48"/>
    <x v="0"/>
    <x v="0"/>
    <n v="6.8"/>
    <n v="1.7"/>
    <x v="2"/>
    <x v="1"/>
    <n v="4.5"/>
    <n v="2"/>
    <n v="8.9"/>
    <x v="0"/>
    <n v="3"/>
    <n v="4"/>
    <n v="0"/>
    <n v="1"/>
    <n v="0"/>
    <n v="0"/>
    <n v="0"/>
    <x v="1"/>
    <x v="2"/>
    <x v="1"/>
  </r>
  <r>
    <n v="26"/>
    <n v="27"/>
    <x v="0"/>
    <x v="2"/>
    <n v="6.1"/>
    <n v="1.1000000000000001"/>
    <x v="2"/>
    <x v="1"/>
    <n v="8.3000000000000007"/>
    <n v="9"/>
    <n v="7.5"/>
    <x v="0"/>
    <n v="7"/>
    <n v="1"/>
    <n v="0"/>
    <n v="1"/>
    <n v="1"/>
    <n v="1"/>
    <n v="0"/>
    <x v="2"/>
    <x v="0"/>
    <x v="1"/>
  </r>
  <r>
    <n v="27"/>
    <n v="37"/>
    <x v="1"/>
    <x v="0"/>
    <n v="3.6"/>
    <n v="7.1"/>
    <x v="2"/>
    <x v="1"/>
    <n v="3.1"/>
    <n v="7"/>
    <n v="9"/>
    <x v="1"/>
    <n v="6"/>
    <n v="4"/>
    <n v="1"/>
    <n v="1"/>
    <n v="0"/>
    <n v="1"/>
    <n v="1"/>
    <x v="1"/>
    <x v="1"/>
    <x v="2"/>
  </r>
  <r>
    <n v="28"/>
    <n v="59"/>
    <x v="1"/>
    <x v="1"/>
    <n v="8.6"/>
    <n v="2.7"/>
    <x v="1"/>
    <x v="0"/>
    <n v="7.4"/>
    <n v="6"/>
    <n v="11.4"/>
    <x v="0"/>
    <n v="1"/>
    <n v="2"/>
    <n v="1"/>
    <n v="0"/>
    <n v="0"/>
    <n v="0"/>
    <n v="0"/>
    <x v="2"/>
    <x v="1"/>
    <x v="0"/>
  </r>
  <r>
    <n v="29"/>
    <n v="40"/>
    <x v="1"/>
    <x v="2"/>
    <n v="11.7"/>
    <n v="2.5"/>
    <x v="2"/>
    <x v="1"/>
    <n v="8.6"/>
    <n v="5"/>
    <n v="8.6999999999999993"/>
    <x v="0"/>
    <n v="10"/>
    <n v="0"/>
    <n v="0"/>
    <n v="0"/>
    <n v="0"/>
    <n v="1"/>
    <n v="0"/>
    <x v="2"/>
    <x v="1"/>
    <x v="0"/>
  </r>
  <r>
    <n v="30"/>
    <n v="42"/>
    <x v="0"/>
    <x v="1"/>
    <n v="7.6"/>
    <n v="6.2"/>
    <x v="2"/>
    <x v="1"/>
    <n v="6.9"/>
    <n v="4"/>
    <n v="4.7"/>
    <x v="2"/>
    <n v="8"/>
    <n v="4"/>
    <n v="0"/>
    <n v="1"/>
    <n v="1"/>
    <n v="0"/>
    <n v="0"/>
    <x v="0"/>
    <x v="1"/>
    <x v="1"/>
  </r>
  <r>
    <n v="31"/>
    <n v="57"/>
    <x v="0"/>
    <x v="2"/>
    <n v="9.1"/>
    <n v="3.2"/>
    <x v="2"/>
    <x v="1"/>
    <n v="5.6"/>
    <n v="8"/>
    <n v="7.7"/>
    <x v="0"/>
    <n v="1"/>
    <n v="1"/>
    <n v="0"/>
    <n v="0"/>
    <n v="1"/>
    <n v="1"/>
    <n v="1"/>
    <x v="0"/>
    <x v="0"/>
    <x v="0"/>
  </r>
  <r>
    <n v="32"/>
    <n v="43"/>
    <x v="1"/>
    <x v="2"/>
    <n v="2.7"/>
    <n v="4.5"/>
    <x v="1"/>
    <x v="0"/>
    <n v="3.3"/>
    <n v="2"/>
    <n v="6.4"/>
    <x v="2"/>
    <n v="4"/>
    <n v="4"/>
    <n v="1"/>
    <n v="0"/>
    <n v="0"/>
    <n v="0"/>
    <n v="1"/>
    <x v="1"/>
    <x v="2"/>
    <x v="2"/>
  </r>
  <r>
    <n v="33"/>
    <n v="31"/>
    <x v="1"/>
    <x v="2"/>
    <n v="6.2"/>
    <n v="2.1"/>
    <x v="1"/>
    <x v="0"/>
    <n v="8.5"/>
    <n v="8"/>
    <n v="7.6"/>
    <x v="1"/>
    <n v="6"/>
    <n v="0"/>
    <n v="1"/>
    <n v="1"/>
    <n v="0"/>
    <n v="1"/>
    <n v="0"/>
    <x v="2"/>
    <x v="0"/>
    <x v="1"/>
  </r>
  <r>
    <n v="34"/>
    <n v="30"/>
    <x v="1"/>
    <x v="2"/>
    <n v="3.2"/>
    <n v="7.7"/>
    <x v="1"/>
    <x v="0"/>
    <n v="5.8"/>
    <n v="1"/>
    <n v="7.2"/>
    <x v="2"/>
    <n v="6"/>
    <n v="4"/>
    <n v="0"/>
    <n v="0"/>
    <n v="0"/>
    <n v="0"/>
    <n v="0"/>
    <x v="0"/>
    <x v="2"/>
    <x v="2"/>
  </r>
  <r>
    <n v="35"/>
    <n v="59"/>
    <x v="1"/>
    <x v="2"/>
    <n v="8.1"/>
    <n v="7"/>
    <x v="1"/>
    <x v="0"/>
    <n v="3.2"/>
    <n v="10"/>
    <n v="10.6"/>
    <x v="1"/>
    <n v="7"/>
    <n v="1"/>
    <n v="0"/>
    <n v="0"/>
    <n v="0"/>
    <n v="1"/>
    <n v="1"/>
    <x v="1"/>
    <x v="0"/>
    <x v="0"/>
  </r>
  <r>
    <n v="36"/>
    <n v="18"/>
    <x v="1"/>
    <x v="0"/>
    <n v="11.4"/>
    <n v="7"/>
    <x v="1"/>
    <x v="0"/>
    <n v="7.1"/>
    <n v="1"/>
    <n v="8.5"/>
    <x v="0"/>
    <n v="5"/>
    <n v="0"/>
    <n v="0"/>
    <n v="1"/>
    <n v="0"/>
    <n v="0"/>
    <n v="0"/>
    <x v="2"/>
    <x v="2"/>
    <x v="0"/>
  </r>
  <r>
    <n v="37"/>
    <n v="52"/>
    <x v="1"/>
    <x v="2"/>
    <n v="8.6"/>
    <n v="3.8"/>
    <x v="1"/>
    <x v="0"/>
    <n v="5.9"/>
    <n v="3"/>
    <n v="3.9"/>
    <x v="0"/>
    <n v="5"/>
    <n v="2"/>
    <n v="0"/>
    <n v="0"/>
    <n v="0"/>
    <n v="0"/>
    <n v="1"/>
    <x v="0"/>
    <x v="2"/>
    <x v="0"/>
  </r>
  <r>
    <n v="38"/>
    <n v="22"/>
    <x v="0"/>
    <x v="2"/>
    <n v="2.8"/>
    <n v="6.3"/>
    <x v="2"/>
    <x v="1"/>
    <n v="3.7"/>
    <n v="5"/>
    <n v="2.6"/>
    <x v="2"/>
    <n v="4"/>
    <n v="2"/>
    <n v="1"/>
    <n v="1"/>
    <n v="1"/>
    <n v="1"/>
    <n v="0"/>
    <x v="1"/>
    <x v="1"/>
    <x v="2"/>
  </r>
  <r>
    <n v="39"/>
    <n v="36"/>
    <x v="0"/>
    <x v="0"/>
    <n v="5.5"/>
    <n v="2"/>
    <x v="2"/>
    <x v="1"/>
    <n v="4.3"/>
    <n v="6"/>
    <n v="6.2"/>
    <x v="1"/>
    <n v="6"/>
    <n v="3"/>
    <n v="0"/>
    <n v="1"/>
    <n v="0"/>
    <n v="1"/>
    <n v="1"/>
    <x v="1"/>
    <x v="1"/>
    <x v="1"/>
  </r>
  <r>
    <n v="40"/>
    <n v="24"/>
    <x v="0"/>
    <x v="0"/>
    <n v="7.5"/>
    <n v="1.1000000000000001"/>
    <x v="2"/>
    <x v="1"/>
    <n v="3.4"/>
    <n v="4"/>
    <n v="2.2000000000000002"/>
    <x v="0"/>
    <n v="7"/>
    <n v="4"/>
    <n v="0"/>
    <n v="0"/>
    <n v="0"/>
    <n v="0"/>
    <n v="0"/>
    <x v="1"/>
    <x v="1"/>
    <x v="1"/>
  </r>
  <r>
    <n v="41"/>
    <n v="54"/>
    <x v="1"/>
    <x v="0"/>
    <n v="6"/>
    <n v="1.1000000000000001"/>
    <x v="1"/>
    <x v="0"/>
    <n v="6.4"/>
    <n v="7"/>
    <n v="5.2"/>
    <x v="2"/>
    <n v="10"/>
    <n v="1"/>
    <n v="1"/>
    <n v="1"/>
    <n v="0"/>
    <n v="1"/>
    <n v="1"/>
    <x v="0"/>
    <x v="1"/>
    <x v="1"/>
  </r>
  <r>
    <n v="42"/>
    <n v="33"/>
    <x v="1"/>
    <x v="0"/>
    <n v="10.3"/>
    <n v="5.0999999999999996"/>
    <x v="2"/>
    <x v="1"/>
    <n v="6.7"/>
    <n v="7"/>
    <n v="5.7"/>
    <x v="2"/>
    <n v="10"/>
    <n v="4"/>
    <n v="0"/>
    <n v="0"/>
    <n v="1"/>
    <n v="1"/>
    <n v="1"/>
    <x v="0"/>
    <x v="1"/>
    <x v="0"/>
  </r>
  <r>
    <n v="43"/>
    <n v="19"/>
    <x v="1"/>
    <x v="0"/>
    <n v="10.1"/>
    <n v="4.2"/>
    <x v="2"/>
    <x v="1"/>
    <n v="6"/>
    <n v="2"/>
    <n v="5.8"/>
    <x v="2"/>
    <n v="1"/>
    <n v="0"/>
    <n v="0"/>
    <n v="0"/>
    <n v="0"/>
    <n v="1"/>
    <n v="0"/>
    <x v="0"/>
    <x v="2"/>
    <x v="0"/>
  </r>
  <r>
    <n v="44"/>
    <n v="40"/>
    <x v="1"/>
    <x v="0"/>
    <n v="8.1"/>
    <n v="4.5999999999999996"/>
    <x v="1"/>
    <x v="0"/>
    <n v="7.9"/>
    <n v="2"/>
    <n v="11.8"/>
    <x v="0"/>
    <n v="9"/>
    <n v="3"/>
    <n v="0"/>
    <n v="1"/>
    <n v="0"/>
    <n v="0"/>
    <n v="0"/>
    <x v="2"/>
    <x v="2"/>
    <x v="0"/>
  </r>
  <r>
    <n v="45"/>
    <n v="29"/>
    <x v="1"/>
    <x v="2"/>
    <n v="5.7"/>
    <n v="1.1000000000000001"/>
    <x v="2"/>
    <x v="1"/>
    <n v="8.1999999999999993"/>
    <n v="2"/>
    <n v="5"/>
    <x v="1"/>
    <n v="8"/>
    <n v="1"/>
    <n v="0"/>
    <n v="0"/>
    <n v="1"/>
    <n v="1"/>
    <n v="0"/>
    <x v="2"/>
    <x v="2"/>
    <x v="1"/>
  </r>
  <r>
    <n v="46"/>
    <n v="24"/>
    <x v="1"/>
    <x v="2"/>
    <n v="4.5999999999999996"/>
    <n v="4"/>
    <x v="1"/>
    <x v="0"/>
    <n v="6.7"/>
    <n v="2"/>
    <n v="4.7"/>
    <x v="0"/>
    <n v="7"/>
    <n v="4"/>
    <n v="0"/>
    <n v="0"/>
    <n v="1"/>
    <n v="1"/>
    <n v="0"/>
    <x v="0"/>
    <x v="2"/>
    <x v="1"/>
  </r>
  <r>
    <n v="47"/>
    <n v="41"/>
    <x v="0"/>
    <x v="1"/>
    <n v="3.1"/>
    <n v="6"/>
    <x v="2"/>
    <x v="1"/>
    <n v="3.1"/>
    <n v="9"/>
    <n v="3.3"/>
    <x v="0"/>
    <n v="9"/>
    <n v="1"/>
    <n v="0"/>
    <n v="0"/>
    <n v="0"/>
    <n v="0"/>
    <n v="1"/>
    <x v="1"/>
    <x v="0"/>
    <x v="2"/>
  </r>
  <r>
    <n v="48"/>
    <n v="17"/>
    <x v="0"/>
    <x v="2"/>
    <n v="5.5"/>
    <n v="4.0999999999999996"/>
    <x v="1"/>
    <x v="0"/>
    <n v="7.2"/>
    <n v="5"/>
    <n v="7.1"/>
    <x v="1"/>
    <n v="3"/>
    <n v="0"/>
    <n v="1"/>
    <n v="0"/>
    <n v="1"/>
    <n v="0"/>
    <n v="1"/>
    <x v="2"/>
    <x v="1"/>
    <x v="1"/>
  </r>
  <r>
    <n v="49"/>
    <n v="35"/>
    <x v="1"/>
    <x v="2"/>
    <n v="6.1"/>
    <n v="6.1"/>
    <x v="1"/>
    <x v="0"/>
    <n v="5.5"/>
    <n v="8"/>
    <n v="3.5"/>
    <x v="2"/>
    <n v="10"/>
    <n v="3"/>
    <n v="0"/>
    <n v="0"/>
    <n v="0"/>
    <n v="1"/>
    <n v="0"/>
    <x v="0"/>
    <x v="0"/>
    <x v="1"/>
  </r>
  <r>
    <n v="50"/>
    <n v="43"/>
    <x v="0"/>
    <x v="0"/>
    <n v="8.8000000000000007"/>
    <n v="2.6"/>
    <x v="1"/>
    <x v="0"/>
    <n v="6.4"/>
    <n v="5"/>
    <n v="8.1999999999999993"/>
    <x v="0"/>
    <n v="4"/>
    <n v="1"/>
    <n v="1"/>
    <n v="0"/>
    <n v="1"/>
    <n v="0"/>
    <n v="1"/>
    <x v="0"/>
    <x v="1"/>
    <x v="0"/>
  </r>
  <r>
    <n v="51"/>
    <n v="22"/>
    <x v="1"/>
    <x v="0"/>
    <n v="8.6"/>
    <n v="6.7"/>
    <x v="2"/>
    <x v="1"/>
    <n v="6.9"/>
    <n v="5"/>
    <n v="3.6"/>
    <x v="2"/>
    <n v="7"/>
    <n v="0"/>
    <n v="1"/>
    <n v="0"/>
    <n v="1"/>
    <n v="1"/>
    <n v="0"/>
    <x v="0"/>
    <x v="1"/>
    <x v="0"/>
  </r>
  <r>
    <n v="52"/>
    <n v="59"/>
    <x v="0"/>
    <x v="2"/>
    <n v="2.7"/>
    <n v="5.0999999999999996"/>
    <x v="2"/>
    <x v="1"/>
    <n v="5.0999999999999996"/>
    <n v="1"/>
    <n v="7.8"/>
    <x v="2"/>
    <n v="6"/>
    <n v="2"/>
    <n v="1"/>
    <n v="1"/>
    <n v="1"/>
    <n v="1"/>
    <n v="0"/>
    <x v="0"/>
    <x v="2"/>
    <x v="2"/>
  </r>
  <r>
    <n v="53"/>
    <n v="23"/>
    <x v="1"/>
    <x v="1"/>
    <n v="6"/>
    <n v="2.5"/>
    <x v="1"/>
    <x v="0"/>
    <n v="8.5"/>
    <n v="6"/>
    <n v="10.3"/>
    <x v="1"/>
    <n v="2"/>
    <n v="1"/>
    <n v="1"/>
    <n v="0"/>
    <n v="1"/>
    <n v="0"/>
    <n v="1"/>
    <x v="2"/>
    <x v="1"/>
    <x v="1"/>
  </r>
  <r>
    <n v="54"/>
    <n v="50"/>
    <x v="1"/>
    <x v="0"/>
    <n v="3.8"/>
    <n v="2.7"/>
    <x v="1"/>
    <x v="0"/>
    <n v="3.8"/>
    <n v="4"/>
    <n v="2.4"/>
    <x v="1"/>
    <n v="2"/>
    <n v="3"/>
    <n v="0"/>
    <n v="1"/>
    <n v="1"/>
    <n v="0"/>
    <n v="0"/>
    <x v="1"/>
    <x v="1"/>
    <x v="2"/>
  </r>
  <r>
    <n v="55"/>
    <n v="29"/>
    <x v="0"/>
    <x v="2"/>
    <n v="3.6"/>
    <n v="5.4"/>
    <x v="2"/>
    <x v="1"/>
    <n v="7"/>
    <n v="3"/>
    <n v="6.2"/>
    <x v="1"/>
    <n v="10"/>
    <n v="1"/>
    <n v="0"/>
    <n v="1"/>
    <n v="0"/>
    <n v="1"/>
    <n v="0"/>
    <x v="2"/>
    <x v="2"/>
    <x v="2"/>
  </r>
  <r>
    <n v="56"/>
    <n v="32"/>
    <x v="0"/>
    <x v="2"/>
    <n v="10.3"/>
    <n v="6.8"/>
    <x v="2"/>
    <x v="1"/>
    <n v="3"/>
    <n v="6"/>
    <n v="6.6"/>
    <x v="2"/>
    <n v="7"/>
    <n v="1"/>
    <n v="0"/>
    <n v="0"/>
    <n v="1"/>
    <n v="1"/>
    <n v="0"/>
    <x v="1"/>
    <x v="1"/>
    <x v="0"/>
  </r>
  <r>
    <n v="57"/>
    <n v="51"/>
    <x v="1"/>
    <x v="1"/>
    <n v="2.4"/>
    <n v="3.9"/>
    <x v="1"/>
    <x v="0"/>
    <n v="8.5"/>
    <n v="2"/>
    <n v="9.9"/>
    <x v="2"/>
    <n v="9"/>
    <n v="0"/>
    <n v="0"/>
    <n v="1"/>
    <n v="0"/>
    <n v="0"/>
    <n v="0"/>
    <x v="2"/>
    <x v="2"/>
    <x v="2"/>
  </r>
  <r>
    <n v="58"/>
    <n v="55"/>
    <x v="1"/>
    <x v="1"/>
    <n v="6.2"/>
    <n v="2.8"/>
    <x v="2"/>
    <x v="1"/>
    <n v="3.7"/>
    <n v="8"/>
    <n v="6.7"/>
    <x v="0"/>
    <n v="9"/>
    <n v="4"/>
    <n v="1"/>
    <n v="1"/>
    <n v="0"/>
    <n v="0"/>
    <n v="0"/>
    <x v="1"/>
    <x v="0"/>
    <x v="1"/>
  </r>
  <r>
    <n v="59"/>
    <n v="19"/>
    <x v="0"/>
    <x v="0"/>
    <n v="3.7"/>
    <n v="7.1"/>
    <x v="2"/>
    <x v="1"/>
    <n v="3.6"/>
    <n v="1"/>
    <n v="7.7"/>
    <x v="2"/>
    <n v="7"/>
    <n v="4"/>
    <n v="1"/>
    <n v="1"/>
    <n v="0"/>
    <n v="0"/>
    <n v="0"/>
    <x v="1"/>
    <x v="2"/>
    <x v="2"/>
  </r>
  <r>
    <n v="60"/>
    <n v="17"/>
    <x v="0"/>
    <x v="1"/>
    <n v="10.8"/>
    <n v="5.7"/>
    <x v="2"/>
    <x v="1"/>
    <n v="5"/>
    <n v="9"/>
    <n v="9.9"/>
    <x v="1"/>
    <n v="8"/>
    <n v="1"/>
    <n v="1"/>
    <n v="0"/>
    <n v="1"/>
    <n v="1"/>
    <n v="1"/>
    <x v="0"/>
    <x v="0"/>
    <x v="0"/>
  </r>
  <r>
    <n v="61"/>
    <n v="21"/>
    <x v="1"/>
    <x v="2"/>
    <n v="7.6"/>
    <n v="4.0999999999999996"/>
    <x v="1"/>
    <x v="0"/>
    <n v="5.2"/>
    <n v="8"/>
    <n v="7.6"/>
    <x v="1"/>
    <n v="10"/>
    <n v="3"/>
    <n v="0"/>
    <n v="1"/>
    <n v="0"/>
    <n v="0"/>
    <n v="1"/>
    <x v="0"/>
    <x v="0"/>
    <x v="1"/>
  </r>
  <r>
    <n v="62"/>
    <n v="57"/>
    <x v="0"/>
    <x v="2"/>
    <n v="4.3"/>
    <n v="4.4000000000000004"/>
    <x v="1"/>
    <x v="0"/>
    <n v="4.3"/>
    <n v="1"/>
    <n v="5.6"/>
    <x v="1"/>
    <n v="3"/>
    <n v="3"/>
    <n v="1"/>
    <n v="1"/>
    <n v="1"/>
    <n v="1"/>
    <n v="1"/>
    <x v="1"/>
    <x v="2"/>
    <x v="1"/>
  </r>
  <r>
    <n v="63"/>
    <n v="19"/>
    <x v="1"/>
    <x v="1"/>
    <n v="7"/>
    <n v="2.4"/>
    <x v="2"/>
    <x v="1"/>
    <n v="6.5"/>
    <n v="10"/>
    <n v="2.9"/>
    <x v="1"/>
    <n v="1"/>
    <n v="0"/>
    <n v="0"/>
    <n v="1"/>
    <n v="1"/>
    <n v="1"/>
    <n v="1"/>
    <x v="0"/>
    <x v="0"/>
    <x v="1"/>
  </r>
  <r>
    <n v="64"/>
    <n v="44"/>
    <x v="1"/>
    <x v="1"/>
    <n v="9.3000000000000007"/>
    <n v="5.4"/>
    <x v="1"/>
    <x v="0"/>
    <n v="5.7"/>
    <n v="9"/>
    <n v="9.3000000000000007"/>
    <x v="2"/>
    <n v="7"/>
    <n v="1"/>
    <n v="1"/>
    <n v="1"/>
    <n v="0"/>
    <n v="1"/>
    <n v="1"/>
    <x v="0"/>
    <x v="0"/>
    <x v="0"/>
  </r>
  <r>
    <n v="65"/>
    <n v="33"/>
    <x v="1"/>
    <x v="1"/>
    <n v="11.6"/>
    <n v="3.5"/>
    <x v="2"/>
    <x v="1"/>
    <n v="3.2"/>
    <n v="2"/>
    <n v="10.7"/>
    <x v="1"/>
    <n v="8"/>
    <n v="1"/>
    <n v="0"/>
    <n v="1"/>
    <n v="1"/>
    <n v="0"/>
    <n v="0"/>
    <x v="1"/>
    <x v="2"/>
    <x v="0"/>
  </r>
  <r>
    <n v="66"/>
    <n v="41"/>
    <x v="1"/>
    <x v="1"/>
    <n v="4.2"/>
    <n v="8"/>
    <x v="2"/>
    <x v="1"/>
    <n v="4.9000000000000004"/>
    <n v="3"/>
    <n v="11.7"/>
    <x v="0"/>
    <n v="2"/>
    <n v="4"/>
    <n v="1"/>
    <n v="1"/>
    <n v="0"/>
    <n v="1"/>
    <n v="1"/>
    <x v="1"/>
    <x v="2"/>
    <x v="1"/>
  </r>
  <r>
    <n v="67"/>
    <n v="59"/>
    <x v="0"/>
    <x v="0"/>
    <n v="10.9"/>
    <n v="4.4000000000000004"/>
    <x v="1"/>
    <x v="0"/>
    <n v="7.9"/>
    <n v="2"/>
    <n v="11.3"/>
    <x v="2"/>
    <n v="9"/>
    <n v="0"/>
    <n v="1"/>
    <n v="0"/>
    <n v="0"/>
    <n v="0"/>
    <n v="1"/>
    <x v="2"/>
    <x v="2"/>
    <x v="0"/>
  </r>
  <r>
    <n v="68"/>
    <n v="49"/>
    <x v="0"/>
    <x v="1"/>
    <n v="11.3"/>
    <n v="4.4000000000000004"/>
    <x v="1"/>
    <x v="0"/>
    <n v="7.1"/>
    <n v="8"/>
    <n v="10"/>
    <x v="1"/>
    <n v="4"/>
    <n v="2"/>
    <n v="0"/>
    <n v="1"/>
    <n v="1"/>
    <n v="1"/>
    <n v="1"/>
    <x v="2"/>
    <x v="0"/>
    <x v="0"/>
  </r>
  <r>
    <n v="69"/>
    <n v="25"/>
    <x v="0"/>
    <x v="0"/>
    <n v="11.2"/>
    <n v="5"/>
    <x v="1"/>
    <x v="0"/>
    <n v="7.3"/>
    <n v="2"/>
    <n v="8.4"/>
    <x v="0"/>
    <n v="10"/>
    <n v="3"/>
    <n v="1"/>
    <n v="1"/>
    <n v="1"/>
    <n v="1"/>
    <n v="0"/>
    <x v="2"/>
    <x v="2"/>
    <x v="0"/>
  </r>
  <r>
    <n v="70"/>
    <n v="51"/>
    <x v="0"/>
    <x v="2"/>
    <n v="8.4"/>
    <n v="7.4"/>
    <x v="2"/>
    <x v="1"/>
    <n v="7.2"/>
    <n v="10"/>
    <n v="9.8000000000000007"/>
    <x v="1"/>
    <n v="9"/>
    <n v="3"/>
    <n v="1"/>
    <n v="0"/>
    <n v="0"/>
    <n v="1"/>
    <n v="1"/>
    <x v="2"/>
    <x v="0"/>
    <x v="0"/>
  </r>
  <r>
    <n v="71"/>
    <n v="29"/>
    <x v="0"/>
    <x v="1"/>
    <n v="8.3000000000000007"/>
    <n v="6.6"/>
    <x v="2"/>
    <x v="1"/>
    <n v="4.9000000000000004"/>
    <n v="2"/>
    <n v="6.3"/>
    <x v="2"/>
    <n v="3"/>
    <n v="1"/>
    <n v="0"/>
    <n v="0"/>
    <n v="0"/>
    <n v="0"/>
    <n v="1"/>
    <x v="1"/>
    <x v="2"/>
    <x v="0"/>
  </r>
  <r>
    <n v="72"/>
    <n v="46"/>
    <x v="0"/>
    <x v="0"/>
    <n v="6"/>
    <n v="4.2"/>
    <x v="1"/>
    <x v="0"/>
    <n v="3.6"/>
    <n v="1"/>
    <n v="7.9"/>
    <x v="2"/>
    <n v="8"/>
    <n v="0"/>
    <n v="1"/>
    <n v="1"/>
    <n v="0"/>
    <n v="0"/>
    <n v="0"/>
    <x v="1"/>
    <x v="2"/>
    <x v="1"/>
  </r>
  <r>
    <n v="73"/>
    <n v="30"/>
    <x v="0"/>
    <x v="1"/>
    <n v="9.5"/>
    <n v="6"/>
    <x v="1"/>
    <x v="0"/>
    <n v="4.5999999999999996"/>
    <n v="7"/>
    <n v="5.5"/>
    <x v="0"/>
    <n v="2"/>
    <n v="2"/>
    <n v="1"/>
    <n v="1"/>
    <n v="1"/>
    <n v="1"/>
    <n v="0"/>
    <x v="1"/>
    <x v="1"/>
    <x v="0"/>
  </r>
  <r>
    <n v="74"/>
    <n v="23"/>
    <x v="1"/>
    <x v="2"/>
    <n v="7.3"/>
    <n v="5.0999999999999996"/>
    <x v="1"/>
    <x v="0"/>
    <n v="8"/>
    <n v="2"/>
    <n v="5.3"/>
    <x v="2"/>
    <n v="3"/>
    <n v="3"/>
    <n v="1"/>
    <n v="0"/>
    <n v="1"/>
    <n v="0"/>
    <n v="0"/>
    <x v="2"/>
    <x v="2"/>
    <x v="1"/>
  </r>
  <r>
    <n v="75"/>
    <n v="29"/>
    <x v="0"/>
    <x v="2"/>
    <n v="8.8000000000000007"/>
    <n v="4.4000000000000004"/>
    <x v="2"/>
    <x v="1"/>
    <n v="8.9"/>
    <n v="10"/>
    <n v="9.6"/>
    <x v="0"/>
    <n v="1"/>
    <n v="0"/>
    <n v="1"/>
    <n v="1"/>
    <n v="1"/>
    <n v="1"/>
    <n v="1"/>
    <x v="2"/>
    <x v="0"/>
    <x v="0"/>
  </r>
  <r>
    <n v="76"/>
    <n v="38"/>
    <x v="0"/>
    <x v="2"/>
    <n v="6.3"/>
    <n v="2.2999999999999998"/>
    <x v="2"/>
    <x v="1"/>
    <n v="6"/>
    <n v="5"/>
    <n v="6.5"/>
    <x v="1"/>
    <n v="5"/>
    <n v="2"/>
    <n v="0"/>
    <n v="1"/>
    <n v="1"/>
    <n v="1"/>
    <n v="1"/>
    <x v="0"/>
    <x v="1"/>
    <x v="1"/>
  </r>
  <r>
    <n v="77"/>
    <n v="55"/>
    <x v="1"/>
    <x v="1"/>
    <n v="9.3000000000000007"/>
    <n v="4.2"/>
    <x v="2"/>
    <x v="1"/>
    <n v="3.1"/>
    <n v="5"/>
    <n v="4.0999999999999996"/>
    <x v="2"/>
    <n v="4"/>
    <n v="1"/>
    <n v="0"/>
    <n v="0"/>
    <n v="1"/>
    <n v="1"/>
    <n v="1"/>
    <x v="1"/>
    <x v="1"/>
    <x v="0"/>
  </r>
  <r>
    <n v="78"/>
    <n v="36"/>
    <x v="0"/>
    <x v="1"/>
    <n v="10.199999999999999"/>
    <n v="2.7"/>
    <x v="1"/>
    <x v="0"/>
    <n v="3.8"/>
    <n v="3"/>
    <n v="4"/>
    <x v="1"/>
    <n v="1"/>
    <n v="4"/>
    <n v="1"/>
    <n v="1"/>
    <n v="1"/>
    <n v="0"/>
    <n v="0"/>
    <x v="1"/>
    <x v="2"/>
    <x v="0"/>
  </r>
  <r>
    <n v="79"/>
    <n v="31"/>
    <x v="0"/>
    <x v="0"/>
    <n v="3.5"/>
    <n v="7.4"/>
    <x v="1"/>
    <x v="0"/>
    <n v="4.9000000000000004"/>
    <n v="3"/>
    <n v="10.6"/>
    <x v="1"/>
    <n v="10"/>
    <n v="3"/>
    <n v="0"/>
    <n v="0"/>
    <n v="1"/>
    <n v="1"/>
    <n v="0"/>
    <x v="1"/>
    <x v="2"/>
    <x v="2"/>
  </r>
  <r>
    <n v="80"/>
    <n v="33"/>
    <x v="1"/>
    <x v="2"/>
    <n v="10.3"/>
    <n v="3.3"/>
    <x v="2"/>
    <x v="1"/>
    <n v="6.5"/>
    <n v="3"/>
    <n v="8.8000000000000007"/>
    <x v="2"/>
    <n v="9"/>
    <n v="3"/>
    <n v="1"/>
    <n v="1"/>
    <n v="0"/>
    <n v="1"/>
    <n v="1"/>
    <x v="0"/>
    <x v="2"/>
    <x v="0"/>
  </r>
  <r>
    <n v="81"/>
    <n v="39"/>
    <x v="0"/>
    <x v="1"/>
    <n v="7.4"/>
    <n v="7.7"/>
    <x v="1"/>
    <x v="0"/>
    <n v="3.5"/>
    <n v="6"/>
    <n v="7.5"/>
    <x v="1"/>
    <n v="6"/>
    <n v="2"/>
    <n v="0"/>
    <n v="1"/>
    <n v="0"/>
    <n v="0"/>
    <n v="0"/>
    <x v="1"/>
    <x v="1"/>
    <x v="1"/>
  </r>
  <r>
    <n v="82"/>
    <n v="41"/>
    <x v="0"/>
    <x v="2"/>
    <n v="10.4"/>
    <n v="4.7"/>
    <x v="1"/>
    <x v="0"/>
    <n v="8.6999999999999993"/>
    <n v="4"/>
    <n v="6"/>
    <x v="0"/>
    <n v="6"/>
    <n v="4"/>
    <n v="1"/>
    <n v="0"/>
    <n v="1"/>
    <n v="1"/>
    <n v="0"/>
    <x v="2"/>
    <x v="1"/>
    <x v="0"/>
  </r>
  <r>
    <n v="83"/>
    <n v="40"/>
    <x v="0"/>
    <x v="2"/>
    <n v="6.3"/>
    <n v="5.4"/>
    <x v="1"/>
    <x v="0"/>
    <n v="5.2"/>
    <n v="3"/>
    <n v="6.3"/>
    <x v="0"/>
    <n v="2"/>
    <n v="0"/>
    <n v="1"/>
    <n v="0"/>
    <n v="0"/>
    <n v="0"/>
    <n v="0"/>
    <x v="0"/>
    <x v="2"/>
    <x v="1"/>
  </r>
  <r>
    <n v="84"/>
    <n v="56"/>
    <x v="1"/>
    <x v="0"/>
    <n v="5.8"/>
    <n v="4.8"/>
    <x v="1"/>
    <x v="0"/>
    <n v="8.5"/>
    <n v="2"/>
    <n v="2.6"/>
    <x v="0"/>
    <n v="7"/>
    <n v="1"/>
    <n v="0"/>
    <n v="1"/>
    <n v="0"/>
    <n v="0"/>
    <n v="0"/>
    <x v="2"/>
    <x v="2"/>
    <x v="1"/>
  </r>
  <r>
    <n v="85"/>
    <n v="44"/>
    <x v="0"/>
    <x v="0"/>
    <n v="11.2"/>
    <n v="1.9"/>
    <x v="2"/>
    <x v="1"/>
    <n v="7.7"/>
    <n v="3"/>
    <n v="6.5"/>
    <x v="2"/>
    <n v="9"/>
    <n v="0"/>
    <n v="1"/>
    <n v="1"/>
    <n v="0"/>
    <n v="1"/>
    <n v="0"/>
    <x v="2"/>
    <x v="2"/>
    <x v="0"/>
  </r>
  <r>
    <n v="86"/>
    <n v="30"/>
    <x v="0"/>
    <x v="0"/>
    <n v="4.5"/>
    <n v="3.6"/>
    <x v="1"/>
    <x v="0"/>
    <n v="7.5"/>
    <n v="4"/>
    <n v="10"/>
    <x v="1"/>
    <n v="6"/>
    <n v="2"/>
    <n v="1"/>
    <n v="1"/>
    <n v="0"/>
    <n v="0"/>
    <n v="0"/>
    <x v="2"/>
    <x v="1"/>
    <x v="1"/>
  </r>
  <r>
    <n v="87"/>
    <n v="16"/>
    <x v="1"/>
    <x v="0"/>
    <n v="10.4"/>
    <n v="1.7"/>
    <x v="2"/>
    <x v="1"/>
    <n v="6.6"/>
    <n v="6"/>
    <n v="5.9"/>
    <x v="1"/>
    <n v="8"/>
    <n v="3"/>
    <n v="1"/>
    <n v="0"/>
    <n v="1"/>
    <n v="0"/>
    <n v="1"/>
    <x v="0"/>
    <x v="1"/>
    <x v="0"/>
  </r>
  <r>
    <n v="88"/>
    <n v="40"/>
    <x v="0"/>
    <x v="2"/>
    <n v="6.8"/>
    <n v="5.4"/>
    <x v="2"/>
    <x v="1"/>
    <n v="6.8"/>
    <n v="4"/>
    <n v="5.8"/>
    <x v="1"/>
    <n v="5"/>
    <n v="3"/>
    <n v="1"/>
    <n v="0"/>
    <n v="1"/>
    <n v="1"/>
    <n v="1"/>
    <x v="0"/>
    <x v="1"/>
    <x v="1"/>
  </r>
  <r>
    <n v="89"/>
    <n v="22"/>
    <x v="1"/>
    <x v="0"/>
    <n v="7.1"/>
    <n v="4.0999999999999996"/>
    <x v="1"/>
    <x v="0"/>
    <n v="6.8"/>
    <n v="8"/>
    <n v="2.2000000000000002"/>
    <x v="1"/>
    <n v="2"/>
    <n v="0"/>
    <n v="0"/>
    <n v="0"/>
    <n v="1"/>
    <n v="1"/>
    <n v="1"/>
    <x v="0"/>
    <x v="0"/>
    <x v="1"/>
  </r>
  <r>
    <n v="90"/>
    <n v="24"/>
    <x v="1"/>
    <x v="0"/>
    <n v="5.0999999999999996"/>
    <n v="6.4"/>
    <x v="2"/>
    <x v="1"/>
    <n v="6.8"/>
    <n v="3"/>
    <n v="6.6"/>
    <x v="0"/>
    <n v="4"/>
    <n v="1"/>
    <n v="0"/>
    <n v="0"/>
    <n v="1"/>
    <n v="0"/>
    <n v="1"/>
    <x v="0"/>
    <x v="2"/>
    <x v="1"/>
  </r>
  <r>
    <n v="91"/>
    <n v="39"/>
    <x v="0"/>
    <x v="0"/>
    <n v="7.7"/>
    <n v="2.5"/>
    <x v="2"/>
    <x v="1"/>
    <n v="6.3"/>
    <n v="3"/>
    <n v="2.2999999999999998"/>
    <x v="2"/>
    <n v="1"/>
    <n v="2"/>
    <n v="0"/>
    <n v="0"/>
    <n v="0"/>
    <n v="0"/>
    <n v="1"/>
    <x v="0"/>
    <x v="2"/>
    <x v="1"/>
  </r>
  <r>
    <n v="92"/>
    <n v="16"/>
    <x v="1"/>
    <x v="0"/>
    <n v="5.3"/>
    <n v="2.2000000000000002"/>
    <x v="1"/>
    <x v="0"/>
    <n v="8.9"/>
    <n v="3"/>
    <n v="7.7"/>
    <x v="0"/>
    <n v="1"/>
    <n v="1"/>
    <n v="0"/>
    <n v="0"/>
    <n v="0"/>
    <n v="1"/>
    <n v="0"/>
    <x v="2"/>
    <x v="2"/>
    <x v="1"/>
  </r>
  <r>
    <n v="93"/>
    <n v="59"/>
    <x v="1"/>
    <x v="2"/>
    <n v="2.4"/>
    <n v="3.8"/>
    <x v="2"/>
    <x v="1"/>
    <n v="7.4"/>
    <n v="8"/>
    <n v="7.1"/>
    <x v="0"/>
    <n v="6"/>
    <n v="2"/>
    <n v="1"/>
    <n v="1"/>
    <n v="1"/>
    <n v="1"/>
    <n v="1"/>
    <x v="2"/>
    <x v="0"/>
    <x v="2"/>
  </r>
  <r>
    <n v="94"/>
    <n v="23"/>
    <x v="0"/>
    <x v="0"/>
    <n v="4.7"/>
    <n v="7.5"/>
    <x v="2"/>
    <x v="1"/>
    <n v="7.7"/>
    <n v="4"/>
    <n v="10.4"/>
    <x v="2"/>
    <n v="2"/>
    <n v="1"/>
    <n v="1"/>
    <n v="0"/>
    <n v="0"/>
    <n v="0"/>
    <n v="1"/>
    <x v="2"/>
    <x v="1"/>
    <x v="1"/>
  </r>
  <r>
    <n v="95"/>
    <n v="39"/>
    <x v="1"/>
    <x v="2"/>
    <n v="2.1"/>
    <n v="6"/>
    <x v="2"/>
    <x v="1"/>
    <n v="8.1999999999999993"/>
    <n v="1"/>
    <n v="7.8"/>
    <x v="2"/>
    <n v="6"/>
    <n v="0"/>
    <n v="1"/>
    <n v="0"/>
    <n v="0"/>
    <n v="0"/>
    <n v="0"/>
    <x v="2"/>
    <x v="2"/>
    <x v="2"/>
  </r>
  <r>
    <n v="96"/>
    <n v="26"/>
    <x v="1"/>
    <x v="1"/>
    <n v="11.8"/>
    <n v="3.9"/>
    <x v="2"/>
    <x v="1"/>
    <n v="4.3"/>
    <n v="2"/>
    <n v="5.2"/>
    <x v="0"/>
    <n v="1"/>
    <n v="4"/>
    <n v="1"/>
    <n v="0"/>
    <n v="1"/>
    <n v="1"/>
    <n v="0"/>
    <x v="1"/>
    <x v="2"/>
    <x v="0"/>
  </r>
  <r>
    <n v="97"/>
    <n v="32"/>
    <x v="0"/>
    <x v="2"/>
    <n v="11.7"/>
    <n v="4.5999999999999996"/>
    <x v="2"/>
    <x v="1"/>
    <n v="3.5"/>
    <n v="10"/>
    <n v="7.2"/>
    <x v="1"/>
    <n v="10"/>
    <n v="2"/>
    <n v="0"/>
    <n v="0"/>
    <n v="0"/>
    <n v="0"/>
    <n v="1"/>
    <x v="1"/>
    <x v="0"/>
    <x v="0"/>
  </r>
  <r>
    <n v="98"/>
    <n v="23"/>
    <x v="0"/>
    <x v="2"/>
    <n v="6"/>
    <n v="1.6"/>
    <x v="2"/>
    <x v="1"/>
    <n v="5.9"/>
    <n v="2"/>
    <n v="9"/>
    <x v="2"/>
    <n v="3"/>
    <n v="0"/>
    <n v="0"/>
    <n v="1"/>
    <n v="1"/>
    <n v="0"/>
    <n v="0"/>
    <x v="0"/>
    <x v="2"/>
    <x v="1"/>
  </r>
  <r>
    <n v="99"/>
    <n v="50"/>
    <x v="0"/>
    <x v="0"/>
    <n v="9.3000000000000007"/>
    <n v="7.9"/>
    <x v="2"/>
    <x v="1"/>
    <n v="6.1"/>
    <n v="3"/>
    <n v="2.9"/>
    <x v="2"/>
    <n v="9"/>
    <n v="3"/>
    <n v="0"/>
    <n v="0"/>
    <n v="0"/>
    <n v="0"/>
    <n v="0"/>
    <x v="0"/>
    <x v="2"/>
    <x v="0"/>
  </r>
  <r>
    <n v="100"/>
    <n v="50"/>
    <x v="1"/>
    <x v="1"/>
    <n v="5.5"/>
    <n v="5.7"/>
    <x v="2"/>
    <x v="1"/>
    <n v="8"/>
    <n v="6"/>
    <n v="8.1999999999999993"/>
    <x v="0"/>
    <n v="2"/>
    <n v="3"/>
    <n v="1"/>
    <n v="1"/>
    <n v="1"/>
    <n v="0"/>
    <n v="1"/>
    <x v="2"/>
    <x v="1"/>
    <x v="1"/>
  </r>
  <r>
    <n v="101"/>
    <n v="48"/>
    <x v="0"/>
    <x v="1"/>
    <n v="8.6999999999999993"/>
    <n v="3"/>
    <x v="1"/>
    <x v="0"/>
    <n v="5.7"/>
    <n v="8"/>
    <n v="11.2"/>
    <x v="1"/>
    <n v="8"/>
    <n v="1"/>
    <n v="1"/>
    <n v="0"/>
    <n v="1"/>
    <n v="1"/>
    <n v="0"/>
    <x v="0"/>
    <x v="0"/>
    <x v="0"/>
  </r>
  <r>
    <n v="102"/>
    <n v="20"/>
    <x v="1"/>
    <x v="1"/>
    <n v="10.1"/>
    <n v="5.0999999999999996"/>
    <x v="1"/>
    <x v="0"/>
    <n v="6.4"/>
    <n v="1"/>
    <n v="5"/>
    <x v="2"/>
    <n v="6"/>
    <n v="3"/>
    <n v="1"/>
    <n v="1"/>
    <n v="0"/>
    <n v="0"/>
    <n v="0"/>
    <x v="0"/>
    <x v="2"/>
    <x v="0"/>
  </r>
  <r>
    <n v="103"/>
    <n v="57"/>
    <x v="1"/>
    <x v="1"/>
    <n v="11.5"/>
    <n v="1.8"/>
    <x v="1"/>
    <x v="0"/>
    <n v="6.2"/>
    <n v="9"/>
    <n v="8.3000000000000007"/>
    <x v="0"/>
    <n v="6"/>
    <n v="4"/>
    <n v="1"/>
    <n v="0"/>
    <n v="0"/>
    <n v="1"/>
    <n v="1"/>
    <x v="0"/>
    <x v="0"/>
    <x v="0"/>
  </r>
  <r>
    <n v="104"/>
    <n v="54"/>
    <x v="1"/>
    <x v="2"/>
    <n v="6"/>
    <n v="7.8"/>
    <x v="2"/>
    <x v="1"/>
    <n v="3.2"/>
    <n v="1"/>
    <n v="10.199999999999999"/>
    <x v="2"/>
    <n v="7"/>
    <n v="2"/>
    <n v="0"/>
    <n v="0"/>
    <n v="1"/>
    <n v="1"/>
    <n v="1"/>
    <x v="1"/>
    <x v="2"/>
    <x v="1"/>
  </r>
  <r>
    <n v="105"/>
    <n v="56"/>
    <x v="1"/>
    <x v="1"/>
    <n v="9.8000000000000007"/>
    <n v="2.2000000000000002"/>
    <x v="2"/>
    <x v="1"/>
    <n v="6.7"/>
    <n v="10"/>
    <n v="7.1"/>
    <x v="1"/>
    <n v="5"/>
    <n v="1"/>
    <n v="0"/>
    <n v="0"/>
    <n v="0"/>
    <n v="1"/>
    <n v="1"/>
    <x v="0"/>
    <x v="0"/>
    <x v="0"/>
  </r>
  <r>
    <n v="106"/>
    <n v="43"/>
    <x v="1"/>
    <x v="2"/>
    <n v="4.7"/>
    <n v="5.5"/>
    <x v="2"/>
    <x v="1"/>
    <n v="8"/>
    <n v="2"/>
    <n v="9.1999999999999993"/>
    <x v="0"/>
    <n v="4"/>
    <n v="2"/>
    <n v="0"/>
    <n v="0"/>
    <n v="0"/>
    <n v="0"/>
    <n v="0"/>
    <x v="2"/>
    <x v="2"/>
    <x v="1"/>
  </r>
  <r>
    <n v="107"/>
    <n v="22"/>
    <x v="1"/>
    <x v="2"/>
    <n v="11.9"/>
    <n v="2.7"/>
    <x v="1"/>
    <x v="0"/>
    <n v="3.9"/>
    <n v="3"/>
    <n v="5.0999999999999996"/>
    <x v="0"/>
    <n v="6"/>
    <n v="2"/>
    <n v="1"/>
    <n v="1"/>
    <n v="1"/>
    <n v="0"/>
    <n v="0"/>
    <x v="1"/>
    <x v="2"/>
    <x v="0"/>
  </r>
  <r>
    <n v="108"/>
    <n v="24"/>
    <x v="1"/>
    <x v="2"/>
    <n v="2.2999999999999998"/>
    <n v="6"/>
    <x v="1"/>
    <x v="0"/>
    <n v="6.6"/>
    <n v="7"/>
    <n v="5.0999999999999996"/>
    <x v="1"/>
    <n v="8"/>
    <n v="0"/>
    <n v="0"/>
    <n v="1"/>
    <n v="0"/>
    <n v="0"/>
    <n v="1"/>
    <x v="0"/>
    <x v="1"/>
    <x v="2"/>
  </r>
  <r>
    <n v="109"/>
    <n v="23"/>
    <x v="0"/>
    <x v="1"/>
    <n v="8"/>
    <n v="6.4"/>
    <x v="1"/>
    <x v="0"/>
    <n v="6.6"/>
    <n v="9"/>
    <n v="8.6999999999999993"/>
    <x v="0"/>
    <n v="4"/>
    <n v="3"/>
    <n v="1"/>
    <n v="0"/>
    <n v="1"/>
    <n v="0"/>
    <n v="0"/>
    <x v="0"/>
    <x v="0"/>
    <x v="1"/>
  </r>
  <r>
    <n v="110"/>
    <n v="27"/>
    <x v="0"/>
    <x v="0"/>
    <n v="8.6"/>
    <n v="5.7"/>
    <x v="2"/>
    <x v="1"/>
    <n v="4"/>
    <n v="3"/>
    <n v="9.1"/>
    <x v="1"/>
    <n v="5"/>
    <n v="2"/>
    <n v="0"/>
    <n v="0"/>
    <n v="1"/>
    <n v="1"/>
    <n v="0"/>
    <x v="1"/>
    <x v="2"/>
    <x v="0"/>
  </r>
  <r>
    <n v="111"/>
    <n v="49"/>
    <x v="1"/>
    <x v="0"/>
    <n v="8.9"/>
    <n v="5.3"/>
    <x v="1"/>
    <x v="0"/>
    <n v="3.7"/>
    <n v="8"/>
    <n v="11.4"/>
    <x v="0"/>
    <n v="7"/>
    <n v="4"/>
    <n v="0"/>
    <n v="1"/>
    <n v="0"/>
    <n v="0"/>
    <n v="1"/>
    <x v="1"/>
    <x v="0"/>
    <x v="0"/>
  </r>
  <r>
    <n v="112"/>
    <n v="48"/>
    <x v="1"/>
    <x v="1"/>
    <n v="3.2"/>
    <n v="7.2"/>
    <x v="1"/>
    <x v="0"/>
    <n v="8.9"/>
    <n v="9"/>
    <n v="4.2"/>
    <x v="1"/>
    <n v="6"/>
    <n v="4"/>
    <n v="1"/>
    <n v="1"/>
    <n v="0"/>
    <n v="1"/>
    <n v="0"/>
    <x v="2"/>
    <x v="0"/>
    <x v="2"/>
  </r>
  <r>
    <n v="113"/>
    <n v="38"/>
    <x v="0"/>
    <x v="0"/>
    <n v="11.4"/>
    <n v="1.6"/>
    <x v="2"/>
    <x v="1"/>
    <n v="5.4"/>
    <n v="10"/>
    <n v="6.7"/>
    <x v="2"/>
    <n v="4"/>
    <n v="3"/>
    <n v="1"/>
    <n v="1"/>
    <n v="1"/>
    <n v="1"/>
    <n v="1"/>
    <x v="0"/>
    <x v="0"/>
    <x v="0"/>
  </r>
  <r>
    <n v="114"/>
    <n v="39"/>
    <x v="1"/>
    <x v="0"/>
    <n v="3.8"/>
    <n v="3.3"/>
    <x v="1"/>
    <x v="0"/>
    <n v="4.4000000000000004"/>
    <n v="7"/>
    <n v="4.5"/>
    <x v="2"/>
    <n v="4"/>
    <n v="3"/>
    <n v="1"/>
    <n v="0"/>
    <n v="0"/>
    <n v="1"/>
    <n v="0"/>
    <x v="1"/>
    <x v="1"/>
    <x v="2"/>
  </r>
  <r>
    <n v="115"/>
    <n v="52"/>
    <x v="0"/>
    <x v="2"/>
    <n v="8.1999999999999993"/>
    <n v="2.7"/>
    <x v="2"/>
    <x v="1"/>
    <n v="4"/>
    <n v="4"/>
    <n v="2.8"/>
    <x v="2"/>
    <n v="10"/>
    <n v="1"/>
    <n v="0"/>
    <n v="1"/>
    <n v="1"/>
    <n v="0"/>
    <n v="1"/>
    <x v="1"/>
    <x v="1"/>
    <x v="0"/>
  </r>
  <r>
    <n v="116"/>
    <n v="50"/>
    <x v="0"/>
    <x v="2"/>
    <n v="4.2"/>
    <n v="7.9"/>
    <x v="1"/>
    <x v="0"/>
    <n v="7"/>
    <n v="4"/>
    <n v="6"/>
    <x v="0"/>
    <n v="4"/>
    <n v="1"/>
    <n v="0"/>
    <n v="0"/>
    <n v="1"/>
    <n v="1"/>
    <n v="0"/>
    <x v="2"/>
    <x v="1"/>
    <x v="1"/>
  </r>
  <r>
    <n v="117"/>
    <n v="59"/>
    <x v="0"/>
    <x v="1"/>
    <n v="5.0999999999999996"/>
    <n v="3.7"/>
    <x v="2"/>
    <x v="1"/>
    <n v="6.7"/>
    <n v="4"/>
    <n v="5.7"/>
    <x v="1"/>
    <n v="1"/>
    <n v="1"/>
    <n v="0"/>
    <n v="0"/>
    <n v="0"/>
    <n v="1"/>
    <n v="0"/>
    <x v="0"/>
    <x v="1"/>
    <x v="1"/>
  </r>
  <r>
    <n v="118"/>
    <n v="55"/>
    <x v="1"/>
    <x v="1"/>
    <n v="7.5"/>
    <n v="6.1"/>
    <x v="2"/>
    <x v="1"/>
    <n v="6.9"/>
    <n v="6"/>
    <n v="4.7"/>
    <x v="1"/>
    <n v="5"/>
    <n v="3"/>
    <n v="0"/>
    <n v="1"/>
    <n v="0"/>
    <n v="1"/>
    <n v="1"/>
    <x v="0"/>
    <x v="1"/>
    <x v="1"/>
  </r>
  <r>
    <n v="119"/>
    <n v="37"/>
    <x v="1"/>
    <x v="0"/>
    <n v="6.2"/>
    <n v="5.8"/>
    <x v="2"/>
    <x v="1"/>
    <n v="3.5"/>
    <n v="4"/>
    <n v="5"/>
    <x v="2"/>
    <n v="8"/>
    <n v="2"/>
    <n v="1"/>
    <n v="0"/>
    <n v="1"/>
    <n v="1"/>
    <n v="1"/>
    <x v="1"/>
    <x v="1"/>
    <x v="1"/>
  </r>
  <r>
    <n v="120"/>
    <n v="42"/>
    <x v="0"/>
    <x v="2"/>
    <n v="3.6"/>
    <n v="2.5"/>
    <x v="2"/>
    <x v="1"/>
    <n v="8.4"/>
    <n v="5"/>
    <n v="5.6"/>
    <x v="2"/>
    <n v="7"/>
    <n v="0"/>
    <n v="0"/>
    <n v="0"/>
    <n v="0"/>
    <n v="0"/>
    <n v="1"/>
    <x v="2"/>
    <x v="1"/>
    <x v="2"/>
  </r>
  <r>
    <n v="121"/>
    <n v="50"/>
    <x v="0"/>
    <x v="1"/>
    <n v="3.7"/>
    <n v="2.7"/>
    <x v="2"/>
    <x v="1"/>
    <n v="5.3"/>
    <n v="9"/>
    <n v="11.9"/>
    <x v="2"/>
    <n v="5"/>
    <n v="1"/>
    <n v="1"/>
    <n v="1"/>
    <n v="0"/>
    <n v="0"/>
    <n v="1"/>
    <x v="0"/>
    <x v="0"/>
    <x v="2"/>
  </r>
  <r>
    <n v="122"/>
    <n v="16"/>
    <x v="0"/>
    <x v="1"/>
    <n v="6.2"/>
    <n v="3"/>
    <x v="1"/>
    <x v="0"/>
    <n v="4.9000000000000004"/>
    <n v="7"/>
    <n v="9.8000000000000007"/>
    <x v="1"/>
    <n v="3"/>
    <n v="0"/>
    <n v="0"/>
    <n v="0"/>
    <n v="1"/>
    <n v="0"/>
    <n v="0"/>
    <x v="1"/>
    <x v="1"/>
    <x v="1"/>
  </r>
  <r>
    <n v="123"/>
    <n v="50"/>
    <x v="0"/>
    <x v="1"/>
    <n v="9.6"/>
    <n v="3.9"/>
    <x v="2"/>
    <x v="1"/>
    <n v="5.8"/>
    <n v="8"/>
    <n v="2.7"/>
    <x v="2"/>
    <n v="1"/>
    <n v="4"/>
    <n v="1"/>
    <n v="1"/>
    <n v="1"/>
    <n v="1"/>
    <n v="1"/>
    <x v="0"/>
    <x v="0"/>
    <x v="0"/>
  </r>
  <r>
    <n v="124"/>
    <n v="52"/>
    <x v="0"/>
    <x v="1"/>
    <n v="11"/>
    <n v="2.6"/>
    <x v="2"/>
    <x v="1"/>
    <n v="5.3"/>
    <n v="5"/>
    <n v="10.7"/>
    <x v="0"/>
    <n v="7"/>
    <n v="3"/>
    <n v="1"/>
    <n v="1"/>
    <n v="0"/>
    <n v="0"/>
    <n v="1"/>
    <x v="0"/>
    <x v="1"/>
    <x v="0"/>
  </r>
  <r>
    <n v="125"/>
    <n v="29"/>
    <x v="1"/>
    <x v="1"/>
    <n v="2.8"/>
    <n v="1.1000000000000001"/>
    <x v="2"/>
    <x v="1"/>
    <n v="8.1999999999999993"/>
    <n v="5"/>
    <n v="8.3000000000000007"/>
    <x v="2"/>
    <n v="3"/>
    <n v="4"/>
    <n v="0"/>
    <n v="1"/>
    <n v="0"/>
    <n v="0"/>
    <n v="0"/>
    <x v="2"/>
    <x v="1"/>
    <x v="2"/>
  </r>
  <r>
    <n v="126"/>
    <n v="18"/>
    <x v="0"/>
    <x v="1"/>
    <n v="5.9"/>
    <n v="7.2"/>
    <x v="2"/>
    <x v="1"/>
    <n v="8.6"/>
    <n v="7"/>
    <n v="10.9"/>
    <x v="2"/>
    <n v="4"/>
    <n v="1"/>
    <n v="0"/>
    <n v="0"/>
    <n v="0"/>
    <n v="0"/>
    <n v="1"/>
    <x v="2"/>
    <x v="1"/>
    <x v="1"/>
  </r>
  <r>
    <n v="127"/>
    <n v="16"/>
    <x v="1"/>
    <x v="0"/>
    <n v="3"/>
    <n v="7.8"/>
    <x v="1"/>
    <x v="0"/>
    <n v="4.8"/>
    <n v="8"/>
    <n v="5.4"/>
    <x v="1"/>
    <n v="5"/>
    <n v="2"/>
    <n v="1"/>
    <n v="1"/>
    <n v="0"/>
    <n v="1"/>
    <n v="0"/>
    <x v="1"/>
    <x v="0"/>
    <x v="2"/>
  </r>
  <r>
    <n v="128"/>
    <n v="20"/>
    <x v="0"/>
    <x v="2"/>
    <n v="2.2000000000000002"/>
    <n v="3.4"/>
    <x v="2"/>
    <x v="1"/>
    <n v="8.1999999999999993"/>
    <n v="9"/>
    <n v="6.6"/>
    <x v="0"/>
    <n v="8"/>
    <n v="1"/>
    <n v="0"/>
    <n v="1"/>
    <n v="1"/>
    <n v="1"/>
    <n v="1"/>
    <x v="2"/>
    <x v="0"/>
    <x v="2"/>
  </r>
  <r>
    <n v="129"/>
    <n v="41"/>
    <x v="1"/>
    <x v="2"/>
    <n v="8.6"/>
    <n v="3.4"/>
    <x v="1"/>
    <x v="0"/>
    <n v="7.7"/>
    <n v="2"/>
    <n v="11"/>
    <x v="1"/>
    <n v="7"/>
    <n v="0"/>
    <n v="1"/>
    <n v="0"/>
    <n v="0"/>
    <n v="0"/>
    <n v="1"/>
    <x v="2"/>
    <x v="2"/>
    <x v="0"/>
  </r>
  <r>
    <n v="130"/>
    <n v="29"/>
    <x v="1"/>
    <x v="1"/>
    <n v="8"/>
    <n v="1"/>
    <x v="2"/>
    <x v="1"/>
    <n v="8.6"/>
    <n v="3"/>
    <n v="4.7"/>
    <x v="0"/>
    <n v="9"/>
    <n v="1"/>
    <n v="0"/>
    <n v="0"/>
    <n v="1"/>
    <n v="1"/>
    <n v="1"/>
    <x v="2"/>
    <x v="2"/>
    <x v="1"/>
  </r>
  <r>
    <n v="131"/>
    <n v="54"/>
    <x v="1"/>
    <x v="2"/>
    <n v="3.6"/>
    <n v="5.8"/>
    <x v="2"/>
    <x v="1"/>
    <n v="4.5"/>
    <n v="2"/>
    <n v="11.2"/>
    <x v="0"/>
    <n v="3"/>
    <n v="2"/>
    <n v="0"/>
    <n v="1"/>
    <n v="0"/>
    <n v="0"/>
    <n v="0"/>
    <x v="1"/>
    <x v="2"/>
    <x v="2"/>
  </r>
  <r>
    <n v="132"/>
    <n v="42"/>
    <x v="1"/>
    <x v="2"/>
    <n v="4.3"/>
    <n v="6.8"/>
    <x v="1"/>
    <x v="0"/>
    <n v="6.5"/>
    <n v="10"/>
    <n v="10.3"/>
    <x v="2"/>
    <n v="10"/>
    <n v="2"/>
    <n v="0"/>
    <n v="0"/>
    <n v="1"/>
    <n v="0"/>
    <n v="1"/>
    <x v="0"/>
    <x v="0"/>
    <x v="1"/>
  </r>
  <r>
    <n v="133"/>
    <n v="24"/>
    <x v="1"/>
    <x v="2"/>
    <n v="2.2000000000000002"/>
    <n v="2"/>
    <x v="1"/>
    <x v="0"/>
    <n v="4.5999999999999996"/>
    <n v="7"/>
    <n v="11.8"/>
    <x v="2"/>
    <n v="1"/>
    <n v="3"/>
    <n v="0"/>
    <n v="0"/>
    <n v="0"/>
    <n v="0"/>
    <n v="1"/>
    <x v="1"/>
    <x v="1"/>
    <x v="2"/>
  </r>
  <r>
    <n v="134"/>
    <n v="30"/>
    <x v="1"/>
    <x v="1"/>
    <n v="10.3"/>
    <n v="2.1"/>
    <x v="1"/>
    <x v="0"/>
    <n v="7.9"/>
    <n v="2"/>
    <n v="5.2"/>
    <x v="1"/>
    <n v="1"/>
    <n v="3"/>
    <n v="0"/>
    <n v="0"/>
    <n v="0"/>
    <n v="1"/>
    <n v="0"/>
    <x v="2"/>
    <x v="2"/>
    <x v="0"/>
  </r>
  <r>
    <n v="135"/>
    <n v="30"/>
    <x v="0"/>
    <x v="1"/>
    <n v="11.7"/>
    <n v="6.5"/>
    <x v="2"/>
    <x v="1"/>
    <n v="3"/>
    <n v="2"/>
    <n v="4.4000000000000004"/>
    <x v="1"/>
    <n v="10"/>
    <n v="2"/>
    <n v="1"/>
    <n v="0"/>
    <n v="1"/>
    <n v="1"/>
    <n v="0"/>
    <x v="1"/>
    <x v="2"/>
    <x v="0"/>
  </r>
  <r>
    <n v="136"/>
    <n v="41"/>
    <x v="1"/>
    <x v="2"/>
    <n v="3.4"/>
    <n v="5.3"/>
    <x v="1"/>
    <x v="0"/>
    <n v="6.4"/>
    <n v="2"/>
    <n v="5.3"/>
    <x v="1"/>
    <n v="1"/>
    <n v="2"/>
    <n v="0"/>
    <n v="0"/>
    <n v="0"/>
    <n v="0"/>
    <n v="0"/>
    <x v="0"/>
    <x v="2"/>
    <x v="2"/>
  </r>
  <r>
    <n v="137"/>
    <n v="57"/>
    <x v="0"/>
    <x v="2"/>
    <n v="4.3"/>
    <n v="1.3"/>
    <x v="2"/>
    <x v="1"/>
    <n v="5"/>
    <n v="4"/>
    <n v="11.5"/>
    <x v="0"/>
    <n v="2"/>
    <n v="0"/>
    <n v="1"/>
    <n v="1"/>
    <n v="1"/>
    <n v="1"/>
    <n v="0"/>
    <x v="0"/>
    <x v="1"/>
    <x v="1"/>
  </r>
  <r>
    <n v="138"/>
    <n v="28"/>
    <x v="1"/>
    <x v="1"/>
    <n v="10.7"/>
    <n v="5.4"/>
    <x v="1"/>
    <x v="0"/>
    <n v="4.9000000000000004"/>
    <n v="1"/>
    <n v="5.3"/>
    <x v="1"/>
    <n v="2"/>
    <n v="1"/>
    <n v="1"/>
    <n v="1"/>
    <n v="1"/>
    <n v="1"/>
    <n v="1"/>
    <x v="1"/>
    <x v="2"/>
    <x v="0"/>
  </r>
  <r>
    <n v="139"/>
    <n v="47"/>
    <x v="1"/>
    <x v="0"/>
    <n v="11.3"/>
    <n v="3.2"/>
    <x v="1"/>
    <x v="0"/>
    <n v="6.9"/>
    <n v="2"/>
    <n v="7.7"/>
    <x v="0"/>
    <n v="7"/>
    <n v="3"/>
    <n v="1"/>
    <n v="1"/>
    <n v="1"/>
    <n v="0"/>
    <n v="1"/>
    <x v="0"/>
    <x v="2"/>
    <x v="0"/>
  </r>
  <r>
    <n v="140"/>
    <n v="54"/>
    <x v="0"/>
    <x v="2"/>
    <n v="6.2"/>
    <n v="3.6"/>
    <x v="2"/>
    <x v="1"/>
    <n v="8.1"/>
    <n v="3"/>
    <n v="6"/>
    <x v="0"/>
    <n v="9"/>
    <n v="0"/>
    <n v="0"/>
    <n v="0"/>
    <n v="0"/>
    <n v="0"/>
    <n v="0"/>
    <x v="2"/>
    <x v="2"/>
    <x v="1"/>
  </r>
  <r>
    <n v="141"/>
    <n v="47"/>
    <x v="1"/>
    <x v="0"/>
    <n v="2.5"/>
    <n v="6.4"/>
    <x v="1"/>
    <x v="0"/>
    <n v="6.7"/>
    <n v="7"/>
    <n v="6"/>
    <x v="0"/>
    <n v="8"/>
    <n v="1"/>
    <n v="1"/>
    <n v="0"/>
    <n v="0"/>
    <n v="0"/>
    <n v="1"/>
    <x v="0"/>
    <x v="1"/>
    <x v="2"/>
  </r>
  <r>
    <n v="142"/>
    <n v="19"/>
    <x v="0"/>
    <x v="2"/>
    <n v="2.4"/>
    <n v="6.7"/>
    <x v="1"/>
    <x v="0"/>
    <n v="8.1"/>
    <n v="10"/>
    <n v="3.9"/>
    <x v="0"/>
    <n v="4"/>
    <n v="3"/>
    <n v="1"/>
    <n v="1"/>
    <n v="1"/>
    <n v="0"/>
    <n v="0"/>
    <x v="2"/>
    <x v="0"/>
    <x v="2"/>
  </r>
  <r>
    <n v="143"/>
    <n v="45"/>
    <x v="0"/>
    <x v="0"/>
    <n v="7.7"/>
    <n v="3.8"/>
    <x v="2"/>
    <x v="1"/>
    <n v="4.5999999999999996"/>
    <n v="1"/>
    <n v="7.4"/>
    <x v="0"/>
    <n v="2"/>
    <n v="0"/>
    <n v="1"/>
    <n v="1"/>
    <n v="1"/>
    <n v="0"/>
    <n v="1"/>
    <x v="1"/>
    <x v="2"/>
    <x v="1"/>
  </r>
  <r>
    <n v="144"/>
    <n v="52"/>
    <x v="0"/>
    <x v="0"/>
    <n v="5.9"/>
    <n v="7.6"/>
    <x v="2"/>
    <x v="1"/>
    <n v="6.1"/>
    <n v="6"/>
    <n v="10.5"/>
    <x v="2"/>
    <n v="3"/>
    <n v="4"/>
    <n v="1"/>
    <n v="1"/>
    <n v="0"/>
    <n v="1"/>
    <n v="0"/>
    <x v="0"/>
    <x v="1"/>
    <x v="1"/>
  </r>
  <r>
    <n v="145"/>
    <n v="38"/>
    <x v="0"/>
    <x v="0"/>
    <n v="2.2999999999999998"/>
    <n v="3.8"/>
    <x v="2"/>
    <x v="1"/>
    <n v="5.7"/>
    <n v="3"/>
    <n v="2.5"/>
    <x v="0"/>
    <n v="10"/>
    <n v="4"/>
    <n v="1"/>
    <n v="0"/>
    <n v="1"/>
    <n v="1"/>
    <n v="1"/>
    <x v="0"/>
    <x v="2"/>
    <x v="2"/>
  </r>
  <r>
    <n v="146"/>
    <n v="54"/>
    <x v="1"/>
    <x v="1"/>
    <n v="7.8"/>
    <n v="6.4"/>
    <x v="1"/>
    <x v="0"/>
    <n v="3.1"/>
    <n v="3"/>
    <n v="10.9"/>
    <x v="0"/>
    <n v="5"/>
    <n v="3"/>
    <n v="1"/>
    <n v="1"/>
    <n v="0"/>
    <n v="1"/>
    <n v="0"/>
    <x v="1"/>
    <x v="2"/>
    <x v="1"/>
  </r>
  <r>
    <n v="147"/>
    <n v="30"/>
    <x v="1"/>
    <x v="0"/>
    <n v="2.1"/>
    <n v="4.4000000000000004"/>
    <x v="1"/>
    <x v="0"/>
    <n v="6.3"/>
    <n v="4"/>
    <n v="8.6999999999999993"/>
    <x v="2"/>
    <n v="9"/>
    <n v="0"/>
    <n v="0"/>
    <n v="0"/>
    <n v="0"/>
    <n v="1"/>
    <n v="1"/>
    <x v="0"/>
    <x v="1"/>
    <x v="2"/>
  </r>
  <r>
    <n v="148"/>
    <n v="58"/>
    <x v="0"/>
    <x v="0"/>
    <n v="9.9"/>
    <n v="7.3"/>
    <x v="1"/>
    <x v="0"/>
    <n v="7"/>
    <n v="4"/>
    <n v="8.1999999999999993"/>
    <x v="2"/>
    <n v="8"/>
    <n v="1"/>
    <n v="1"/>
    <n v="1"/>
    <n v="0"/>
    <n v="0"/>
    <n v="0"/>
    <x v="2"/>
    <x v="1"/>
    <x v="0"/>
  </r>
  <r>
    <n v="149"/>
    <n v="44"/>
    <x v="1"/>
    <x v="0"/>
    <n v="5.0999999999999996"/>
    <n v="7.4"/>
    <x v="1"/>
    <x v="0"/>
    <n v="6.6"/>
    <n v="7"/>
    <n v="8.3000000000000007"/>
    <x v="2"/>
    <n v="3"/>
    <n v="1"/>
    <n v="1"/>
    <n v="1"/>
    <n v="0"/>
    <n v="0"/>
    <n v="1"/>
    <x v="0"/>
    <x v="1"/>
    <x v="1"/>
  </r>
  <r>
    <n v="150"/>
    <n v="51"/>
    <x v="1"/>
    <x v="2"/>
    <n v="2.4"/>
    <n v="1.6"/>
    <x v="1"/>
    <x v="0"/>
    <n v="7.4"/>
    <n v="3"/>
    <n v="5"/>
    <x v="1"/>
    <n v="9"/>
    <n v="0"/>
    <n v="0"/>
    <n v="0"/>
    <n v="0"/>
    <n v="0"/>
    <n v="0"/>
    <x v="2"/>
    <x v="2"/>
    <x v="2"/>
  </r>
  <r>
    <n v="151"/>
    <n v="28"/>
    <x v="0"/>
    <x v="0"/>
    <n v="7.9"/>
    <n v="7.6"/>
    <x v="2"/>
    <x v="1"/>
    <n v="6.4"/>
    <n v="8"/>
    <n v="6.2"/>
    <x v="1"/>
    <n v="10"/>
    <n v="4"/>
    <n v="1"/>
    <n v="0"/>
    <n v="0"/>
    <n v="0"/>
    <n v="1"/>
    <x v="0"/>
    <x v="0"/>
    <x v="1"/>
  </r>
  <r>
    <n v="152"/>
    <n v="47"/>
    <x v="1"/>
    <x v="2"/>
    <n v="6"/>
    <n v="6.8"/>
    <x v="1"/>
    <x v="0"/>
    <n v="3.4"/>
    <n v="8"/>
    <n v="10"/>
    <x v="0"/>
    <n v="3"/>
    <n v="0"/>
    <n v="0"/>
    <n v="1"/>
    <n v="1"/>
    <n v="1"/>
    <n v="1"/>
    <x v="1"/>
    <x v="0"/>
    <x v="1"/>
  </r>
  <r>
    <n v="153"/>
    <n v="22"/>
    <x v="0"/>
    <x v="0"/>
    <n v="11.7"/>
    <n v="6.5"/>
    <x v="2"/>
    <x v="1"/>
    <n v="3.7"/>
    <n v="7"/>
    <n v="5.0999999999999996"/>
    <x v="0"/>
    <n v="10"/>
    <n v="4"/>
    <n v="0"/>
    <n v="1"/>
    <n v="1"/>
    <n v="1"/>
    <n v="1"/>
    <x v="1"/>
    <x v="1"/>
    <x v="0"/>
  </r>
  <r>
    <n v="154"/>
    <n v="37"/>
    <x v="0"/>
    <x v="0"/>
    <n v="7.4"/>
    <n v="2.4"/>
    <x v="1"/>
    <x v="0"/>
    <n v="6.6"/>
    <n v="2"/>
    <n v="6.7"/>
    <x v="0"/>
    <n v="8"/>
    <n v="4"/>
    <n v="1"/>
    <n v="1"/>
    <n v="1"/>
    <n v="1"/>
    <n v="0"/>
    <x v="0"/>
    <x v="2"/>
    <x v="1"/>
  </r>
  <r>
    <n v="155"/>
    <n v="43"/>
    <x v="1"/>
    <x v="1"/>
    <n v="4.8"/>
    <n v="6.6"/>
    <x v="2"/>
    <x v="1"/>
    <n v="4.5999999999999996"/>
    <n v="5"/>
    <n v="2.2000000000000002"/>
    <x v="0"/>
    <n v="1"/>
    <n v="1"/>
    <n v="1"/>
    <n v="0"/>
    <n v="0"/>
    <n v="1"/>
    <n v="1"/>
    <x v="1"/>
    <x v="1"/>
    <x v="1"/>
  </r>
  <r>
    <n v="156"/>
    <n v="17"/>
    <x v="1"/>
    <x v="2"/>
    <n v="9.1"/>
    <n v="7"/>
    <x v="1"/>
    <x v="0"/>
    <n v="3.5"/>
    <n v="6"/>
    <n v="9.3000000000000007"/>
    <x v="2"/>
    <n v="4"/>
    <n v="3"/>
    <n v="0"/>
    <n v="0"/>
    <n v="0"/>
    <n v="0"/>
    <n v="0"/>
    <x v="1"/>
    <x v="1"/>
    <x v="0"/>
  </r>
  <r>
    <n v="157"/>
    <n v="57"/>
    <x v="1"/>
    <x v="0"/>
    <n v="4.7"/>
    <n v="3"/>
    <x v="1"/>
    <x v="0"/>
    <n v="5.6"/>
    <n v="10"/>
    <n v="6.2"/>
    <x v="1"/>
    <n v="4"/>
    <n v="2"/>
    <n v="0"/>
    <n v="1"/>
    <n v="1"/>
    <n v="1"/>
    <n v="1"/>
    <x v="0"/>
    <x v="0"/>
    <x v="1"/>
  </r>
  <r>
    <n v="158"/>
    <n v="21"/>
    <x v="0"/>
    <x v="2"/>
    <n v="11"/>
    <n v="7.7"/>
    <x v="2"/>
    <x v="1"/>
    <n v="6.3"/>
    <n v="4"/>
    <n v="7.3"/>
    <x v="2"/>
    <n v="6"/>
    <n v="0"/>
    <n v="0"/>
    <n v="1"/>
    <n v="0"/>
    <n v="0"/>
    <n v="0"/>
    <x v="0"/>
    <x v="1"/>
    <x v="0"/>
  </r>
  <r>
    <n v="159"/>
    <n v="43"/>
    <x v="0"/>
    <x v="2"/>
    <n v="5.7"/>
    <n v="1.3"/>
    <x v="1"/>
    <x v="0"/>
    <n v="5"/>
    <n v="10"/>
    <n v="3.1"/>
    <x v="1"/>
    <n v="2"/>
    <n v="4"/>
    <n v="0"/>
    <n v="1"/>
    <n v="1"/>
    <n v="0"/>
    <n v="0"/>
    <x v="0"/>
    <x v="0"/>
    <x v="1"/>
  </r>
  <r>
    <n v="160"/>
    <n v="43"/>
    <x v="1"/>
    <x v="1"/>
    <n v="7.5"/>
    <n v="2"/>
    <x v="2"/>
    <x v="1"/>
    <n v="7.3"/>
    <n v="5"/>
    <n v="11.9"/>
    <x v="2"/>
    <n v="7"/>
    <n v="0"/>
    <n v="1"/>
    <n v="0"/>
    <n v="0"/>
    <n v="1"/>
    <n v="1"/>
    <x v="2"/>
    <x v="1"/>
    <x v="1"/>
  </r>
  <r>
    <n v="161"/>
    <n v="59"/>
    <x v="1"/>
    <x v="1"/>
    <n v="2.5"/>
    <n v="4.8"/>
    <x v="1"/>
    <x v="0"/>
    <n v="6.9"/>
    <n v="9"/>
    <n v="5"/>
    <x v="0"/>
    <n v="5"/>
    <n v="3"/>
    <n v="0"/>
    <n v="1"/>
    <n v="1"/>
    <n v="0"/>
    <n v="1"/>
    <x v="0"/>
    <x v="0"/>
    <x v="2"/>
  </r>
  <r>
    <n v="162"/>
    <n v="59"/>
    <x v="1"/>
    <x v="1"/>
    <n v="6.3"/>
    <n v="5"/>
    <x v="1"/>
    <x v="0"/>
    <n v="5"/>
    <n v="7"/>
    <n v="8.3000000000000007"/>
    <x v="1"/>
    <n v="10"/>
    <n v="3"/>
    <n v="0"/>
    <n v="1"/>
    <n v="0"/>
    <n v="1"/>
    <n v="1"/>
    <x v="0"/>
    <x v="1"/>
    <x v="1"/>
  </r>
  <r>
    <n v="163"/>
    <n v="35"/>
    <x v="1"/>
    <x v="1"/>
    <n v="10.3"/>
    <n v="5.5"/>
    <x v="2"/>
    <x v="1"/>
    <n v="7.5"/>
    <n v="2"/>
    <n v="7.8"/>
    <x v="0"/>
    <n v="6"/>
    <n v="2"/>
    <n v="0"/>
    <n v="0"/>
    <n v="0"/>
    <n v="0"/>
    <n v="1"/>
    <x v="2"/>
    <x v="2"/>
    <x v="0"/>
  </r>
  <r>
    <n v="164"/>
    <n v="45"/>
    <x v="0"/>
    <x v="1"/>
    <n v="10.1"/>
    <n v="1.1000000000000001"/>
    <x v="1"/>
    <x v="0"/>
    <n v="6.9"/>
    <n v="1"/>
    <n v="9.9"/>
    <x v="1"/>
    <n v="6"/>
    <n v="2"/>
    <n v="1"/>
    <n v="1"/>
    <n v="1"/>
    <n v="0"/>
    <n v="1"/>
    <x v="0"/>
    <x v="2"/>
    <x v="0"/>
  </r>
  <r>
    <n v="165"/>
    <n v="26"/>
    <x v="1"/>
    <x v="1"/>
    <n v="4.2"/>
    <n v="7.7"/>
    <x v="2"/>
    <x v="1"/>
    <n v="6.8"/>
    <n v="2"/>
    <n v="4.9000000000000004"/>
    <x v="1"/>
    <n v="6"/>
    <n v="4"/>
    <n v="0"/>
    <n v="1"/>
    <n v="0"/>
    <n v="1"/>
    <n v="0"/>
    <x v="0"/>
    <x v="2"/>
    <x v="1"/>
  </r>
  <r>
    <n v="166"/>
    <n v="43"/>
    <x v="0"/>
    <x v="1"/>
    <n v="4.3"/>
    <n v="1.3"/>
    <x v="1"/>
    <x v="0"/>
    <n v="6.3"/>
    <n v="3"/>
    <n v="9.6"/>
    <x v="0"/>
    <n v="10"/>
    <n v="2"/>
    <n v="0"/>
    <n v="0"/>
    <n v="1"/>
    <n v="1"/>
    <n v="0"/>
    <x v="0"/>
    <x v="2"/>
    <x v="1"/>
  </r>
  <r>
    <n v="167"/>
    <n v="40"/>
    <x v="0"/>
    <x v="1"/>
    <n v="10.199999999999999"/>
    <n v="2"/>
    <x v="1"/>
    <x v="0"/>
    <n v="3.1"/>
    <n v="2"/>
    <n v="5.8"/>
    <x v="0"/>
    <n v="8"/>
    <n v="4"/>
    <n v="1"/>
    <n v="0"/>
    <n v="0"/>
    <n v="0"/>
    <n v="1"/>
    <x v="1"/>
    <x v="2"/>
    <x v="0"/>
  </r>
  <r>
    <n v="168"/>
    <n v="54"/>
    <x v="1"/>
    <x v="0"/>
    <n v="11.3"/>
    <n v="1.1000000000000001"/>
    <x v="1"/>
    <x v="0"/>
    <n v="7.2"/>
    <n v="3"/>
    <n v="6.1"/>
    <x v="0"/>
    <n v="10"/>
    <n v="1"/>
    <n v="1"/>
    <n v="1"/>
    <n v="0"/>
    <n v="0"/>
    <n v="0"/>
    <x v="2"/>
    <x v="2"/>
    <x v="0"/>
  </r>
  <r>
    <n v="169"/>
    <n v="48"/>
    <x v="1"/>
    <x v="2"/>
    <n v="3"/>
    <n v="5"/>
    <x v="1"/>
    <x v="0"/>
    <n v="5.3"/>
    <n v="10"/>
    <n v="8.6999999999999993"/>
    <x v="2"/>
    <n v="4"/>
    <n v="4"/>
    <n v="0"/>
    <n v="0"/>
    <n v="1"/>
    <n v="1"/>
    <n v="1"/>
    <x v="0"/>
    <x v="0"/>
    <x v="2"/>
  </r>
  <r>
    <n v="170"/>
    <n v="16"/>
    <x v="1"/>
    <x v="1"/>
    <n v="6.5"/>
    <n v="7.5"/>
    <x v="1"/>
    <x v="0"/>
    <n v="8.6999999999999993"/>
    <n v="9"/>
    <n v="9.8000000000000007"/>
    <x v="1"/>
    <n v="10"/>
    <n v="2"/>
    <n v="0"/>
    <n v="0"/>
    <n v="1"/>
    <n v="0"/>
    <n v="1"/>
    <x v="2"/>
    <x v="0"/>
    <x v="1"/>
  </r>
  <r>
    <n v="171"/>
    <n v="42"/>
    <x v="0"/>
    <x v="1"/>
    <n v="5.4"/>
    <n v="5.7"/>
    <x v="1"/>
    <x v="0"/>
    <n v="7.9"/>
    <n v="4"/>
    <n v="8.6999999999999993"/>
    <x v="1"/>
    <n v="8"/>
    <n v="0"/>
    <n v="0"/>
    <n v="0"/>
    <n v="0"/>
    <n v="0"/>
    <n v="1"/>
    <x v="2"/>
    <x v="1"/>
    <x v="1"/>
  </r>
  <r>
    <n v="172"/>
    <n v="28"/>
    <x v="1"/>
    <x v="2"/>
    <n v="10.7"/>
    <n v="6.8"/>
    <x v="1"/>
    <x v="0"/>
    <n v="6.5"/>
    <n v="9"/>
    <n v="11"/>
    <x v="1"/>
    <n v="9"/>
    <n v="2"/>
    <n v="1"/>
    <n v="0"/>
    <n v="1"/>
    <n v="1"/>
    <n v="0"/>
    <x v="0"/>
    <x v="0"/>
    <x v="0"/>
  </r>
  <r>
    <n v="173"/>
    <n v="56"/>
    <x v="1"/>
    <x v="0"/>
    <n v="2.8"/>
    <n v="1.1000000000000001"/>
    <x v="2"/>
    <x v="1"/>
    <n v="4.5"/>
    <n v="3"/>
    <n v="4.9000000000000004"/>
    <x v="0"/>
    <n v="4"/>
    <n v="3"/>
    <n v="1"/>
    <n v="0"/>
    <n v="0"/>
    <n v="0"/>
    <n v="0"/>
    <x v="1"/>
    <x v="2"/>
    <x v="2"/>
  </r>
  <r>
    <n v="174"/>
    <n v="18"/>
    <x v="0"/>
    <x v="2"/>
    <n v="4.0999999999999996"/>
    <n v="4.8"/>
    <x v="1"/>
    <x v="0"/>
    <n v="4.2"/>
    <n v="1"/>
    <n v="11"/>
    <x v="1"/>
    <n v="1"/>
    <n v="2"/>
    <n v="0"/>
    <n v="0"/>
    <n v="0"/>
    <n v="0"/>
    <n v="1"/>
    <x v="1"/>
    <x v="2"/>
    <x v="1"/>
  </r>
  <r>
    <n v="175"/>
    <n v="54"/>
    <x v="1"/>
    <x v="2"/>
    <n v="9.5"/>
    <n v="4.2"/>
    <x v="1"/>
    <x v="0"/>
    <n v="5"/>
    <n v="5"/>
    <n v="3.3"/>
    <x v="1"/>
    <n v="3"/>
    <n v="1"/>
    <n v="0"/>
    <n v="0"/>
    <n v="0"/>
    <n v="0"/>
    <n v="1"/>
    <x v="0"/>
    <x v="1"/>
    <x v="0"/>
  </r>
  <r>
    <n v="176"/>
    <n v="21"/>
    <x v="0"/>
    <x v="1"/>
    <n v="2.5"/>
    <n v="4.5"/>
    <x v="1"/>
    <x v="0"/>
    <n v="5.9"/>
    <n v="10"/>
    <n v="8.6"/>
    <x v="0"/>
    <n v="1"/>
    <n v="4"/>
    <n v="0"/>
    <n v="1"/>
    <n v="1"/>
    <n v="1"/>
    <n v="1"/>
    <x v="0"/>
    <x v="0"/>
    <x v="2"/>
  </r>
  <r>
    <n v="177"/>
    <n v="23"/>
    <x v="1"/>
    <x v="2"/>
    <n v="6.9"/>
    <n v="1.5"/>
    <x v="2"/>
    <x v="1"/>
    <n v="4.8"/>
    <n v="10"/>
    <n v="7.5"/>
    <x v="0"/>
    <n v="7"/>
    <n v="3"/>
    <n v="1"/>
    <n v="0"/>
    <n v="1"/>
    <n v="1"/>
    <n v="0"/>
    <x v="1"/>
    <x v="0"/>
    <x v="1"/>
  </r>
  <r>
    <n v="178"/>
    <n v="42"/>
    <x v="0"/>
    <x v="2"/>
    <n v="6.4"/>
    <n v="5.8"/>
    <x v="2"/>
    <x v="1"/>
    <n v="6.1"/>
    <n v="2"/>
    <n v="6.9"/>
    <x v="1"/>
    <n v="1"/>
    <n v="4"/>
    <n v="0"/>
    <n v="0"/>
    <n v="0"/>
    <n v="0"/>
    <n v="1"/>
    <x v="0"/>
    <x v="2"/>
    <x v="1"/>
  </r>
  <r>
    <n v="179"/>
    <n v="24"/>
    <x v="1"/>
    <x v="1"/>
    <n v="5.3"/>
    <n v="4.5"/>
    <x v="1"/>
    <x v="0"/>
    <n v="4"/>
    <n v="4"/>
    <n v="5.0999999999999996"/>
    <x v="2"/>
    <n v="4"/>
    <n v="4"/>
    <n v="0"/>
    <n v="0"/>
    <n v="1"/>
    <n v="1"/>
    <n v="0"/>
    <x v="1"/>
    <x v="1"/>
    <x v="1"/>
  </r>
  <r>
    <n v="180"/>
    <n v="52"/>
    <x v="1"/>
    <x v="1"/>
    <n v="5.9"/>
    <n v="6.4"/>
    <x v="1"/>
    <x v="0"/>
    <n v="8.9"/>
    <n v="2"/>
    <n v="7"/>
    <x v="0"/>
    <n v="1"/>
    <n v="2"/>
    <n v="1"/>
    <n v="0"/>
    <n v="1"/>
    <n v="0"/>
    <n v="0"/>
    <x v="2"/>
    <x v="2"/>
    <x v="1"/>
  </r>
  <r>
    <n v="181"/>
    <n v="48"/>
    <x v="0"/>
    <x v="1"/>
    <n v="7.3"/>
    <n v="4.4000000000000004"/>
    <x v="1"/>
    <x v="0"/>
    <n v="3.6"/>
    <n v="2"/>
    <n v="3.6"/>
    <x v="2"/>
    <n v="2"/>
    <n v="0"/>
    <n v="0"/>
    <n v="1"/>
    <n v="0"/>
    <n v="0"/>
    <n v="1"/>
    <x v="1"/>
    <x v="2"/>
    <x v="1"/>
  </r>
  <r>
    <n v="182"/>
    <n v="57"/>
    <x v="0"/>
    <x v="1"/>
    <n v="3.6"/>
    <n v="2"/>
    <x v="2"/>
    <x v="1"/>
    <n v="8.6"/>
    <n v="3"/>
    <n v="5.7"/>
    <x v="2"/>
    <n v="1"/>
    <n v="3"/>
    <n v="1"/>
    <n v="1"/>
    <n v="0"/>
    <n v="1"/>
    <n v="0"/>
    <x v="2"/>
    <x v="2"/>
    <x v="2"/>
  </r>
  <r>
    <n v="183"/>
    <n v="59"/>
    <x v="1"/>
    <x v="2"/>
    <n v="7.7"/>
    <n v="5.5"/>
    <x v="1"/>
    <x v="0"/>
    <n v="8.5"/>
    <n v="5"/>
    <n v="3"/>
    <x v="2"/>
    <n v="5"/>
    <n v="1"/>
    <n v="1"/>
    <n v="0"/>
    <n v="1"/>
    <n v="0"/>
    <n v="1"/>
    <x v="2"/>
    <x v="1"/>
    <x v="1"/>
  </r>
  <r>
    <n v="184"/>
    <n v="39"/>
    <x v="0"/>
    <x v="2"/>
    <n v="10.1"/>
    <n v="2.2000000000000002"/>
    <x v="2"/>
    <x v="1"/>
    <n v="6.2"/>
    <n v="4"/>
    <n v="7.7"/>
    <x v="2"/>
    <n v="7"/>
    <n v="1"/>
    <n v="0"/>
    <n v="1"/>
    <n v="0"/>
    <n v="0"/>
    <n v="0"/>
    <x v="0"/>
    <x v="1"/>
    <x v="0"/>
  </r>
  <r>
    <n v="185"/>
    <n v="30"/>
    <x v="0"/>
    <x v="0"/>
    <n v="9.6"/>
    <n v="7.1"/>
    <x v="1"/>
    <x v="0"/>
    <n v="7.3"/>
    <n v="2"/>
    <n v="3"/>
    <x v="0"/>
    <n v="3"/>
    <n v="0"/>
    <n v="1"/>
    <n v="1"/>
    <n v="1"/>
    <n v="1"/>
    <n v="0"/>
    <x v="2"/>
    <x v="2"/>
    <x v="0"/>
  </r>
  <r>
    <n v="186"/>
    <n v="47"/>
    <x v="0"/>
    <x v="0"/>
    <n v="3.5"/>
    <n v="5.3"/>
    <x v="2"/>
    <x v="1"/>
    <n v="5.6"/>
    <n v="10"/>
    <n v="3.6"/>
    <x v="1"/>
    <n v="8"/>
    <n v="0"/>
    <n v="1"/>
    <n v="1"/>
    <n v="1"/>
    <n v="0"/>
    <n v="0"/>
    <x v="0"/>
    <x v="0"/>
    <x v="2"/>
  </r>
  <r>
    <n v="187"/>
    <n v="47"/>
    <x v="0"/>
    <x v="2"/>
    <n v="3.5"/>
    <n v="2.1"/>
    <x v="2"/>
    <x v="1"/>
    <n v="6.8"/>
    <n v="2"/>
    <n v="2.9"/>
    <x v="1"/>
    <n v="5"/>
    <n v="2"/>
    <n v="0"/>
    <n v="1"/>
    <n v="1"/>
    <n v="1"/>
    <n v="0"/>
    <x v="0"/>
    <x v="2"/>
    <x v="2"/>
  </r>
  <r>
    <n v="188"/>
    <n v="39"/>
    <x v="1"/>
    <x v="0"/>
    <n v="4.7"/>
    <n v="7.7"/>
    <x v="1"/>
    <x v="0"/>
    <n v="5"/>
    <n v="6"/>
    <n v="5.8"/>
    <x v="0"/>
    <n v="5"/>
    <n v="1"/>
    <n v="1"/>
    <n v="1"/>
    <n v="0"/>
    <n v="1"/>
    <n v="0"/>
    <x v="0"/>
    <x v="1"/>
    <x v="1"/>
  </r>
  <r>
    <n v="189"/>
    <n v="56"/>
    <x v="1"/>
    <x v="2"/>
    <n v="5.6"/>
    <n v="4.5999999999999996"/>
    <x v="1"/>
    <x v="0"/>
    <n v="4.8"/>
    <n v="7"/>
    <n v="10.4"/>
    <x v="0"/>
    <n v="5"/>
    <n v="3"/>
    <n v="1"/>
    <n v="0"/>
    <n v="0"/>
    <n v="1"/>
    <n v="1"/>
    <x v="1"/>
    <x v="1"/>
    <x v="1"/>
  </r>
  <r>
    <n v="190"/>
    <n v="27"/>
    <x v="0"/>
    <x v="0"/>
    <n v="6.1"/>
    <n v="1.5"/>
    <x v="1"/>
    <x v="0"/>
    <n v="6.5"/>
    <n v="10"/>
    <n v="11.1"/>
    <x v="2"/>
    <n v="8"/>
    <n v="0"/>
    <n v="0"/>
    <n v="0"/>
    <n v="1"/>
    <n v="1"/>
    <n v="0"/>
    <x v="0"/>
    <x v="0"/>
    <x v="1"/>
  </r>
  <r>
    <n v="191"/>
    <n v="54"/>
    <x v="0"/>
    <x v="1"/>
    <n v="8.8000000000000007"/>
    <n v="5.4"/>
    <x v="1"/>
    <x v="0"/>
    <n v="6"/>
    <n v="6"/>
    <n v="2.7"/>
    <x v="2"/>
    <n v="2"/>
    <n v="0"/>
    <n v="0"/>
    <n v="0"/>
    <n v="1"/>
    <n v="0"/>
    <n v="1"/>
    <x v="0"/>
    <x v="1"/>
    <x v="0"/>
  </r>
  <r>
    <n v="192"/>
    <n v="17"/>
    <x v="0"/>
    <x v="0"/>
    <n v="2.6"/>
    <n v="2.8"/>
    <x v="1"/>
    <x v="0"/>
    <n v="6.5"/>
    <n v="7"/>
    <n v="8.3000000000000007"/>
    <x v="0"/>
    <n v="2"/>
    <n v="0"/>
    <n v="0"/>
    <n v="1"/>
    <n v="0"/>
    <n v="1"/>
    <n v="1"/>
    <x v="0"/>
    <x v="1"/>
    <x v="2"/>
  </r>
  <r>
    <n v="193"/>
    <n v="18"/>
    <x v="0"/>
    <x v="1"/>
    <n v="2.2999999999999998"/>
    <n v="6.6"/>
    <x v="1"/>
    <x v="0"/>
    <n v="4.7"/>
    <n v="1"/>
    <n v="8.8000000000000007"/>
    <x v="1"/>
    <n v="8"/>
    <n v="3"/>
    <n v="0"/>
    <n v="0"/>
    <n v="0"/>
    <n v="1"/>
    <n v="1"/>
    <x v="1"/>
    <x v="2"/>
    <x v="2"/>
  </r>
  <r>
    <n v="194"/>
    <n v="52"/>
    <x v="1"/>
    <x v="1"/>
    <n v="5.9"/>
    <n v="6.7"/>
    <x v="1"/>
    <x v="0"/>
    <n v="5.2"/>
    <n v="6"/>
    <n v="7.3"/>
    <x v="2"/>
    <n v="9"/>
    <n v="1"/>
    <n v="0"/>
    <n v="1"/>
    <n v="0"/>
    <n v="0"/>
    <n v="0"/>
    <x v="0"/>
    <x v="1"/>
    <x v="1"/>
  </r>
  <r>
    <n v="195"/>
    <n v="32"/>
    <x v="1"/>
    <x v="1"/>
    <n v="9"/>
    <n v="7.9"/>
    <x v="2"/>
    <x v="1"/>
    <n v="3.5"/>
    <n v="3"/>
    <n v="8.6999999999999993"/>
    <x v="0"/>
    <n v="10"/>
    <n v="3"/>
    <n v="1"/>
    <n v="0"/>
    <n v="0"/>
    <n v="0"/>
    <n v="0"/>
    <x v="1"/>
    <x v="2"/>
    <x v="0"/>
  </r>
  <r>
    <n v="196"/>
    <n v="17"/>
    <x v="0"/>
    <x v="1"/>
    <n v="3.9"/>
    <n v="4.5"/>
    <x v="1"/>
    <x v="0"/>
    <n v="3.3"/>
    <n v="1"/>
    <n v="4.3"/>
    <x v="0"/>
    <n v="10"/>
    <n v="3"/>
    <n v="1"/>
    <n v="0"/>
    <n v="0"/>
    <n v="0"/>
    <n v="0"/>
    <x v="1"/>
    <x v="2"/>
    <x v="2"/>
  </r>
  <r>
    <n v="197"/>
    <n v="17"/>
    <x v="0"/>
    <x v="0"/>
    <n v="8.4"/>
    <n v="4.2"/>
    <x v="1"/>
    <x v="0"/>
    <n v="4.5"/>
    <n v="8"/>
    <n v="6.9"/>
    <x v="0"/>
    <n v="2"/>
    <n v="2"/>
    <n v="1"/>
    <n v="0"/>
    <n v="1"/>
    <n v="1"/>
    <n v="0"/>
    <x v="1"/>
    <x v="0"/>
    <x v="0"/>
  </r>
  <r>
    <n v="198"/>
    <n v="43"/>
    <x v="0"/>
    <x v="2"/>
    <n v="4.5999999999999996"/>
    <n v="6.3"/>
    <x v="2"/>
    <x v="1"/>
    <n v="3.4"/>
    <n v="4"/>
    <n v="5.9"/>
    <x v="2"/>
    <n v="4"/>
    <n v="0"/>
    <n v="1"/>
    <n v="0"/>
    <n v="0"/>
    <n v="1"/>
    <n v="0"/>
    <x v="1"/>
    <x v="1"/>
    <x v="1"/>
  </r>
  <r>
    <n v="199"/>
    <n v="38"/>
    <x v="1"/>
    <x v="1"/>
    <n v="10.9"/>
    <n v="1.9"/>
    <x v="1"/>
    <x v="0"/>
    <n v="3.6"/>
    <n v="10"/>
    <n v="2.9"/>
    <x v="0"/>
    <n v="8"/>
    <n v="1"/>
    <n v="1"/>
    <n v="1"/>
    <n v="1"/>
    <n v="0"/>
    <n v="0"/>
    <x v="1"/>
    <x v="0"/>
    <x v="0"/>
  </r>
  <r>
    <n v="200"/>
    <n v="52"/>
    <x v="0"/>
    <x v="0"/>
    <n v="11"/>
    <n v="4.8"/>
    <x v="1"/>
    <x v="0"/>
    <n v="7.9"/>
    <n v="8"/>
    <n v="8.3000000000000007"/>
    <x v="1"/>
    <n v="2"/>
    <n v="2"/>
    <n v="0"/>
    <n v="0"/>
    <n v="1"/>
    <n v="1"/>
    <n v="0"/>
    <x v="2"/>
    <x v="0"/>
    <x v="0"/>
  </r>
  <r>
    <n v="201"/>
    <n v="47"/>
    <x v="1"/>
    <x v="1"/>
    <n v="5"/>
    <n v="4.8"/>
    <x v="1"/>
    <x v="0"/>
    <n v="3.2"/>
    <n v="10"/>
    <n v="7"/>
    <x v="0"/>
    <n v="4"/>
    <n v="2"/>
    <n v="0"/>
    <n v="0"/>
    <n v="1"/>
    <n v="1"/>
    <n v="1"/>
    <x v="1"/>
    <x v="0"/>
    <x v="1"/>
  </r>
  <r>
    <n v="202"/>
    <n v="48"/>
    <x v="0"/>
    <x v="0"/>
    <n v="4.3"/>
    <n v="1.6"/>
    <x v="1"/>
    <x v="0"/>
    <n v="7"/>
    <n v="4"/>
    <n v="4.8"/>
    <x v="2"/>
    <n v="10"/>
    <n v="4"/>
    <n v="0"/>
    <n v="1"/>
    <n v="1"/>
    <n v="0"/>
    <n v="1"/>
    <x v="2"/>
    <x v="1"/>
    <x v="1"/>
  </r>
  <r>
    <n v="203"/>
    <n v="16"/>
    <x v="1"/>
    <x v="0"/>
    <n v="6.1"/>
    <n v="3.9"/>
    <x v="2"/>
    <x v="1"/>
    <n v="4.5999999999999996"/>
    <n v="4"/>
    <n v="6.7"/>
    <x v="1"/>
    <n v="1"/>
    <n v="0"/>
    <n v="0"/>
    <n v="1"/>
    <n v="0"/>
    <n v="0"/>
    <n v="1"/>
    <x v="1"/>
    <x v="1"/>
    <x v="1"/>
  </r>
  <r>
    <n v="204"/>
    <n v="34"/>
    <x v="0"/>
    <x v="0"/>
    <n v="4.4000000000000004"/>
    <n v="7"/>
    <x v="2"/>
    <x v="1"/>
    <n v="8.1999999999999993"/>
    <n v="10"/>
    <n v="9.8000000000000007"/>
    <x v="1"/>
    <n v="2"/>
    <n v="1"/>
    <n v="1"/>
    <n v="0"/>
    <n v="0"/>
    <n v="1"/>
    <n v="1"/>
    <x v="2"/>
    <x v="0"/>
    <x v="1"/>
  </r>
  <r>
    <n v="205"/>
    <n v="17"/>
    <x v="1"/>
    <x v="2"/>
    <n v="8.6999999999999993"/>
    <n v="7"/>
    <x v="1"/>
    <x v="0"/>
    <n v="5.9"/>
    <n v="4"/>
    <n v="10"/>
    <x v="0"/>
    <n v="7"/>
    <n v="1"/>
    <n v="0"/>
    <n v="0"/>
    <n v="1"/>
    <n v="1"/>
    <n v="0"/>
    <x v="0"/>
    <x v="1"/>
    <x v="0"/>
  </r>
  <r>
    <n v="206"/>
    <n v="59"/>
    <x v="0"/>
    <x v="0"/>
    <n v="10.3"/>
    <n v="1.7"/>
    <x v="1"/>
    <x v="0"/>
    <n v="4.8"/>
    <n v="6"/>
    <n v="8.5"/>
    <x v="0"/>
    <n v="1"/>
    <n v="1"/>
    <n v="0"/>
    <n v="1"/>
    <n v="1"/>
    <n v="0"/>
    <n v="0"/>
    <x v="1"/>
    <x v="1"/>
    <x v="0"/>
  </r>
  <r>
    <n v="207"/>
    <n v="41"/>
    <x v="0"/>
    <x v="0"/>
    <n v="8.6999999999999993"/>
    <n v="1.6"/>
    <x v="2"/>
    <x v="1"/>
    <n v="6.1"/>
    <n v="9"/>
    <n v="6.7"/>
    <x v="1"/>
    <n v="1"/>
    <n v="0"/>
    <n v="1"/>
    <n v="1"/>
    <n v="0"/>
    <n v="1"/>
    <n v="0"/>
    <x v="0"/>
    <x v="0"/>
    <x v="0"/>
  </r>
  <r>
    <n v="208"/>
    <n v="47"/>
    <x v="0"/>
    <x v="2"/>
    <n v="10.199999999999999"/>
    <n v="2.8"/>
    <x v="1"/>
    <x v="0"/>
    <n v="5.3"/>
    <n v="5"/>
    <n v="7.8"/>
    <x v="0"/>
    <n v="2"/>
    <n v="1"/>
    <n v="1"/>
    <n v="0"/>
    <n v="1"/>
    <n v="0"/>
    <n v="1"/>
    <x v="0"/>
    <x v="1"/>
    <x v="0"/>
  </r>
  <r>
    <n v="209"/>
    <n v="21"/>
    <x v="1"/>
    <x v="2"/>
    <n v="6"/>
    <n v="7.1"/>
    <x v="2"/>
    <x v="1"/>
    <n v="6.4"/>
    <n v="10"/>
    <n v="5.9"/>
    <x v="2"/>
    <n v="4"/>
    <n v="3"/>
    <n v="0"/>
    <n v="1"/>
    <n v="1"/>
    <n v="1"/>
    <n v="1"/>
    <x v="0"/>
    <x v="0"/>
    <x v="1"/>
  </r>
  <r>
    <n v="210"/>
    <n v="47"/>
    <x v="0"/>
    <x v="0"/>
    <n v="3.6"/>
    <n v="1.9"/>
    <x v="2"/>
    <x v="1"/>
    <n v="3.7"/>
    <n v="8"/>
    <n v="3.3"/>
    <x v="1"/>
    <n v="7"/>
    <n v="3"/>
    <n v="1"/>
    <n v="1"/>
    <n v="1"/>
    <n v="0"/>
    <n v="1"/>
    <x v="1"/>
    <x v="0"/>
    <x v="2"/>
  </r>
  <r>
    <n v="211"/>
    <n v="19"/>
    <x v="1"/>
    <x v="2"/>
    <n v="9.4"/>
    <n v="6"/>
    <x v="2"/>
    <x v="1"/>
    <n v="9"/>
    <n v="8"/>
    <n v="5.9"/>
    <x v="0"/>
    <n v="4"/>
    <n v="0"/>
    <n v="1"/>
    <n v="0"/>
    <n v="0"/>
    <n v="1"/>
    <n v="1"/>
    <x v="2"/>
    <x v="0"/>
    <x v="0"/>
  </r>
  <r>
    <n v="212"/>
    <n v="26"/>
    <x v="1"/>
    <x v="1"/>
    <n v="5.6"/>
    <n v="1.7"/>
    <x v="1"/>
    <x v="0"/>
    <n v="5.6"/>
    <n v="4"/>
    <n v="7.3"/>
    <x v="1"/>
    <n v="5"/>
    <n v="1"/>
    <n v="0"/>
    <n v="0"/>
    <n v="1"/>
    <n v="0"/>
    <n v="1"/>
    <x v="0"/>
    <x v="1"/>
    <x v="1"/>
  </r>
  <r>
    <n v="213"/>
    <n v="32"/>
    <x v="0"/>
    <x v="1"/>
    <n v="8.6999999999999993"/>
    <n v="5.4"/>
    <x v="1"/>
    <x v="0"/>
    <n v="5.0999999999999996"/>
    <n v="10"/>
    <n v="8"/>
    <x v="0"/>
    <n v="4"/>
    <n v="4"/>
    <n v="1"/>
    <n v="0"/>
    <n v="1"/>
    <n v="1"/>
    <n v="0"/>
    <x v="0"/>
    <x v="0"/>
    <x v="0"/>
  </r>
  <r>
    <n v="214"/>
    <n v="53"/>
    <x v="0"/>
    <x v="2"/>
    <n v="4.7"/>
    <n v="3.5"/>
    <x v="1"/>
    <x v="0"/>
    <n v="7.3"/>
    <n v="9"/>
    <n v="11.4"/>
    <x v="0"/>
    <n v="4"/>
    <n v="4"/>
    <n v="0"/>
    <n v="1"/>
    <n v="0"/>
    <n v="1"/>
    <n v="1"/>
    <x v="2"/>
    <x v="0"/>
    <x v="1"/>
  </r>
  <r>
    <n v="215"/>
    <n v="39"/>
    <x v="0"/>
    <x v="2"/>
    <n v="2.8"/>
    <n v="6.5"/>
    <x v="2"/>
    <x v="1"/>
    <n v="5.2"/>
    <n v="9"/>
    <n v="9.8000000000000007"/>
    <x v="2"/>
    <n v="9"/>
    <n v="4"/>
    <n v="1"/>
    <n v="0"/>
    <n v="0"/>
    <n v="1"/>
    <n v="1"/>
    <x v="0"/>
    <x v="0"/>
    <x v="2"/>
  </r>
  <r>
    <n v="216"/>
    <n v="20"/>
    <x v="1"/>
    <x v="0"/>
    <n v="11.9"/>
    <n v="2.6"/>
    <x v="1"/>
    <x v="0"/>
    <n v="8"/>
    <n v="5"/>
    <n v="3.5"/>
    <x v="0"/>
    <n v="6"/>
    <n v="3"/>
    <n v="1"/>
    <n v="0"/>
    <n v="1"/>
    <n v="1"/>
    <n v="1"/>
    <x v="2"/>
    <x v="1"/>
    <x v="0"/>
  </r>
  <r>
    <n v="217"/>
    <n v="49"/>
    <x v="0"/>
    <x v="2"/>
    <n v="3.6"/>
    <n v="5.5"/>
    <x v="1"/>
    <x v="0"/>
    <n v="5.7"/>
    <n v="6"/>
    <n v="3.7"/>
    <x v="0"/>
    <n v="3"/>
    <n v="4"/>
    <n v="1"/>
    <n v="0"/>
    <n v="1"/>
    <n v="1"/>
    <n v="0"/>
    <x v="0"/>
    <x v="1"/>
    <x v="2"/>
  </r>
  <r>
    <n v="218"/>
    <n v="21"/>
    <x v="1"/>
    <x v="0"/>
    <n v="11.9"/>
    <n v="2.6"/>
    <x v="2"/>
    <x v="1"/>
    <n v="7.3"/>
    <n v="5"/>
    <n v="3"/>
    <x v="0"/>
    <n v="6"/>
    <n v="1"/>
    <n v="1"/>
    <n v="1"/>
    <n v="1"/>
    <n v="1"/>
    <n v="0"/>
    <x v="2"/>
    <x v="1"/>
    <x v="0"/>
  </r>
  <r>
    <n v="219"/>
    <n v="37"/>
    <x v="1"/>
    <x v="1"/>
    <n v="11.8"/>
    <n v="6"/>
    <x v="1"/>
    <x v="0"/>
    <n v="3.6"/>
    <n v="3"/>
    <n v="9.4"/>
    <x v="2"/>
    <n v="7"/>
    <n v="1"/>
    <n v="0"/>
    <n v="0"/>
    <n v="1"/>
    <n v="0"/>
    <n v="0"/>
    <x v="1"/>
    <x v="2"/>
    <x v="0"/>
  </r>
  <r>
    <n v="220"/>
    <n v="26"/>
    <x v="0"/>
    <x v="2"/>
    <n v="9.9"/>
    <n v="7.1"/>
    <x v="1"/>
    <x v="0"/>
    <n v="8.1"/>
    <n v="8"/>
    <n v="9.1"/>
    <x v="0"/>
    <n v="7"/>
    <n v="4"/>
    <n v="1"/>
    <n v="0"/>
    <n v="1"/>
    <n v="1"/>
    <n v="1"/>
    <x v="2"/>
    <x v="0"/>
    <x v="0"/>
  </r>
  <r>
    <n v="221"/>
    <n v="31"/>
    <x v="0"/>
    <x v="0"/>
    <n v="8.6"/>
    <n v="1.9"/>
    <x v="1"/>
    <x v="0"/>
    <n v="7.4"/>
    <n v="9"/>
    <n v="11.9"/>
    <x v="0"/>
    <n v="8"/>
    <n v="2"/>
    <n v="0"/>
    <n v="1"/>
    <n v="1"/>
    <n v="0"/>
    <n v="0"/>
    <x v="2"/>
    <x v="0"/>
    <x v="0"/>
  </r>
  <r>
    <n v="222"/>
    <n v="48"/>
    <x v="0"/>
    <x v="0"/>
    <n v="7.8"/>
    <n v="7.1"/>
    <x v="2"/>
    <x v="1"/>
    <n v="4.3"/>
    <n v="4"/>
    <n v="7.2"/>
    <x v="0"/>
    <n v="4"/>
    <n v="4"/>
    <n v="0"/>
    <n v="1"/>
    <n v="1"/>
    <n v="1"/>
    <n v="1"/>
    <x v="1"/>
    <x v="1"/>
    <x v="1"/>
  </r>
  <r>
    <n v="223"/>
    <n v="24"/>
    <x v="0"/>
    <x v="1"/>
    <n v="10.7"/>
    <n v="5.2"/>
    <x v="1"/>
    <x v="0"/>
    <n v="3.9"/>
    <n v="9"/>
    <n v="10.3"/>
    <x v="1"/>
    <n v="1"/>
    <n v="2"/>
    <n v="1"/>
    <n v="0"/>
    <n v="1"/>
    <n v="1"/>
    <n v="1"/>
    <x v="1"/>
    <x v="0"/>
    <x v="0"/>
  </r>
  <r>
    <n v="224"/>
    <n v="21"/>
    <x v="0"/>
    <x v="2"/>
    <n v="4.9000000000000004"/>
    <n v="1.9"/>
    <x v="2"/>
    <x v="1"/>
    <n v="4.9000000000000004"/>
    <n v="9"/>
    <n v="7.8"/>
    <x v="2"/>
    <n v="6"/>
    <n v="0"/>
    <n v="1"/>
    <n v="0"/>
    <n v="0"/>
    <n v="1"/>
    <n v="1"/>
    <x v="1"/>
    <x v="0"/>
    <x v="1"/>
  </r>
  <r>
    <n v="225"/>
    <n v="31"/>
    <x v="0"/>
    <x v="1"/>
    <n v="6.7"/>
    <n v="4"/>
    <x v="2"/>
    <x v="1"/>
    <n v="8.9"/>
    <n v="7"/>
    <n v="10.7"/>
    <x v="1"/>
    <n v="8"/>
    <n v="0"/>
    <n v="0"/>
    <n v="0"/>
    <n v="1"/>
    <n v="0"/>
    <n v="0"/>
    <x v="2"/>
    <x v="1"/>
    <x v="1"/>
  </r>
  <r>
    <n v="226"/>
    <n v="44"/>
    <x v="1"/>
    <x v="0"/>
    <n v="8.1999999999999993"/>
    <n v="2.1"/>
    <x v="2"/>
    <x v="1"/>
    <n v="4.5"/>
    <n v="8"/>
    <n v="9.1999999999999993"/>
    <x v="2"/>
    <n v="5"/>
    <n v="1"/>
    <n v="1"/>
    <n v="1"/>
    <n v="1"/>
    <n v="0"/>
    <n v="1"/>
    <x v="1"/>
    <x v="0"/>
    <x v="0"/>
  </r>
  <r>
    <n v="227"/>
    <n v="18"/>
    <x v="1"/>
    <x v="0"/>
    <n v="6.1"/>
    <n v="5.9"/>
    <x v="1"/>
    <x v="0"/>
    <n v="5.7"/>
    <n v="3"/>
    <n v="8.4"/>
    <x v="2"/>
    <n v="3"/>
    <n v="3"/>
    <n v="1"/>
    <n v="0"/>
    <n v="1"/>
    <n v="0"/>
    <n v="0"/>
    <x v="0"/>
    <x v="2"/>
    <x v="1"/>
  </r>
  <r>
    <n v="228"/>
    <n v="35"/>
    <x v="1"/>
    <x v="2"/>
    <n v="6.3"/>
    <n v="6.3"/>
    <x v="1"/>
    <x v="0"/>
    <n v="3.2"/>
    <n v="5"/>
    <n v="7.7"/>
    <x v="1"/>
    <n v="4"/>
    <n v="1"/>
    <n v="0"/>
    <n v="0"/>
    <n v="1"/>
    <n v="1"/>
    <n v="0"/>
    <x v="1"/>
    <x v="1"/>
    <x v="1"/>
  </r>
  <r>
    <n v="229"/>
    <n v="51"/>
    <x v="0"/>
    <x v="0"/>
    <n v="5.3"/>
    <n v="1.7"/>
    <x v="1"/>
    <x v="0"/>
    <n v="5.4"/>
    <n v="3"/>
    <n v="9.1999999999999993"/>
    <x v="2"/>
    <n v="8"/>
    <n v="1"/>
    <n v="1"/>
    <n v="1"/>
    <n v="0"/>
    <n v="1"/>
    <n v="1"/>
    <x v="0"/>
    <x v="2"/>
    <x v="1"/>
  </r>
  <r>
    <n v="230"/>
    <n v="34"/>
    <x v="1"/>
    <x v="2"/>
    <n v="7.6"/>
    <n v="4.5"/>
    <x v="2"/>
    <x v="1"/>
    <n v="6.4"/>
    <n v="7"/>
    <n v="6.2"/>
    <x v="2"/>
    <n v="6"/>
    <n v="3"/>
    <n v="0"/>
    <n v="1"/>
    <n v="1"/>
    <n v="0"/>
    <n v="0"/>
    <x v="0"/>
    <x v="1"/>
    <x v="1"/>
  </r>
  <r>
    <n v="231"/>
    <n v="41"/>
    <x v="1"/>
    <x v="1"/>
    <n v="10.5"/>
    <n v="6.7"/>
    <x v="2"/>
    <x v="1"/>
    <n v="8.6999999999999993"/>
    <n v="6"/>
    <n v="3"/>
    <x v="1"/>
    <n v="5"/>
    <n v="1"/>
    <n v="1"/>
    <n v="0"/>
    <n v="0"/>
    <n v="0"/>
    <n v="1"/>
    <x v="2"/>
    <x v="1"/>
    <x v="0"/>
  </r>
  <r>
    <n v="232"/>
    <n v="18"/>
    <x v="1"/>
    <x v="2"/>
    <n v="4"/>
    <n v="7.6"/>
    <x v="1"/>
    <x v="0"/>
    <n v="6.1"/>
    <n v="3"/>
    <n v="2.4"/>
    <x v="0"/>
    <n v="9"/>
    <n v="3"/>
    <n v="1"/>
    <n v="1"/>
    <n v="1"/>
    <n v="0"/>
    <n v="0"/>
    <x v="0"/>
    <x v="2"/>
    <x v="2"/>
  </r>
  <r>
    <n v="233"/>
    <n v="34"/>
    <x v="1"/>
    <x v="2"/>
    <n v="11.3"/>
    <n v="4.5999999999999996"/>
    <x v="2"/>
    <x v="1"/>
    <n v="7.9"/>
    <n v="9"/>
    <n v="6.8"/>
    <x v="2"/>
    <n v="10"/>
    <n v="1"/>
    <n v="1"/>
    <n v="0"/>
    <n v="0"/>
    <n v="1"/>
    <n v="1"/>
    <x v="2"/>
    <x v="0"/>
    <x v="0"/>
  </r>
  <r>
    <n v="234"/>
    <n v="35"/>
    <x v="1"/>
    <x v="0"/>
    <n v="8.9"/>
    <n v="7.7"/>
    <x v="1"/>
    <x v="0"/>
    <n v="6.3"/>
    <n v="1"/>
    <n v="8"/>
    <x v="1"/>
    <n v="3"/>
    <n v="0"/>
    <n v="1"/>
    <n v="0"/>
    <n v="1"/>
    <n v="0"/>
    <n v="0"/>
    <x v="0"/>
    <x v="2"/>
    <x v="0"/>
  </r>
  <r>
    <n v="235"/>
    <n v="47"/>
    <x v="0"/>
    <x v="0"/>
    <n v="10.199999999999999"/>
    <n v="4.7"/>
    <x v="1"/>
    <x v="0"/>
    <n v="3.2"/>
    <n v="10"/>
    <n v="2.8"/>
    <x v="2"/>
    <n v="7"/>
    <n v="2"/>
    <n v="1"/>
    <n v="1"/>
    <n v="1"/>
    <n v="1"/>
    <n v="0"/>
    <x v="1"/>
    <x v="0"/>
    <x v="0"/>
  </r>
  <r>
    <n v="236"/>
    <n v="22"/>
    <x v="0"/>
    <x v="2"/>
    <n v="7.6"/>
    <n v="3.8"/>
    <x v="1"/>
    <x v="0"/>
    <n v="4.9000000000000004"/>
    <n v="3"/>
    <n v="4.9000000000000004"/>
    <x v="1"/>
    <n v="9"/>
    <n v="1"/>
    <n v="1"/>
    <n v="1"/>
    <n v="1"/>
    <n v="0"/>
    <n v="1"/>
    <x v="1"/>
    <x v="2"/>
    <x v="1"/>
  </r>
  <r>
    <n v="237"/>
    <n v="56"/>
    <x v="1"/>
    <x v="0"/>
    <n v="9.8000000000000007"/>
    <n v="6.9"/>
    <x v="1"/>
    <x v="0"/>
    <n v="6.5"/>
    <n v="10"/>
    <n v="5.2"/>
    <x v="0"/>
    <n v="4"/>
    <n v="2"/>
    <n v="0"/>
    <n v="1"/>
    <n v="1"/>
    <n v="1"/>
    <n v="1"/>
    <x v="0"/>
    <x v="0"/>
    <x v="0"/>
  </r>
  <r>
    <n v="238"/>
    <n v="48"/>
    <x v="1"/>
    <x v="0"/>
    <n v="2.2000000000000002"/>
    <n v="4.5"/>
    <x v="1"/>
    <x v="0"/>
    <n v="8.6999999999999993"/>
    <n v="7"/>
    <n v="7.6"/>
    <x v="2"/>
    <n v="10"/>
    <n v="4"/>
    <n v="0"/>
    <n v="1"/>
    <n v="0"/>
    <n v="0"/>
    <n v="0"/>
    <x v="2"/>
    <x v="1"/>
    <x v="2"/>
  </r>
  <r>
    <n v="239"/>
    <n v="55"/>
    <x v="1"/>
    <x v="0"/>
    <n v="10.199999999999999"/>
    <n v="4.3"/>
    <x v="1"/>
    <x v="0"/>
    <n v="8.1999999999999993"/>
    <n v="3"/>
    <n v="4.8"/>
    <x v="0"/>
    <n v="10"/>
    <n v="1"/>
    <n v="1"/>
    <n v="0"/>
    <n v="0"/>
    <n v="0"/>
    <n v="0"/>
    <x v="2"/>
    <x v="2"/>
    <x v="0"/>
  </r>
  <r>
    <n v="240"/>
    <n v="54"/>
    <x v="0"/>
    <x v="2"/>
    <n v="2.4"/>
    <n v="4.4000000000000004"/>
    <x v="1"/>
    <x v="0"/>
    <n v="4.4000000000000004"/>
    <n v="3"/>
    <n v="3"/>
    <x v="0"/>
    <n v="3"/>
    <n v="0"/>
    <n v="1"/>
    <n v="1"/>
    <n v="0"/>
    <n v="1"/>
    <n v="0"/>
    <x v="1"/>
    <x v="2"/>
    <x v="2"/>
  </r>
  <r>
    <n v="241"/>
    <n v="33"/>
    <x v="0"/>
    <x v="0"/>
    <n v="10.9"/>
    <n v="6.9"/>
    <x v="2"/>
    <x v="1"/>
    <n v="4.3"/>
    <n v="2"/>
    <n v="3.6"/>
    <x v="1"/>
    <n v="1"/>
    <n v="3"/>
    <n v="0"/>
    <n v="1"/>
    <n v="1"/>
    <n v="1"/>
    <n v="1"/>
    <x v="1"/>
    <x v="2"/>
    <x v="0"/>
  </r>
  <r>
    <n v="242"/>
    <n v="55"/>
    <x v="1"/>
    <x v="2"/>
    <n v="11.9"/>
    <n v="6.8"/>
    <x v="1"/>
    <x v="0"/>
    <n v="4.2"/>
    <n v="9"/>
    <n v="3.7"/>
    <x v="2"/>
    <n v="9"/>
    <n v="0"/>
    <n v="0"/>
    <n v="0"/>
    <n v="1"/>
    <n v="1"/>
    <n v="1"/>
    <x v="1"/>
    <x v="0"/>
    <x v="0"/>
  </r>
  <r>
    <n v="243"/>
    <n v="16"/>
    <x v="0"/>
    <x v="0"/>
    <n v="4.9000000000000004"/>
    <n v="3.8"/>
    <x v="2"/>
    <x v="1"/>
    <n v="8.5"/>
    <n v="4"/>
    <n v="10.4"/>
    <x v="2"/>
    <n v="1"/>
    <n v="2"/>
    <n v="0"/>
    <n v="0"/>
    <n v="1"/>
    <n v="1"/>
    <n v="0"/>
    <x v="2"/>
    <x v="1"/>
    <x v="1"/>
  </r>
  <r>
    <n v="244"/>
    <n v="26"/>
    <x v="0"/>
    <x v="1"/>
    <n v="4.0999999999999996"/>
    <n v="3.3"/>
    <x v="2"/>
    <x v="1"/>
    <n v="8.1"/>
    <n v="10"/>
    <n v="4.8"/>
    <x v="2"/>
    <n v="2"/>
    <n v="3"/>
    <n v="1"/>
    <n v="0"/>
    <n v="0"/>
    <n v="1"/>
    <n v="1"/>
    <x v="2"/>
    <x v="0"/>
    <x v="1"/>
  </r>
  <r>
    <n v="245"/>
    <n v="43"/>
    <x v="1"/>
    <x v="0"/>
    <n v="9.6999999999999993"/>
    <n v="4.4000000000000004"/>
    <x v="1"/>
    <x v="0"/>
    <n v="7.6"/>
    <n v="6"/>
    <n v="9.1"/>
    <x v="2"/>
    <n v="9"/>
    <n v="0"/>
    <n v="1"/>
    <n v="1"/>
    <n v="1"/>
    <n v="1"/>
    <n v="0"/>
    <x v="2"/>
    <x v="1"/>
    <x v="0"/>
  </r>
  <r>
    <n v="246"/>
    <n v="40"/>
    <x v="0"/>
    <x v="0"/>
    <n v="4.5"/>
    <n v="5"/>
    <x v="2"/>
    <x v="1"/>
    <n v="5.4"/>
    <n v="2"/>
    <n v="7.7"/>
    <x v="2"/>
    <n v="5"/>
    <n v="0"/>
    <n v="1"/>
    <n v="0"/>
    <n v="1"/>
    <n v="0"/>
    <n v="1"/>
    <x v="0"/>
    <x v="2"/>
    <x v="1"/>
  </r>
  <r>
    <n v="247"/>
    <n v="38"/>
    <x v="0"/>
    <x v="2"/>
    <n v="10.7"/>
    <n v="2.7"/>
    <x v="2"/>
    <x v="1"/>
    <n v="6"/>
    <n v="9"/>
    <n v="11.8"/>
    <x v="1"/>
    <n v="4"/>
    <n v="0"/>
    <n v="0"/>
    <n v="1"/>
    <n v="1"/>
    <n v="1"/>
    <n v="1"/>
    <x v="0"/>
    <x v="0"/>
    <x v="0"/>
  </r>
  <r>
    <n v="248"/>
    <n v="46"/>
    <x v="1"/>
    <x v="2"/>
    <n v="3"/>
    <n v="6.6"/>
    <x v="2"/>
    <x v="1"/>
    <n v="5.8"/>
    <n v="7"/>
    <n v="4.7"/>
    <x v="2"/>
    <n v="9"/>
    <n v="3"/>
    <n v="0"/>
    <n v="1"/>
    <n v="0"/>
    <n v="1"/>
    <n v="0"/>
    <x v="0"/>
    <x v="1"/>
    <x v="2"/>
  </r>
  <r>
    <n v="249"/>
    <n v="45"/>
    <x v="0"/>
    <x v="0"/>
    <n v="3.3"/>
    <n v="4.4000000000000004"/>
    <x v="1"/>
    <x v="0"/>
    <n v="4.5"/>
    <n v="10"/>
    <n v="3.6"/>
    <x v="0"/>
    <n v="9"/>
    <n v="0"/>
    <n v="1"/>
    <n v="1"/>
    <n v="0"/>
    <n v="0"/>
    <n v="1"/>
    <x v="1"/>
    <x v="0"/>
    <x v="2"/>
  </r>
  <r>
    <n v="250"/>
    <n v="57"/>
    <x v="0"/>
    <x v="1"/>
    <n v="11.8"/>
    <n v="3.3"/>
    <x v="1"/>
    <x v="0"/>
    <n v="6"/>
    <n v="5"/>
    <n v="2.5"/>
    <x v="0"/>
    <n v="2"/>
    <n v="0"/>
    <n v="0"/>
    <n v="1"/>
    <n v="1"/>
    <n v="1"/>
    <n v="0"/>
    <x v="0"/>
    <x v="1"/>
    <x v="0"/>
  </r>
  <r>
    <n v="251"/>
    <n v="50"/>
    <x v="1"/>
    <x v="0"/>
    <n v="8.6999999999999993"/>
    <n v="1.7"/>
    <x v="1"/>
    <x v="0"/>
    <n v="3.2"/>
    <n v="7"/>
    <n v="4.4000000000000004"/>
    <x v="2"/>
    <n v="3"/>
    <n v="2"/>
    <n v="1"/>
    <n v="0"/>
    <n v="1"/>
    <n v="0"/>
    <n v="1"/>
    <x v="1"/>
    <x v="1"/>
    <x v="0"/>
  </r>
  <r>
    <n v="252"/>
    <n v="22"/>
    <x v="0"/>
    <x v="0"/>
    <n v="10.5"/>
    <n v="2.7"/>
    <x v="1"/>
    <x v="0"/>
    <n v="3.8"/>
    <n v="4"/>
    <n v="8.8000000000000007"/>
    <x v="1"/>
    <n v="3"/>
    <n v="0"/>
    <n v="1"/>
    <n v="0"/>
    <n v="1"/>
    <n v="0"/>
    <n v="1"/>
    <x v="1"/>
    <x v="1"/>
    <x v="0"/>
  </r>
  <r>
    <n v="253"/>
    <n v="31"/>
    <x v="0"/>
    <x v="1"/>
    <n v="5.2"/>
    <n v="7.6"/>
    <x v="1"/>
    <x v="0"/>
    <n v="8.3000000000000007"/>
    <n v="10"/>
    <n v="2.9"/>
    <x v="1"/>
    <n v="5"/>
    <n v="0"/>
    <n v="0"/>
    <n v="0"/>
    <n v="1"/>
    <n v="0"/>
    <n v="0"/>
    <x v="2"/>
    <x v="0"/>
    <x v="1"/>
  </r>
  <r>
    <n v="254"/>
    <n v="41"/>
    <x v="1"/>
    <x v="2"/>
    <n v="8.8000000000000007"/>
    <n v="3.1"/>
    <x v="2"/>
    <x v="1"/>
    <n v="7.5"/>
    <n v="7"/>
    <n v="4.4000000000000004"/>
    <x v="2"/>
    <n v="3"/>
    <n v="4"/>
    <n v="1"/>
    <n v="0"/>
    <n v="0"/>
    <n v="1"/>
    <n v="1"/>
    <x v="2"/>
    <x v="1"/>
    <x v="0"/>
  </r>
  <r>
    <n v="255"/>
    <n v="17"/>
    <x v="1"/>
    <x v="0"/>
    <n v="7.9"/>
    <n v="2.2000000000000002"/>
    <x v="2"/>
    <x v="1"/>
    <n v="5.5"/>
    <n v="2"/>
    <n v="10.6"/>
    <x v="0"/>
    <n v="10"/>
    <n v="3"/>
    <n v="0"/>
    <n v="0"/>
    <n v="1"/>
    <n v="0"/>
    <n v="1"/>
    <x v="0"/>
    <x v="2"/>
    <x v="1"/>
  </r>
  <r>
    <n v="256"/>
    <n v="16"/>
    <x v="1"/>
    <x v="2"/>
    <n v="8"/>
    <n v="4.2"/>
    <x v="1"/>
    <x v="0"/>
    <n v="6.1"/>
    <n v="7"/>
    <n v="7.8"/>
    <x v="2"/>
    <n v="6"/>
    <n v="4"/>
    <n v="0"/>
    <n v="1"/>
    <n v="1"/>
    <n v="1"/>
    <n v="0"/>
    <x v="0"/>
    <x v="1"/>
    <x v="1"/>
  </r>
  <r>
    <n v="257"/>
    <n v="27"/>
    <x v="0"/>
    <x v="2"/>
    <n v="8.8000000000000007"/>
    <n v="3.1"/>
    <x v="2"/>
    <x v="1"/>
    <n v="5.2"/>
    <n v="4"/>
    <n v="2.7"/>
    <x v="2"/>
    <n v="2"/>
    <n v="2"/>
    <n v="1"/>
    <n v="1"/>
    <n v="0"/>
    <n v="0"/>
    <n v="0"/>
    <x v="0"/>
    <x v="1"/>
    <x v="0"/>
  </r>
  <r>
    <n v="258"/>
    <n v="20"/>
    <x v="1"/>
    <x v="1"/>
    <n v="7.8"/>
    <n v="1.2"/>
    <x v="2"/>
    <x v="1"/>
    <n v="7.4"/>
    <n v="4"/>
    <n v="2.5"/>
    <x v="2"/>
    <n v="6"/>
    <n v="4"/>
    <n v="1"/>
    <n v="1"/>
    <n v="1"/>
    <n v="1"/>
    <n v="0"/>
    <x v="2"/>
    <x v="1"/>
    <x v="1"/>
  </r>
  <r>
    <n v="259"/>
    <n v="52"/>
    <x v="0"/>
    <x v="1"/>
    <n v="6.3"/>
    <n v="3.3"/>
    <x v="2"/>
    <x v="1"/>
    <n v="7.7"/>
    <n v="1"/>
    <n v="2.6"/>
    <x v="1"/>
    <n v="6"/>
    <n v="1"/>
    <n v="0"/>
    <n v="1"/>
    <n v="1"/>
    <n v="0"/>
    <n v="0"/>
    <x v="2"/>
    <x v="2"/>
    <x v="1"/>
  </r>
  <r>
    <n v="260"/>
    <n v="47"/>
    <x v="1"/>
    <x v="2"/>
    <n v="4.8"/>
    <n v="4.8"/>
    <x v="2"/>
    <x v="1"/>
    <n v="7.6"/>
    <n v="3"/>
    <n v="11.4"/>
    <x v="1"/>
    <n v="2"/>
    <n v="3"/>
    <n v="1"/>
    <n v="0"/>
    <n v="0"/>
    <n v="1"/>
    <n v="1"/>
    <x v="2"/>
    <x v="2"/>
    <x v="1"/>
  </r>
  <r>
    <n v="261"/>
    <n v="24"/>
    <x v="0"/>
    <x v="0"/>
    <n v="9.6999999999999993"/>
    <n v="4.9000000000000004"/>
    <x v="1"/>
    <x v="0"/>
    <n v="7.3"/>
    <n v="5"/>
    <n v="10.5"/>
    <x v="0"/>
    <n v="6"/>
    <n v="0"/>
    <n v="0"/>
    <n v="1"/>
    <n v="1"/>
    <n v="0"/>
    <n v="1"/>
    <x v="2"/>
    <x v="1"/>
    <x v="0"/>
  </r>
  <r>
    <n v="262"/>
    <n v="56"/>
    <x v="1"/>
    <x v="2"/>
    <n v="4.3"/>
    <n v="3.5"/>
    <x v="1"/>
    <x v="0"/>
    <n v="4.2"/>
    <n v="5"/>
    <n v="10.4"/>
    <x v="0"/>
    <n v="6"/>
    <n v="4"/>
    <n v="1"/>
    <n v="1"/>
    <n v="0"/>
    <n v="0"/>
    <n v="1"/>
    <x v="1"/>
    <x v="1"/>
    <x v="1"/>
  </r>
  <r>
    <n v="263"/>
    <n v="50"/>
    <x v="1"/>
    <x v="0"/>
    <n v="8.9"/>
    <n v="4.0999999999999996"/>
    <x v="1"/>
    <x v="0"/>
    <n v="5"/>
    <n v="2"/>
    <n v="11.2"/>
    <x v="2"/>
    <n v="6"/>
    <n v="4"/>
    <n v="0"/>
    <n v="1"/>
    <n v="0"/>
    <n v="1"/>
    <n v="0"/>
    <x v="0"/>
    <x v="2"/>
    <x v="0"/>
  </r>
  <r>
    <n v="264"/>
    <n v="34"/>
    <x v="1"/>
    <x v="0"/>
    <n v="4.3"/>
    <n v="7.8"/>
    <x v="2"/>
    <x v="1"/>
    <n v="5.8"/>
    <n v="4"/>
    <n v="7.1"/>
    <x v="0"/>
    <n v="5"/>
    <n v="0"/>
    <n v="0"/>
    <n v="1"/>
    <n v="1"/>
    <n v="1"/>
    <n v="0"/>
    <x v="0"/>
    <x v="1"/>
    <x v="1"/>
  </r>
  <r>
    <n v="265"/>
    <n v="31"/>
    <x v="1"/>
    <x v="1"/>
    <n v="8.3000000000000007"/>
    <n v="3.6"/>
    <x v="2"/>
    <x v="1"/>
    <n v="5"/>
    <n v="1"/>
    <n v="4.5"/>
    <x v="2"/>
    <n v="7"/>
    <n v="0"/>
    <n v="1"/>
    <n v="1"/>
    <n v="1"/>
    <n v="0"/>
    <n v="0"/>
    <x v="0"/>
    <x v="2"/>
    <x v="0"/>
  </r>
  <r>
    <n v="266"/>
    <n v="18"/>
    <x v="0"/>
    <x v="0"/>
    <n v="9.5"/>
    <n v="2.8"/>
    <x v="1"/>
    <x v="0"/>
    <n v="7.5"/>
    <n v="9"/>
    <n v="6"/>
    <x v="0"/>
    <n v="5"/>
    <n v="2"/>
    <n v="1"/>
    <n v="1"/>
    <n v="1"/>
    <n v="1"/>
    <n v="0"/>
    <x v="2"/>
    <x v="0"/>
    <x v="0"/>
  </r>
  <r>
    <n v="267"/>
    <n v="35"/>
    <x v="1"/>
    <x v="0"/>
    <n v="4.2"/>
    <n v="2.7"/>
    <x v="1"/>
    <x v="0"/>
    <n v="5"/>
    <n v="1"/>
    <n v="9.1999999999999993"/>
    <x v="2"/>
    <n v="1"/>
    <n v="4"/>
    <n v="0"/>
    <n v="0"/>
    <n v="0"/>
    <n v="0"/>
    <n v="0"/>
    <x v="0"/>
    <x v="2"/>
    <x v="1"/>
  </r>
  <r>
    <n v="268"/>
    <n v="39"/>
    <x v="1"/>
    <x v="2"/>
    <n v="2.6"/>
    <n v="4.2"/>
    <x v="2"/>
    <x v="1"/>
    <n v="3.8"/>
    <n v="6"/>
    <n v="10.8"/>
    <x v="1"/>
    <n v="9"/>
    <n v="4"/>
    <n v="0"/>
    <n v="0"/>
    <n v="0"/>
    <n v="0"/>
    <n v="1"/>
    <x v="1"/>
    <x v="1"/>
    <x v="2"/>
  </r>
  <r>
    <n v="269"/>
    <n v="48"/>
    <x v="0"/>
    <x v="1"/>
    <n v="3.3"/>
    <n v="6.3"/>
    <x v="1"/>
    <x v="0"/>
    <n v="5.4"/>
    <n v="7"/>
    <n v="6.4"/>
    <x v="2"/>
    <n v="3"/>
    <n v="1"/>
    <n v="0"/>
    <n v="1"/>
    <n v="1"/>
    <n v="0"/>
    <n v="1"/>
    <x v="0"/>
    <x v="1"/>
    <x v="2"/>
  </r>
  <r>
    <n v="270"/>
    <n v="39"/>
    <x v="1"/>
    <x v="0"/>
    <n v="8.1"/>
    <n v="2.4"/>
    <x v="1"/>
    <x v="0"/>
    <n v="8.9"/>
    <n v="3"/>
    <n v="7.4"/>
    <x v="1"/>
    <n v="2"/>
    <n v="1"/>
    <n v="0"/>
    <n v="1"/>
    <n v="0"/>
    <n v="0"/>
    <n v="1"/>
    <x v="2"/>
    <x v="2"/>
    <x v="0"/>
  </r>
  <r>
    <n v="271"/>
    <n v="26"/>
    <x v="0"/>
    <x v="0"/>
    <n v="10.5"/>
    <n v="6"/>
    <x v="2"/>
    <x v="1"/>
    <n v="4.4000000000000004"/>
    <n v="1"/>
    <n v="11.3"/>
    <x v="1"/>
    <n v="10"/>
    <n v="4"/>
    <n v="1"/>
    <n v="1"/>
    <n v="0"/>
    <n v="1"/>
    <n v="1"/>
    <x v="1"/>
    <x v="2"/>
    <x v="0"/>
  </r>
  <r>
    <n v="272"/>
    <n v="23"/>
    <x v="1"/>
    <x v="1"/>
    <n v="2.4"/>
    <n v="1.1000000000000001"/>
    <x v="2"/>
    <x v="1"/>
    <n v="6.7"/>
    <n v="7"/>
    <n v="3.1"/>
    <x v="0"/>
    <n v="6"/>
    <n v="1"/>
    <n v="1"/>
    <n v="1"/>
    <n v="0"/>
    <n v="0"/>
    <n v="1"/>
    <x v="0"/>
    <x v="1"/>
    <x v="2"/>
  </r>
  <r>
    <n v="273"/>
    <n v="51"/>
    <x v="1"/>
    <x v="2"/>
    <n v="9.3000000000000007"/>
    <n v="3.9"/>
    <x v="1"/>
    <x v="0"/>
    <n v="5.6"/>
    <n v="3"/>
    <n v="10.6"/>
    <x v="0"/>
    <n v="8"/>
    <n v="4"/>
    <n v="1"/>
    <n v="1"/>
    <n v="0"/>
    <n v="1"/>
    <n v="0"/>
    <x v="0"/>
    <x v="2"/>
    <x v="0"/>
  </r>
  <r>
    <n v="274"/>
    <n v="53"/>
    <x v="1"/>
    <x v="1"/>
    <n v="5.4"/>
    <n v="6.4"/>
    <x v="2"/>
    <x v="1"/>
    <n v="3.4"/>
    <n v="10"/>
    <n v="3.6"/>
    <x v="1"/>
    <n v="2"/>
    <n v="3"/>
    <n v="0"/>
    <n v="0"/>
    <n v="1"/>
    <n v="1"/>
    <n v="1"/>
    <x v="1"/>
    <x v="0"/>
    <x v="1"/>
  </r>
  <r>
    <n v="275"/>
    <n v="55"/>
    <x v="0"/>
    <x v="1"/>
    <n v="6.8"/>
    <n v="3.4"/>
    <x v="1"/>
    <x v="0"/>
    <n v="5.9"/>
    <n v="6"/>
    <n v="6.8"/>
    <x v="2"/>
    <n v="4"/>
    <n v="2"/>
    <n v="1"/>
    <n v="0"/>
    <n v="1"/>
    <n v="0"/>
    <n v="0"/>
    <x v="0"/>
    <x v="1"/>
    <x v="1"/>
  </r>
  <r>
    <n v="276"/>
    <n v="35"/>
    <x v="1"/>
    <x v="0"/>
    <n v="11.3"/>
    <n v="4.9000000000000004"/>
    <x v="2"/>
    <x v="1"/>
    <n v="7.2"/>
    <n v="6"/>
    <n v="4.2"/>
    <x v="2"/>
    <n v="2"/>
    <n v="1"/>
    <n v="0"/>
    <n v="1"/>
    <n v="0"/>
    <n v="1"/>
    <n v="1"/>
    <x v="2"/>
    <x v="1"/>
    <x v="0"/>
  </r>
  <r>
    <n v="277"/>
    <n v="50"/>
    <x v="1"/>
    <x v="0"/>
    <n v="5.3"/>
    <n v="2.4"/>
    <x v="2"/>
    <x v="1"/>
    <n v="6.1"/>
    <n v="4"/>
    <n v="8"/>
    <x v="0"/>
    <n v="9"/>
    <n v="4"/>
    <n v="0"/>
    <n v="0"/>
    <n v="1"/>
    <n v="0"/>
    <n v="0"/>
    <x v="0"/>
    <x v="1"/>
    <x v="1"/>
  </r>
  <r>
    <n v="278"/>
    <n v="40"/>
    <x v="1"/>
    <x v="2"/>
    <n v="6.7"/>
    <n v="6.2"/>
    <x v="1"/>
    <x v="0"/>
    <n v="8.1999999999999993"/>
    <n v="6"/>
    <n v="7.6"/>
    <x v="2"/>
    <n v="10"/>
    <n v="1"/>
    <n v="1"/>
    <n v="1"/>
    <n v="0"/>
    <n v="0"/>
    <n v="0"/>
    <x v="2"/>
    <x v="1"/>
    <x v="1"/>
  </r>
  <r>
    <n v="279"/>
    <n v="50"/>
    <x v="0"/>
    <x v="0"/>
    <n v="2.1"/>
    <n v="1.4"/>
    <x v="2"/>
    <x v="1"/>
    <n v="4.7"/>
    <n v="10"/>
    <n v="5.8"/>
    <x v="2"/>
    <n v="2"/>
    <n v="2"/>
    <n v="1"/>
    <n v="1"/>
    <n v="1"/>
    <n v="0"/>
    <n v="0"/>
    <x v="1"/>
    <x v="0"/>
    <x v="2"/>
  </r>
  <r>
    <n v="280"/>
    <n v="40"/>
    <x v="0"/>
    <x v="0"/>
    <n v="2.8"/>
    <n v="7"/>
    <x v="1"/>
    <x v="0"/>
    <n v="3.5"/>
    <n v="4"/>
    <n v="10.6"/>
    <x v="2"/>
    <n v="10"/>
    <n v="3"/>
    <n v="0"/>
    <n v="0"/>
    <n v="0"/>
    <n v="0"/>
    <n v="1"/>
    <x v="1"/>
    <x v="1"/>
    <x v="2"/>
  </r>
  <r>
    <n v="281"/>
    <n v="44"/>
    <x v="1"/>
    <x v="1"/>
    <n v="4.5999999999999996"/>
    <n v="2.4"/>
    <x v="2"/>
    <x v="1"/>
    <n v="8.6"/>
    <n v="8"/>
    <n v="8.6"/>
    <x v="1"/>
    <n v="2"/>
    <n v="0"/>
    <n v="0"/>
    <n v="0"/>
    <n v="0"/>
    <n v="1"/>
    <n v="1"/>
    <x v="2"/>
    <x v="0"/>
    <x v="1"/>
  </r>
  <r>
    <n v="282"/>
    <n v="33"/>
    <x v="0"/>
    <x v="0"/>
    <n v="2.2999999999999998"/>
    <n v="7.1"/>
    <x v="1"/>
    <x v="0"/>
    <n v="5.3"/>
    <n v="9"/>
    <n v="9.1999999999999993"/>
    <x v="1"/>
    <n v="5"/>
    <n v="0"/>
    <n v="1"/>
    <n v="0"/>
    <n v="0"/>
    <n v="1"/>
    <n v="1"/>
    <x v="0"/>
    <x v="0"/>
    <x v="2"/>
  </r>
  <r>
    <n v="283"/>
    <n v="33"/>
    <x v="1"/>
    <x v="2"/>
    <n v="8.3000000000000007"/>
    <n v="3.5"/>
    <x v="2"/>
    <x v="1"/>
    <n v="6.5"/>
    <n v="2"/>
    <n v="3.5"/>
    <x v="2"/>
    <n v="5"/>
    <n v="1"/>
    <n v="0"/>
    <n v="0"/>
    <n v="0"/>
    <n v="1"/>
    <n v="1"/>
    <x v="0"/>
    <x v="2"/>
    <x v="0"/>
  </r>
  <r>
    <n v="284"/>
    <n v="17"/>
    <x v="1"/>
    <x v="1"/>
    <n v="6.3"/>
    <n v="6.1"/>
    <x v="2"/>
    <x v="1"/>
    <n v="7.8"/>
    <n v="7"/>
    <n v="10.8"/>
    <x v="0"/>
    <n v="7"/>
    <n v="4"/>
    <n v="1"/>
    <n v="1"/>
    <n v="1"/>
    <n v="1"/>
    <n v="1"/>
    <x v="2"/>
    <x v="1"/>
    <x v="1"/>
  </r>
  <r>
    <n v="285"/>
    <n v="50"/>
    <x v="1"/>
    <x v="2"/>
    <n v="7.5"/>
    <n v="3.2"/>
    <x v="1"/>
    <x v="0"/>
    <n v="4.9000000000000004"/>
    <n v="9"/>
    <n v="3.7"/>
    <x v="2"/>
    <n v="1"/>
    <n v="2"/>
    <n v="1"/>
    <n v="0"/>
    <n v="0"/>
    <n v="0"/>
    <n v="1"/>
    <x v="1"/>
    <x v="0"/>
    <x v="1"/>
  </r>
  <r>
    <n v="286"/>
    <n v="31"/>
    <x v="1"/>
    <x v="1"/>
    <n v="3.7"/>
    <n v="7.3"/>
    <x v="2"/>
    <x v="1"/>
    <n v="7.3"/>
    <n v="9"/>
    <n v="4.2"/>
    <x v="0"/>
    <n v="2"/>
    <n v="3"/>
    <n v="0"/>
    <n v="0"/>
    <n v="0"/>
    <n v="0"/>
    <n v="1"/>
    <x v="2"/>
    <x v="0"/>
    <x v="2"/>
  </r>
  <r>
    <n v="287"/>
    <n v="56"/>
    <x v="1"/>
    <x v="0"/>
    <n v="5"/>
    <n v="1.9"/>
    <x v="1"/>
    <x v="0"/>
    <n v="3.8"/>
    <n v="5"/>
    <n v="3.3"/>
    <x v="1"/>
    <n v="6"/>
    <n v="3"/>
    <n v="0"/>
    <n v="0"/>
    <n v="0"/>
    <n v="1"/>
    <n v="0"/>
    <x v="1"/>
    <x v="1"/>
    <x v="1"/>
  </r>
  <r>
    <n v="288"/>
    <n v="51"/>
    <x v="1"/>
    <x v="1"/>
    <n v="8.6"/>
    <n v="2.2000000000000002"/>
    <x v="2"/>
    <x v="1"/>
    <n v="4.7"/>
    <n v="1"/>
    <n v="6.4"/>
    <x v="2"/>
    <n v="2"/>
    <n v="3"/>
    <n v="0"/>
    <n v="1"/>
    <n v="0"/>
    <n v="0"/>
    <n v="1"/>
    <x v="1"/>
    <x v="2"/>
    <x v="0"/>
  </r>
  <r>
    <n v="289"/>
    <n v="48"/>
    <x v="1"/>
    <x v="1"/>
    <n v="11.7"/>
    <n v="4.5"/>
    <x v="2"/>
    <x v="1"/>
    <n v="3.9"/>
    <n v="6"/>
    <n v="10.9"/>
    <x v="2"/>
    <n v="4"/>
    <n v="0"/>
    <n v="0"/>
    <n v="1"/>
    <n v="1"/>
    <n v="1"/>
    <n v="0"/>
    <x v="1"/>
    <x v="1"/>
    <x v="0"/>
  </r>
  <r>
    <n v="290"/>
    <n v="19"/>
    <x v="0"/>
    <x v="0"/>
    <n v="2.5"/>
    <n v="1.6"/>
    <x v="1"/>
    <x v="0"/>
    <n v="7.9"/>
    <n v="8"/>
    <n v="4.5"/>
    <x v="0"/>
    <n v="10"/>
    <n v="2"/>
    <n v="0"/>
    <n v="1"/>
    <n v="1"/>
    <n v="0"/>
    <n v="1"/>
    <x v="2"/>
    <x v="0"/>
    <x v="2"/>
  </r>
  <r>
    <n v="291"/>
    <n v="48"/>
    <x v="0"/>
    <x v="0"/>
    <n v="10.9"/>
    <n v="2.4"/>
    <x v="2"/>
    <x v="1"/>
    <n v="4.3"/>
    <n v="1"/>
    <n v="5.7"/>
    <x v="0"/>
    <n v="6"/>
    <n v="0"/>
    <n v="1"/>
    <n v="0"/>
    <n v="0"/>
    <n v="0"/>
    <n v="1"/>
    <x v="1"/>
    <x v="2"/>
    <x v="0"/>
  </r>
  <r>
    <n v="292"/>
    <n v="29"/>
    <x v="0"/>
    <x v="2"/>
    <n v="7.8"/>
    <n v="7.6"/>
    <x v="2"/>
    <x v="1"/>
    <n v="7.3"/>
    <n v="2"/>
    <n v="10.5"/>
    <x v="2"/>
    <n v="7"/>
    <n v="1"/>
    <n v="1"/>
    <n v="0"/>
    <n v="1"/>
    <n v="1"/>
    <n v="0"/>
    <x v="2"/>
    <x v="2"/>
    <x v="1"/>
  </r>
  <r>
    <n v="293"/>
    <n v="36"/>
    <x v="0"/>
    <x v="2"/>
    <n v="7.6"/>
    <n v="7.8"/>
    <x v="1"/>
    <x v="0"/>
    <n v="8.6999999999999993"/>
    <n v="1"/>
    <n v="8.1999999999999993"/>
    <x v="2"/>
    <n v="10"/>
    <n v="3"/>
    <n v="1"/>
    <n v="0"/>
    <n v="0"/>
    <n v="1"/>
    <n v="0"/>
    <x v="2"/>
    <x v="2"/>
    <x v="1"/>
  </r>
  <r>
    <n v="294"/>
    <n v="35"/>
    <x v="0"/>
    <x v="0"/>
    <n v="7"/>
    <n v="3.6"/>
    <x v="2"/>
    <x v="1"/>
    <n v="6.2"/>
    <n v="5"/>
    <n v="9.5"/>
    <x v="0"/>
    <n v="5"/>
    <n v="2"/>
    <n v="1"/>
    <n v="1"/>
    <n v="1"/>
    <n v="1"/>
    <n v="0"/>
    <x v="0"/>
    <x v="1"/>
    <x v="1"/>
  </r>
  <r>
    <n v="295"/>
    <n v="23"/>
    <x v="0"/>
    <x v="0"/>
    <n v="2.7"/>
    <n v="7.5"/>
    <x v="1"/>
    <x v="0"/>
    <n v="6.2"/>
    <n v="2"/>
    <n v="4.0999999999999996"/>
    <x v="1"/>
    <n v="8"/>
    <n v="3"/>
    <n v="0"/>
    <n v="0"/>
    <n v="1"/>
    <n v="1"/>
    <n v="0"/>
    <x v="0"/>
    <x v="2"/>
    <x v="2"/>
  </r>
  <r>
    <n v="296"/>
    <n v="22"/>
    <x v="0"/>
    <x v="0"/>
    <n v="2.9"/>
    <n v="4.8"/>
    <x v="1"/>
    <x v="0"/>
    <n v="5.8"/>
    <n v="10"/>
    <n v="9.1999999999999993"/>
    <x v="0"/>
    <n v="6"/>
    <n v="0"/>
    <n v="1"/>
    <n v="0"/>
    <n v="1"/>
    <n v="1"/>
    <n v="1"/>
    <x v="0"/>
    <x v="0"/>
    <x v="2"/>
  </r>
  <r>
    <n v="297"/>
    <n v="18"/>
    <x v="1"/>
    <x v="1"/>
    <n v="8"/>
    <n v="2.9"/>
    <x v="1"/>
    <x v="0"/>
    <n v="5"/>
    <n v="10"/>
    <n v="4.3"/>
    <x v="2"/>
    <n v="5"/>
    <n v="0"/>
    <n v="0"/>
    <n v="1"/>
    <n v="1"/>
    <n v="1"/>
    <n v="1"/>
    <x v="0"/>
    <x v="0"/>
    <x v="1"/>
  </r>
  <r>
    <n v="298"/>
    <n v="32"/>
    <x v="1"/>
    <x v="1"/>
    <n v="5.4"/>
    <n v="5.9"/>
    <x v="2"/>
    <x v="1"/>
    <n v="5.9"/>
    <n v="4"/>
    <n v="11.9"/>
    <x v="1"/>
    <n v="4"/>
    <n v="0"/>
    <n v="0"/>
    <n v="0"/>
    <n v="1"/>
    <n v="1"/>
    <n v="1"/>
    <x v="0"/>
    <x v="1"/>
    <x v="1"/>
  </r>
  <r>
    <n v="299"/>
    <n v="48"/>
    <x v="1"/>
    <x v="1"/>
    <n v="11.2"/>
    <n v="5.6"/>
    <x v="2"/>
    <x v="1"/>
    <n v="6.6"/>
    <n v="1"/>
    <n v="7.6"/>
    <x v="1"/>
    <n v="6"/>
    <n v="3"/>
    <n v="0"/>
    <n v="0"/>
    <n v="1"/>
    <n v="1"/>
    <n v="1"/>
    <x v="0"/>
    <x v="2"/>
    <x v="0"/>
  </r>
  <r>
    <n v="300"/>
    <n v="27"/>
    <x v="1"/>
    <x v="0"/>
    <n v="6.1"/>
    <n v="7.9"/>
    <x v="1"/>
    <x v="0"/>
    <n v="8.9"/>
    <n v="7"/>
    <n v="9"/>
    <x v="1"/>
    <n v="6"/>
    <n v="2"/>
    <n v="0"/>
    <n v="0"/>
    <n v="1"/>
    <n v="0"/>
    <n v="0"/>
    <x v="2"/>
    <x v="1"/>
    <x v="1"/>
  </r>
  <r>
    <n v="301"/>
    <n v="37"/>
    <x v="0"/>
    <x v="2"/>
    <n v="3.4"/>
    <n v="2.9"/>
    <x v="2"/>
    <x v="1"/>
    <n v="8.6"/>
    <n v="8"/>
    <n v="3.2"/>
    <x v="1"/>
    <n v="6"/>
    <n v="2"/>
    <n v="0"/>
    <n v="0"/>
    <n v="0"/>
    <n v="0"/>
    <n v="0"/>
    <x v="2"/>
    <x v="0"/>
    <x v="2"/>
  </r>
  <r>
    <n v="302"/>
    <n v="37"/>
    <x v="0"/>
    <x v="0"/>
    <n v="9.1"/>
    <n v="5.7"/>
    <x v="1"/>
    <x v="0"/>
    <n v="8.1999999999999993"/>
    <n v="5"/>
    <n v="4.5"/>
    <x v="2"/>
    <n v="1"/>
    <n v="1"/>
    <n v="1"/>
    <n v="1"/>
    <n v="0"/>
    <n v="1"/>
    <n v="1"/>
    <x v="2"/>
    <x v="1"/>
    <x v="0"/>
  </r>
  <r>
    <n v="303"/>
    <n v="45"/>
    <x v="1"/>
    <x v="1"/>
    <n v="4.9000000000000004"/>
    <n v="1.4"/>
    <x v="2"/>
    <x v="1"/>
    <n v="8.3000000000000007"/>
    <n v="2"/>
    <n v="3.4"/>
    <x v="1"/>
    <n v="6"/>
    <n v="3"/>
    <n v="0"/>
    <n v="1"/>
    <n v="1"/>
    <n v="1"/>
    <n v="0"/>
    <x v="2"/>
    <x v="2"/>
    <x v="1"/>
  </r>
  <r>
    <n v="304"/>
    <n v="53"/>
    <x v="1"/>
    <x v="1"/>
    <n v="7.3"/>
    <n v="1.8"/>
    <x v="1"/>
    <x v="0"/>
    <n v="5.8"/>
    <n v="8"/>
    <n v="5.9"/>
    <x v="0"/>
    <n v="1"/>
    <n v="1"/>
    <n v="0"/>
    <n v="1"/>
    <n v="1"/>
    <n v="0"/>
    <n v="0"/>
    <x v="0"/>
    <x v="0"/>
    <x v="1"/>
  </r>
  <r>
    <n v="305"/>
    <n v="53"/>
    <x v="0"/>
    <x v="0"/>
    <n v="9"/>
    <n v="1"/>
    <x v="1"/>
    <x v="0"/>
    <n v="6.9"/>
    <n v="1"/>
    <n v="4.8"/>
    <x v="0"/>
    <n v="5"/>
    <n v="1"/>
    <n v="1"/>
    <n v="0"/>
    <n v="1"/>
    <n v="1"/>
    <n v="1"/>
    <x v="0"/>
    <x v="2"/>
    <x v="0"/>
  </r>
  <r>
    <n v="306"/>
    <n v="23"/>
    <x v="1"/>
    <x v="0"/>
    <n v="11"/>
    <n v="8"/>
    <x v="2"/>
    <x v="1"/>
    <n v="8.4"/>
    <n v="7"/>
    <n v="9.3000000000000007"/>
    <x v="0"/>
    <n v="7"/>
    <n v="1"/>
    <n v="1"/>
    <n v="0"/>
    <n v="1"/>
    <n v="0"/>
    <n v="1"/>
    <x v="2"/>
    <x v="1"/>
    <x v="0"/>
  </r>
  <r>
    <n v="307"/>
    <n v="42"/>
    <x v="1"/>
    <x v="1"/>
    <n v="9.9"/>
    <n v="6.6"/>
    <x v="1"/>
    <x v="0"/>
    <n v="5.4"/>
    <n v="1"/>
    <n v="3.1"/>
    <x v="2"/>
    <n v="1"/>
    <n v="1"/>
    <n v="1"/>
    <n v="1"/>
    <n v="0"/>
    <n v="1"/>
    <n v="0"/>
    <x v="0"/>
    <x v="2"/>
    <x v="0"/>
  </r>
  <r>
    <n v="308"/>
    <n v="42"/>
    <x v="1"/>
    <x v="1"/>
    <n v="8.8000000000000007"/>
    <n v="6.5"/>
    <x v="1"/>
    <x v="0"/>
    <n v="8.8000000000000007"/>
    <n v="6"/>
    <n v="9.5"/>
    <x v="1"/>
    <n v="1"/>
    <n v="0"/>
    <n v="0"/>
    <n v="0"/>
    <n v="1"/>
    <n v="1"/>
    <n v="0"/>
    <x v="2"/>
    <x v="1"/>
    <x v="0"/>
  </r>
  <r>
    <n v="309"/>
    <n v="49"/>
    <x v="1"/>
    <x v="1"/>
    <n v="8.8000000000000007"/>
    <n v="4.5999999999999996"/>
    <x v="2"/>
    <x v="1"/>
    <n v="5.5"/>
    <n v="6"/>
    <n v="2.5"/>
    <x v="0"/>
    <n v="6"/>
    <n v="1"/>
    <n v="0"/>
    <n v="1"/>
    <n v="1"/>
    <n v="1"/>
    <n v="1"/>
    <x v="0"/>
    <x v="1"/>
    <x v="0"/>
  </r>
  <r>
    <n v="310"/>
    <n v="36"/>
    <x v="0"/>
    <x v="0"/>
    <n v="11.5"/>
    <n v="3.1"/>
    <x v="1"/>
    <x v="0"/>
    <n v="6.6"/>
    <n v="5"/>
    <n v="4"/>
    <x v="0"/>
    <n v="7"/>
    <n v="2"/>
    <n v="0"/>
    <n v="1"/>
    <n v="1"/>
    <n v="1"/>
    <n v="0"/>
    <x v="0"/>
    <x v="1"/>
    <x v="0"/>
  </r>
  <r>
    <n v="311"/>
    <n v="45"/>
    <x v="1"/>
    <x v="1"/>
    <n v="5"/>
    <n v="2.1"/>
    <x v="1"/>
    <x v="0"/>
    <n v="7.3"/>
    <n v="2"/>
    <n v="9.9"/>
    <x v="0"/>
    <n v="6"/>
    <n v="1"/>
    <n v="0"/>
    <n v="0"/>
    <n v="0"/>
    <n v="0"/>
    <n v="0"/>
    <x v="2"/>
    <x v="2"/>
    <x v="1"/>
  </r>
  <r>
    <n v="312"/>
    <n v="48"/>
    <x v="1"/>
    <x v="1"/>
    <n v="2"/>
    <n v="3"/>
    <x v="2"/>
    <x v="1"/>
    <n v="8.6999999999999993"/>
    <n v="2"/>
    <n v="9.4"/>
    <x v="1"/>
    <n v="5"/>
    <n v="0"/>
    <n v="1"/>
    <n v="1"/>
    <n v="0"/>
    <n v="1"/>
    <n v="1"/>
    <x v="2"/>
    <x v="2"/>
    <x v="2"/>
  </r>
  <r>
    <n v="313"/>
    <n v="43"/>
    <x v="0"/>
    <x v="2"/>
    <n v="4.7"/>
    <n v="3.6"/>
    <x v="1"/>
    <x v="0"/>
    <n v="4.5"/>
    <n v="9"/>
    <n v="6.8"/>
    <x v="0"/>
    <n v="6"/>
    <n v="4"/>
    <n v="1"/>
    <n v="1"/>
    <n v="1"/>
    <n v="0"/>
    <n v="1"/>
    <x v="1"/>
    <x v="0"/>
    <x v="1"/>
  </r>
  <r>
    <n v="314"/>
    <n v="48"/>
    <x v="0"/>
    <x v="0"/>
    <n v="4.2"/>
    <n v="6.3"/>
    <x v="1"/>
    <x v="0"/>
    <n v="7.5"/>
    <n v="5"/>
    <n v="2.5"/>
    <x v="1"/>
    <n v="3"/>
    <n v="4"/>
    <n v="1"/>
    <n v="1"/>
    <n v="0"/>
    <n v="1"/>
    <n v="0"/>
    <x v="2"/>
    <x v="1"/>
    <x v="1"/>
  </r>
  <r>
    <n v="315"/>
    <n v="20"/>
    <x v="1"/>
    <x v="2"/>
    <n v="8.6"/>
    <n v="4.8"/>
    <x v="1"/>
    <x v="0"/>
    <n v="6.1"/>
    <n v="5"/>
    <n v="8.1"/>
    <x v="1"/>
    <n v="9"/>
    <n v="4"/>
    <n v="1"/>
    <n v="1"/>
    <n v="1"/>
    <n v="0"/>
    <n v="0"/>
    <x v="0"/>
    <x v="1"/>
    <x v="0"/>
  </r>
  <r>
    <n v="316"/>
    <n v="34"/>
    <x v="0"/>
    <x v="2"/>
    <n v="8.3000000000000007"/>
    <n v="1.5"/>
    <x v="1"/>
    <x v="0"/>
    <n v="4.5999999999999996"/>
    <n v="7"/>
    <n v="6.1"/>
    <x v="1"/>
    <n v="5"/>
    <n v="3"/>
    <n v="1"/>
    <n v="1"/>
    <n v="0"/>
    <n v="1"/>
    <n v="0"/>
    <x v="1"/>
    <x v="1"/>
    <x v="0"/>
  </r>
  <r>
    <n v="317"/>
    <n v="19"/>
    <x v="1"/>
    <x v="1"/>
    <n v="7.9"/>
    <n v="1.1000000000000001"/>
    <x v="1"/>
    <x v="0"/>
    <n v="7.7"/>
    <n v="6"/>
    <n v="5.2"/>
    <x v="2"/>
    <n v="2"/>
    <n v="2"/>
    <n v="1"/>
    <n v="1"/>
    <n v="1"/>
    <n v="1"/>
    <n v="1"/>
    <x v="2"/>
    <x v="1"/>
    <x v="1"/>
  </r>
  <r>
    <n v="318"/>
    <n v="50"/>
    <x v="1"/>
    <x v="0"/>
    <n v="2.2000000000000002"/>
    <n v="1.7"/>
    <x v="1"/>
    <x v="0"/>
    <n v="6.3"/>
    <n v="2"/>
    <n v="8.4"/>
    <x v="2"/>
    <n v="10"/>
    <n v="0"/>
    <n v="0"/>
    <n v="0"/>
    <n v="0"/>
    <n v="0"/>
    <n v="1"/>
    <x v="0"/>
    <x v="2"/>
    <x v="2"/>
  </r>
  <r>
    <n v="319"/>
    <n v="32"/>
    <x v="0"/>
    <x v="1"/>
    <n v="9.3000000000000007"/>
    <n v="3.9"/>
    <x v="1"/>
    <x v="0"/>
    <n v="7"/>
    <n v="1"/>
    <n v="6.4"/>
    <x v="1"/>
    <n v="10"/>
    <n v="4"/>
    <n v="0"/>
    <n v="1"/>
    <n v="0"/>
    <n v="1"/>
    <n v="0"/>
    <x v="2"/>
    <x v="2"/>
    <x v="0"/>
  </r>
  <r>
    <n v="320"/>
    <n v="59"/>
    <x v="1"/>
    <x v="0"/>
    <n v="5.2"/>
    <n v="7.5"/>
    <x v="1"/>
    <x v="0"/>
    <n v="4.9000000000000004"/>
    <n v="5"/>
    <n v="2.9"/>
    <x v="1"/>
    <n v="7"/>
    <n v="0"/>
    <n v="1"/>
    <n v="1"/>
    <n v="1"/>
    <n v="0"/>
    <n v="1"/>
    <x v="1"/>
    <x v="1"/>
    <x v="1"/>
  </r>
  <r>
    <n v="321"/>
    <n v="43"/>
    <x v="1"/>
    <x v="2"/>
    <n v="8.6999999999999993"/>
    <n v="5.5"/>
    <x v="2"/>
    <x v="1"/>
    <n v="5.9"/>
    <n v="4"/>
    <n v="11.2"/>
    <x v="2"/>
    <n v="3"/>
    <n v="0"/>
    <n v="1"/>
    <n v="0"/>
    <n v="1"/>
    <n v="1"/>
    <n v="0"/>
    <x v="0"/>
    <x v="1"/>
    <x v="0"/>
  </r>
  <r>
    <n v="322"/>
    <n v="45"/>
    <x v="1"/>
    <x v="0"/>
    <n v="7.6"/>
    <n v="6.6"/>
    <x v="1"/>
    <x v="0"/>
    <n v="6.7"/>
    <n v="3"/>
    <n v="9.8000000000000007"/>
    <x v="2"/>
    <n v="1"/>
    <n v="3"/>
    <n v="1"/>
    <n v="0"/>
    <n v="0"/>
    <n v="0"/>
    <n v="1"/>
    <x v="0"/>
    <x v="2"/>
    <x v="1"/>
  </r>
  <r>
    <n v="323"/>
    <n v="44"/>
    <x v="1"/>
    <x v="1"/>
    <n v="5.4"/>
    <n v="4.3"/>
    <x v="1"/>
    <x v="0"/>
    <n v="5.4"/>
    <n v="2"/>
    <n v="2.6"/>
    <x v="1"/>
    <n v="3"/>
    <n v="4"/>
    <n v="1"/>
    <n v="1"/>
    <n v="1"/>
    <n v="1"/>
    <n v="0"/>
    <x v="0"/>
    <x v="2"/>
    <x v="1"/>
  </r>
  <r>
    <n v="324"/>
    <n v="21"/>
    <x v="0"/>
    <x v="1"/>
    <n v="3.3"/>
    <n v="3.5"/>
    <x v="2"/>
    <x v="1"/>
    <n v="4.2"/>
    <n v="10"/>
    <n v="7.3"/>
    <x v="2"/>
    <n v="9"/>
    <n v="1"/>
    <n v="0"/>
    <n v="0"/>
    <n v="1"/>
    <n v="1"/>
    <n v="1"/>
    <x v="1"/>
    <x v="0"/>
    <x v="2"/>
  </r>
  <r>
    <n v="325"/>
    <n v="50"/>
    <x v="0"/>
    <x v="1"/>
    <n v="2.9"/>
    <n v="1.8"/>
    <x v="1"/>
    <x v="0"/>
    <n v="8.8000000000000007"/>
    <n v="2"/>
    <n v="2.8"/>
    <x v="0"/>
    <n v="5"/>
    <n v="0"/>
    <n v="0"/>
    <n v="0"/>
    <n v="1"/>
    <n v="0"/>
    <n v="0"/>
    <x v="2"/>
    <x v="2"/>
    <x v="2"/>
  </r>
  <r>
    <n v="326"/>
    <n v="56"/>
    <x v="1"/>
    <x v="0"/>
    <n v="10.3"/>
    <n v="7.1"/>
    <x v="1"/>
    <x v="0"/>
    <n v="6.1"/>
    <n v="4"/>
    <n v="10.4"/>
    <x v="1"/>
    <n v="7"/>
    <n v="4"/>
    <n v="0"/>
    <n v="1"/>
    <n v="0"/>
    <n v="0"/>
    <n v="0"/>
    <x v="0"/>
    <x v="1"/>
    <x v="0"/>
  </r>
  <r>
    <n v="327"/>
    <n v="52"/>
    <x v="0"/>
    <x v="2"/>
    <n v="11.2"/>
    <n v="6.5"/>
    <x v="1"/>
    <x v="0"/>
    <n v="7.4"/>
    <n v="2"/>
    <n v="8.1"/>
    <x v="1"/>
    <n v="3"/>
    <n v="0"/>
    <n v="1"/>
    <n v="0"/>
    <n v="0"/>
    <n v="0"/>
    <n v="0"/>
    <x v="2"/>
    <x v="2"/>
    <x v="0"/>
  </r>
  <r>
    <n v="328"/>
    <n v="39"/>
    <x v="1"/>
    <x v="2"/>
    <n v="8.5"/>
    <n v="2.2000000000000002"/>
    <x v="1"/>
    <x v="0"/>
    <n v="5.5"/>
    <n v="4"/>
    <n v="3.7"/>
    <x v="2"/>
    <n v="4"/>
    <n v="3"/>
    <n v="1"/>
    <n v="1"/>
    <n v="0"/>
    <n v="0"/>
    <n v="0"/>
    <x v="0"/>
    <x v="1"/>
    <x v="0"/>
  </r>
  <r>
    <n v="329"/>
    <n v="44"/>
    <x v="1"/>
    <x v="0"/>
    <n v="3"/>
    <n v="4.5999999999999996"/>
    <x v="1"/>
    <x v="0"/>
    <n v="5.0999999999999996"/>
    <n v="3"/>
    <n v="2.2000000000000002"/>
    <x v="0"/>
    <n v="1"/>
    <n v="3"/>
    <n v="1"/>
    <n v="1"/>
    <n v="0"/>
    <n v="0"/>
    <n v="0"/>
    <x v="0"/>
    <x v="2"/>
    <x v="2"/>
  </r>
  <r>
    <n v="330"/>
    <n v="46"/>
    <x v="1"/>
    <x v="1"/>
    <n v="6"/>
    <n v="4.4000000000000004"/>
    <x v="1"/>
    <x v="0"/>
    <n v="5.4"/>
    <n v="9"/>
    <n v="2.2999999999999998"/>
    <x v="2"/>
    <n v="3"/>
    <n v="1"/>
    <n v="0"/>
    <n v="1"/>
    <n v="1"/>
    <n v="0"/>
    <n v="1"/>
    <x v="0"/>
    <x v="0"/>
    <x v="1"/>
  </r>
  <r>
    <n v="331"/>
    <n v="50"/>
    <x v="1"/>
    <x v="2"/>
    <n v="9.3000000000000007"/>
    <n v="5.4"/>
    <x v="2"/>
    <x v="1"/>
    <n v="5.5"/>
    <n v="7"/>
    <n v="7.1"/>
    <x v="0"/>
    <n v="7"/>
    <n v="3"/>
    <n v="0"/>
    <n v="1"/>
    <n v="1"/>
    <n v="1"/>
    <n v="0"/>
    <x v="0"/>
    <x v="1"/>
    <x v="0"/>
  </r>
  <r>
    <n v="332"/>
    <n v="48"/>
    <x v="1"/>
    <x v="1"/>
    <n v="9.8000000000000007"/>
    <n v="7.6"/>
    <x v="2"/>
    <x v="1"/>
    <n v="6.3"/>
    <n v="3"/>
    <n v="9.3000000000000007"/>
    <x v="0"/>
    <n v="4"/>
    <n v="4"/>
    <n v="0"/>
    <n v="0"/>
    <n v="1"/>
    <n v="1"/>
    <n v="1"/>
    <x v="0"/>
    <x v="2"/>
    <x v="0"/>
  </r>
  <r>
    <n v="333"/>
    <n v="36"/>
    <x v="0"/>
    <x v="0"/>
    <n v="3.2"/>
    <n v="5.0999999999999996"/>
    <x v="2"/>
    <x v="1"/>
    <n v="6.3"/>
    <n v="8"/>
    <n v="3.2"/>
    <x v="1"/>
    <n v="2"/>
    <n v="3"/>
    <n v="1"/>
    <n v="1"/>
    <n v="0"/>
    <n v="1"/>
    <n v="0"/>
    <x v="0"/>
    <x v="0"/>
    <x v="2"/>
  </r>
  <r>
    <n v="334"/>
    <n v="47"/>
    <x v="1"/>
    <x v="1"/>
    <n v="2"/>
    <n v="4.8"/>
    <x v="2"/>
    <x v="1"/>
    <n v="6"/>
    <n v="9"/>
    <n v="4.2"/>
    <x v="0"/>
    <n v="5"/>
    <n v="1"/>
    <n v="0"/>
    <n v="0"/>
    <n v="0"/>
    <n v="0"/>
    <n v="0"/>
    <x v="0"/>
    <x v="0"/>
    <x v="2"/>
  </r>
  <r>
    <n v="335"/>
    <n v="38"/>
    <x v="0"/>
    <x v="2"/>
    <n v="9.1"/>
    <n v="1.4"/>
    <x v="2"/>
    <x v="1"/>
    <n v="3.8"/>
    <n v="7"/>
    <n v="5.3"/>
    <x v="1"/>
    <n v="5"/>
    <n v="2"/>
    <n v="0"/>
    <n v="0"/>
    <n v="0"/>
    <n v="0"/>
    <n v="0"/>
    <x v="1"/>
    <x v="1"/>
    <x v="0"/>
  </r>
  <r>
    <n v="336"/>
    <n v="48"/>
    <x v="0"/>
    <x v="2"/>
    <n v="5.6"/>
    <n v="1.4"/>
    <x v="1"/>
    <x v="0"/>
    <n v="6"/>
    <n v="6"/>
    <n v="4.2"/>
    <x v="0"/>
    <n v="2"/>
    <n v="0"/>
    <n v="1"/>
    <n v="1"/>
    <n v="1"/>
    <n v="1"/>
    <n v="1"/>
    <x v="0"/>
    <x v="1"/>
    <x v="1"/>
  </r>
  <r>
    <n v="337"/>
    <n v="18"/>
    <x v="1"/>
    <x v="1"/>
    <n v="4.5"/>
    <n v="2.2999999999999998"/>
    <x v="1"/>
    <x v="0"/>
    <n v="4"/>
    <n v="4"/>
    <n v="5.9"/>
    <x v="1"/>
    <n v="6"/>
    <n v="0"/>
    <n v="0"/>
    <n v="1"/>
    <n v="0"/>
    <n v="0"/>
    <n v="0"/>
    <x v="1"/>
    <x v="1"/>
    <x v="1"/>
  </r>
  <r>
    <n v="338"/>
    <n v="33"/>
    <x v="1"/>
    <x v="0"/>
    <n v="2.1"/>
    <n v="1.2"/>
    <x v="1"/>
    <x v="0"/>
    <n v="3.8"/>
    <n v="5"/>
    <n v="7.6"/>
    <x v="0"/>
    <n v="10"/>
    <n v="4"/>
    <n v="1"/>
    <n v="0"/>
    <n v="0"/>
    <n v="0"/>
    <n v="0"/>
    <x v="1"/>
    <x v="1"/>
    <x v="2"/>
  </r>
  <r>
    <n v="339"/>
    <n v="40"/>
    <x v="1"/>
    <x v="1"/>
    <n v="7.4"/>
    <n v="6.2"/>
    <x v="1"/>
    <x v="0"/>
    <n v="8.6"/>
    <n v="8"/>
    <n v="8.8000000000000007"/>
    <x v="2"/>
    <n v="4"/>
    <n v="1"/>
    <n v="1"/>
    <n v="1"/>
    <n v="1"/>
    <n v="1"/>
    <n v="0"/>
    <x v="2"/>
    <x v="0"/>
    <x v="1"/>
  </r>
  <r>
    <n v="340"/>
    <n v="57"/>
    <x v="1"/>
    <x v="0"/>
    <n v="10.5"/>
    <n v="6.1"/>
    <x v="1"/>
    <x v="0"/>
    <n v="6.6"/>
    <n v="3"/>
    <n v="11.6"/>
    <x v="0"/>
    <n v="1"/>
    <n v="1"/>
    <n v="1"/>
    <n v="1"/>
    <n v="1"/>
    <n v="1"/>
    <n v="1"/>
    <x v="0"/>
    <x v="2"/>
    <x v="0"/>
  </r>
  <r>
    <n v="341"/>
    <n v="46"/>
    <x v="1"/>
    <x v="1"/>
    <n v="11.6"/>
    <n v="2"/>
    <x v="2"/>
    <x v="1"/>
    <n v="7"/>
    <n v="2"/>
    <n v="11.3"/>
    <x v="2"/>
    <n v="3"/>
    <n v="1"/>
    <n v="0"/>
    <n v="1"/>
    <n v="0"/>
    <n v="0"/>
    <n v="1"/>
    <x v="2"/>
    <x v="2"/>
    <x v="0"/>
  </r>
  <r>
    <n v="342"/>
    <n v="18"/>
    <x v="0"/>
    <x v="2"/>
    <n v="7.7"/>
    <n v="6.9"/>
    <x v="2"/>
    <x v="1"/>
    <n v="5.4"/>
    <n v="3"/>
    <n v="7.7"/>
    <x v="0"/>
    <n v="9"/>
    <n v="0"/>
    <n v="0"/>
    <n v="0"/>
    <n v="1"/>
    <n v="0"/>
    <n v="1"/>
    <x v="0"/>
    <x v="2"/>
    <x v="1"/>
  </r>
  <r>
    <n v="343"/>
    <n v="55"/>
    <x v="1"/>
    <x v="0"/>
    <n v="7.1"/>
    <n v="2.1"/>
    <x v="1"/>
    <x v="0"/>
    <n v="8.5"/>
    <n v="7"/>
    <n v="9.3000000000000007"/>
    <x v="0"/>
    <n v="10"/>
    <n v="3"/>
    <n v="1"/>
    <n v="0"/>
    <n v="0"/>
    <n v="0"/>
    <n v="1"/>
    <x v="2"/>
    <x v="1"/>
    <x v="1"/>
  </r>
  <r>
    <n v="344"/>
    <n v="39"/>
    <x v="1"/>
    <x v="0"/>
    <n v="2.9"/>
    <n v="3.1"/>
    <x v="1"/>
    <x v="0"/>
    <n v="6.8"/>
    <n v="8"/>
    <n v="11.5"/>
    <x v="1"/>
    <n v="7"/>
    <n v="0"/>
    <n v="0"/>
    <n v="0"/>
    <n v="1"/>
    <n v="1"/>
    <n v="1"/>
    <x v="0"/>
    <x v="0"/>
    <x v="2"/>
  </r>
  <r>
    <n v="345"/>
    <n v="47"/>
    <x v="0"/>
    <x v="0"/>
    <n v="7.5"/>
    <n v="2.7"/>
    <x v="1"/>
    <x v="0"/>
    <n v="7.6"/>
    <n v="1"/>
    <n v="2.8"/>
    <x v="0"/>
    <n v="6"/>
    <n v="0"/>
    <n v="1"/>
    <n v="0"/>
    <n v="0"/>
    <n v="0"/>
    <n v="0"/>
    <x v="2"/>
    <x v="2"/>
    <x v="1"/>
  </r>
  <r>
    <n v="346"/>
    <n v="37"/>
    <x v="0"/>
    <x v="2"/>
    <n v="5.8"/>
    <n v="3.6"/>
    <x v="2"/>
    <x v="1"/>
    <n v="5.2"/>
    <n v="7"/>
    <n v="2.1"/>
    <x v="0"/>
    <n v="1"/>
    <n v="0"/>
    <n v="0"/>
    <n v="1"/>
    <n v="1"/>
    <n v="0"/>
    <n v="1"/>
    <x v="0"/>
    <x v="1"/>
    <x v="1"/>
  </r>
  <r>
    <n v="347"/>
    <n v="38"/>
    <x v="1"/>
    <x v="1"/>
    <n v="8.1"/>
    <n v="2.8"/>
    <x v="2"/>
    <x v="1"/>
    <n v="8.8000000000000007"/>
    <n v="9"/>
    <n v="2.2999999999999998"/>
    <x v="0"/>
    <n v="9"/>
    <n v="3"/>
    <n v="1"/>
    <n v="1"/>
    <n v="1"/>
    <n v="1"/>
    <n v="0"/>
    <x v="2"/>
    <x v="0"/>
    <x v="0"/>
  </r>
  <r>
    <n v="348"/>
    <n v="17"/>
    <x v="0"/>
    <x v="2"/>
    <n v="5.9"/>
    <n v="4.4000000000000004"/>
    <x v="1"/>
    <x v="0"/>
    <n v="7.9"/>
    <n v="3"/>
    <n v="7.6"/>
    <x v="2"/>
    <n v="9"/>
    <n v="2"/>
    <n v="1"/>
    <n v="0"/>
    <n v="1"/>
    <n v="1"/>
    <n v="1"/>
    <x v="2"/>
    <x v="2"/>
    <x v="1"/>
  </r>
  <r>
    <n v="349"/>
    <n v="42"/>
    <x v="1"/>
    <x v="0"/>
    <n v="4.4000000000000004"/>
    <n v="3.9"/>
    <x v="2"/>
    <x v="1"/>
    <n v="8.1"/>
    <n v="3"/>
    <n v="9.6"/>
    <x v="1"/>
    <n v="1"/>
    <n v="4"/>
    <n v="0"/>
    <n v="0"/>
    <n v="0"/>
    <n v="0"/>
    <n v="1"/>
    <x v="2"/>
    <x v="2"/>
    <x v="1"/>
  </r>
  <r>
    <n v="350"/>
    <n v="57"/>
    <x v="0"/>
    <x v="1"/>
    <n v="2.9"/>
    <n v="7.9"/>
    <x v="1"/>
    <x v="0"/>
    <n v="4"/>
    <n v="8"/>
    <n v="5.7"/>
    <x v="1"/>
    <n v="6"/>
    <n v="2"/>
    <n v="1"/>
    <n v="0"/>
    <n v="1"/>
    <n v="0"/>
    <n v="0"/>
    <x v="1"/>
    <x v="0"/>
    <x v="2"/>
  </r>
  <r>
    <n v="351"/>
    <n v="17"/>
    <x v="0"/>
    <x v="2"/>
    <n v="5.0999999999999996"/>
    <n v="1.4"/>
    <x v="2"/>
    <x v="1"/>
    <n v="4.5999999999999996"/>
    <n v="4"/>
    <n v="7.5"/>
    <x v="0"/>
    <n v="7"/>
    <n v="2"/>
    <n v="1"/>
    <n v="0"/>
    <n v="0"/>
    <n v="1"/>
    <n v="0"/>
    <x v="1"/>
    <x v="1"/>
    <x v="1"/>
  </r>
  <r>
    <n v="352"/>
    <n v="41"/>
    <x v="1"/>
    <x v="0"/>
    <n v="3"/>
    <n v="2"/>
    <x v="2"/>
    <x v="1"/>
    <n v="4.7"/>
    <n v="8"/>
    <n v="7.2"/>
    <x v="0"/>
    <n v="2"/>
    <n v="0"/>
    <n v="1"/>
    <n v="0"/>
    <n v="0"/>
    <n v="1"/>
    <n v="1"/>
    <x v="1"/>
    <x v="0"/>
    <x v="2"/>
  </r>
  <r>
    <n v="353"/>
    <n v="32"/>
    <x v="0"/>
    <x v="0"/>
    <n v="3.8"/>
    <n v="1.4"/>
    <x v="1"/>
    <x v="0"/>
    <n v="4.5999999999999996"/>
    <n v="5"/>
    <n v="2.9"/>
    <x v="2"/>
    <n v="10"/>
    <n v="2"/>
    <n v="1"/>
    <n v="1"/>
    <n v="1"/>
    <n v="1"/>
    <n v="1"/>
    <x v="1"/>
    <x v="1"/>
    <x v="2"/>
  </r>
  <r>
    <n v="354"/>
    <n v="55"/>
    <x v="0"/>
    <x v="2"/>
    <n v="11.9"/>
    <n v="5.4"/>
    <x v="2"/>
    <x v="1"/>
    <n v="8.1"/>
    <n v="3"/>
    <n v="5.2"/>
    <x v="0"/>
    <n v="8"/>
    <n v="0"/>
    <n v="1"/>
    <n v="0"/>
    <n v="0"/>
    <n v="0"/>
    <n v="1"/>
    <x v="2"/>
    <x v="2"/>
    <x v="0"/>
  </r>
  <r>
    <n v="355"/>
    <n v="48"/>
    <x v="0"/>
    <x v="2"/>
    <n v="6.4"/>
    <n v="1.4"/>
    <x v="2"/>
    <x v="1"/>
    <n v="3.2"/>
    <n v="4"/>
    <n v="2.2000000000000002"/>
    <x v="1"/>
    <n v="8"/>
    <n v="0"/>
    <n v="0"/>
    <n v="0"/>
    <n v="1"/>
    <n v="1"/>
    <n v="1"/>
    <x v="1"/>
    <x v="1"/>
    <x v="1"/>
  </r>
  <r>
    <n v="356"/>
    <n v="24"/>
    <x v="0"/>
    <x v="2"/>
    <n v="7.3"/>
    <n v="6.9"/>
    <x v="1"/>
    <x v="0"/>
    <n v="3.5"/>
    <n v="4"/>
    <n v="3.1"/>
    <x v="1"/>
    <n v="6"/>
    <n v="4"/>
    <n v="0"/>
    <n v="1"/>
    <n v="0"/>
    <n v="1"/>
    <n v="1"/>
    <x v="1"/>
    <x v="1"/>
    <x v="1"/>
  </r>
  <r>
    <n v="357"/>
    <n v="58"/>
    <x v="0"/>
    <x v="0"/>
    <n v="10.7"/>
    <n v="4.5999999999999996"/>
    <x v="2"/>
    <x v="1"/>
    <n v="4.5999999999999996"/>
    <n v="8"/>
    <n v="10.1"/>
    <x v="2"/>
    <n v="9"/>
    <n v="1"/>
    <n v="1"/>
    <n v="1"/>
    <n v="1"/>
    <n v="1"/>
    <n v="1"/>
    <x v="1"/>
    <x v="0"/>
    <x v="0"/>
  </r>
  <r>
    <n v="358"/>
    <n v="54"/>
    <x v="0"/>
    <x v="2"/>
    <n v="12"/>
    <n v="4.7"/>
    <x v="1"/>
    <x v="0"/>
    <n v="4.2"/>
    <n v="6"/>
    <n v="10.3"/>
    <x v="2"/>
    <n v="3"/>
    <n v="0"/>
    <n v="0"/>
    <n v="1"/>
    <n v="1"/>
    <n v="0"/>
    <n v="0"/>
    <x v="1"/>
    <x v="1"/>
    <x v="0"/>
  </r>
  <r>
    <n v="359"/>
    <n v="44"/>
    <x v="1"/>
    <x v="0"/>
    <n v="7.8"/>
    <n v="4.9000000000000004"/>
    <x v="2"/>
    <x v="1"/>
    <n v="4.4000000000000004"/>
    <n v="7"/>
    <n v="10"/>
    <x v="1"/>
    <n v="2"/>
    <n v="2"/>
    <n v="1"/>
    <n v="0"/>
    <n v="1"/>
    <n v="1"/>
    <n v="1"/>
    <x v="1"/>
    <x v="1"/>
    <x v="1"/>
  </r>
  <r>
    <n v="360"/>
    <n v="57"/>
    <x v="1"/>
    <x v="2"/>
    <n v="10.1"/>
    <n v="2.2000000000000002"/>
    <x v="1"/>
    <x v="0"/>
    <n v="7.8"/>
    <n v="9"/>
    <n v="9.3000000000000007"/>
    <x v="2"/>
    <n v="2"/>
    <n v="4"/>
    <n v="1"/>
    <n v="1"/>
    <n v="0"/>
    <n v="1"/>
    <n v="1"/>
    <x v="2"/>
    <x v="0"/>
    <x v="0"/>
  </r>
  <r>
    <n v="361"/>
    <n v="41"/>
    <x v="0"/>
    <x v="0"/>
    <n v="5.3"/>
    <n v="2.4"/>
    <x v="1"/>
    <x v="0"/>
    <n v="6.4"/>
    <n v="6"/>
    <n v="9.9"/>
    <x v="0"/>
    <n v="6"/>
    <n v="2"/>
    <n v="1"/>
    <n v="0"/>
    <n v="0"/>
    <n v="0"/>
    <n v="0"/>
    <x v="0"/>
    <x v="1"/>
    <x v="1"/>
  </r>
  <r>
    <n v="362"/>
    <n v="50"/>
    <x v="1"/>
    <x v="0"/>
    <n v="5.0999999999999996"/>
    <n v="3.2"/>
    <x v="2"/>
    <x v="1"/>
    <n v="3"/>
    <n v="3"/>
    <n v="8.6999999999999993"/>
    <x v="0"/>
    <n v="7"/>
    <n v="1"/>
    <n v="1"/>
    <n v="0"/>
    <n v="1"/>
    <n v="0"/>
    <n v="0"/>
    <x v="1"/>
    <x v="2"/>
    <x v="1"/>
  </r>
  <r>
    <n v="363"/>
    <n v="40"/>
    <x v="1"/>
    <x v="1"/>
    <n v="6"/>
    <n v="5.2"/>
    <x v="2"/>
    <x v="1"/>
    <n v="5.6"/>
    <n v="3"/>
    <n v="8.6999999999999993"/>
    <x v="2"/>
    <n v="6"/>
    <n v="3"/>
    <n v="1"/>
    <n v="1"/>
    <n v="0"/>
    <n v="0"/>
    <n v="0"/>
    <x v="0"/>
    <x v="2"/>
    <x v="1"/>
  </r>
  <r>
    <n v="364"/>
    <n v="39"/>
    <x v="1"/>
    <x v="2"/>
    <n v="8.6999999999999993"/>
    <n v="2.5"/>
    <x v="1"/>
    <x v="0"/>
    <n v="5.4"/>
    <n v="3"/>
    <n v="8.6999999999999993"/>
    <x v="1"/>
    <n v="3"/>
    <n v="1"/>
    <n v="0"/>
    <n v="0"/>
    <n v="0"/>
    <n v="0"/>
    <n v="0"/>
    <x v="0"/>
    <x v="2"/>
    <x v="0"/>
  </r>
  <r>
    <n v="365"/>
    <n v="28"/>
    <x v="0"/>
    <x v="2"/>
    <n v="8.8000000000000007"/>
    <n v="1.8"/>
    <x v="2"/>
    <x v="1"/>
    <n v="3.7"/>
    <n v="10"/>
    <n v="7.1"/>
    <x v="2"/>
    <n v="5"/>
    <n v="4"/>
    <n v="0"/>
    <n v="0"/>
    <n v="1"/>
    <n v="1"/>
    <n v="1"/>
    <x v="1"/>
    <x v="0"/>
    <x v="0"/>
  </r>
  <r>
    <n v="366"/>
    <n v="22"/>
    <x v="1"/>
    <x v="0"/>
    <n v="5.2"/>
    <n v="7.8"/>
    <x v="2"/>
    <x v="1"/>
    <n v="7.1"/>
    <n v="2"/>
    <n v="5.6"/>
    <x v="1"/>
    <n v="8"/>
    <n v="1"/>
    <n v="0"/>
    <n v="1"/>
    <n v="1"/>
    <n v="1"/>
    <n v="1"/>
    <x v="2"/>
    <x v="2"/>
    <x v="1"/>
  </r>
  <r>
    <n v="367"/>
    <n v="51"/>
    <x v="0"/>
    <x v="0"/>
    <n v="3.3"/>
    <n v="1.2"/>
    <x v="2"/>
    <x v="1"/>
    <n v="7.2"/>
    <n v="1"/>
    <n v="9.3000000000000007"/>
    <x v="2"/>
    <n v="6"/>
    <n v="1"/>
    <n v="0"/>
    <n v="1"/>
    <n v="0"/>
    <n v="0"/>
    <n v="0"/>
    <x v="2"/>
    <x v="2"/>
    <x v="2"/>
  </r>
  <r>
    <n v="368"/>
    <n v="35"/>
    <x v="1"/>
    <x v="0"/>
    <n v="8.3000000000000007"/>
    <n v="6.6"/>
    <x v="1"/>
    <x v="0"/>
    <n v="7.3"/>
    <n v="10"/>
    <n v="5"/>
    <x v="2"/>
    <n v="2"/>
    <n v="4"/>
    <n v="0"/>
    <n v="1"/>
    <n v="1"/>
    <n v="1"/>
    <n v="0"/>
    <x v="2"/>
    <x v="0"/>
    <x v="0"/>
  </r>
  <r>
    <n v="369"/>
    <n v="16"/>
    <x v="0"/>
    <x v="1"/>
    <n v="3.3"/>
    <n v="6.5"/>
    <x v="1"/>
    <x v="0"/>
    <n v="7.4"/>
    <n v="1"/>
    <n v="7.4"/>
    <x v="2"/>
    <n v="7"/>
    <n v="4"/>
    <n v="0"/>
    <n v="1"/>
    <n v="0"/>
    <n v="0"/>
    <n v="0"/>
    <x v="2"/>
    <x v="2"/>
    <x v="2"/>
  </r>
  <r>
    <n v="370"/>
    <n v="23"/>
    <x v="0"/>
    <x v="1"/>
    <n v="7.8"/>
    <n v="3.1"/>
    <x v="1"/>
    <x v="0"/>
    <n v="3"/>
    <n v="4"/>
    <n v="6.3"/>
    <x v="0"/>
    <n v="8"/>
    <n v="2"/>
    <n v="1"/>
    <n v="1"/>
    <n v="0"/>
    <n v="1"/>
    <n v="1"/>
    <x v="1"/>
    <x v="1"/>
    <x v="1"/>
  </r>
  <r>
    <n v="371"/>
    <n v="31"/>
    <x v="1"/>
    <x v="0"/>
    <n v="8.9"/>
    <n v="1.9"/>
    <x v="2"/>
    <x v="1"/>
    <n v="8.6999999999999993"/>
    <n v="3"/>
    <n v="4.8"/>
    <x v="0"/>
    <n v="4"/>
    <n v="0"/>
    <n v="0"/>
    <n v="1"/>
    <n v="1"/>
    <n v="1"/>
    <n v="1"/>
    <x v="2"/>
    <x v="2"/>
    <x v="0"/>
  </r>
  <r>
    <n v="372"/>
    <n v="29"/>
    <x v="1"/>
    <x v="2"/>
    <n v="9"/>
    <n v="2"/>
    <x v="2"/>
    <x v="1"/>
    <n v="7.9"/>
    <n v="5"/>
    <n v="11.7"/>
    <x v="1"/>
    <n v="1"/>
    <n v="3"/>
    <n v="1"/>
    <n v="1"/>
    <n v="1"/>
    <n v="1"/>
    <n v="0"/>
    <x v="2"/>
    <x v="1"/>
    <x v="0"/>
  </r>
  <r>
    <n v="373"/>
    <n v="27"/>
    <x v="0"/>
    <x v="2"/>
    <n v="9.5"/>
    <n v="5.9"/>
    <x v="1"/>
    <x v="0"/>
    <n v="8.4"/>
    <n v="9"/>
    <n v="4.5999999999999996"/>
    <x v="2"/>
    <n v="2"/>
    <n v="3"/>
    <n v="1"/>
    <n v="1"/>
    <n v="0"/>
    <n v="1"/>
    <n v="1"/>
    <x v="2"/>
    <x v="0"/>
    <x v="0"/>
  </r>
  <r>
    <n v="374"/>
    <n v="38"/>
    <x v="1"/>
    <x v="1"/>
    <n v="10.7"/>
    <n v="5.5"/>
    <x v="1"/>
    <x v="0"/>
    <n v="3.1"/>
    <n v="8"/>
    <n v="5.0999999999999996"/>
    <x v="0"/>
    <n v="4"/>
    <n v="3"/>
    <n v="0"/>
    <n v="1"/>
    <n v="1"/>
    <n v="1"/>
    <n v="0"/>
    <x v="1"/>
    <x v="0"/>
    <x v="0"/>
  </r>
  <r>
    <n v="375"/>
    <n v="30"/>
    <x v="1"/>
    <x v="1"/>
    <n v="7"/>
    <n v="6.5"/>
    <x v="2"/>
    <x v="1"/>
    <n v="8.6"/>
    <n v="9"/>
    <n v="3.6"/>
    <x v="2"/>
    <n v="7"/>
    <n v="1"/>
    <n v="0"/>
    <n v="1"/>
    <n v="1"/>
    <n v="0"/>
    <n v="0"/>
    <x v="2"/>
    <x v="0"/>
    <x v="1"/>
  </r>
  <r>
    <n v="376"/>
    <n v="43"/>
    <x v="1"/>
    <x v="0"/>
    <n v="9.3000000000000007"/>
    <n v="7.6"/>
    <x v="2"/>
    <x v="1"/>
    <n v="7.9"/>
    <n v="5"/>
    <n v="10.199999999999999"/>
    <x v="1"/>
    <n v="2"/>
    <n v="4"/>
    <n v="1"/>
    <n v="0"/>
    <n v="0"/>
    <n v="0"/>
    <n v="0"/>
    <x v="2"/>
    <x v="1"/>
    <x v="0"/>
  </r>
  <r>
    <n v="377"/>
    <n v="49"/>
    <x v="0"/>
    <x v="2"/>
    <n v="8.1999999999999993"/>
    <n v="5.8"/>
    <x v="2"/>
    <x v="1"/>
    <n v="8"/>
    <n v="8"/>
    <n v="7.9"/>
    <x v="0"/>
    <n v="6"/>
    <n v="4"/>
    <n v="1"/>
    <n v="0"/>
    <n v="0"/>
    <n v="1"/>
    <n v="1"/>
    <x v="2"/>
    <x v="0"/>
    <x v="0"/>
  </r>
  <r>
    <n v="378"/>
    <n v="17"/>
    <x v="0"/>
    <x v="0"/>
    <n v="3.9"/>
    <n v="2.1"/>
    <x v="2"/>
    <x v="1"/>
    <n v="3.6"/>
    <n v="4"/>
    <n v="8.1"/>
    <x v="1"/>
    <n v="2"/>
    <n v="4"/>
    <n v="1"/>
    <n v="0"/>
    <n v="0"/>
    <n v="1"/>
    <n v="1"/>
    <x v="1"/>
    <x v="1"/>
    <x v="2"/>
  </r>
  <r>
    <n v="379"/>
    <n v="47"/>
    <x v="1"/>
    <x v="1"/>
    <n v="2.2999999999999998"/>
    <n v="2.7"/>
    <x v="1"/>
    <x v="0"/>
    <n v="7.4"/>
    <n v="5"/>
    <n v="10.199999999999999"/>
    <x v="0"/>
    <n v="7"/>
    <n v="0"/>
    <n v="1"/>
    <n v="1"/>
    <n v="0"/>
    <n v="0"/>
    <n v="1"/>
    <x v="2"/>
    <x v="1"/>
    <x v="2"/>
  </r>
  <r>
    <n v="380"/>
    <n v="38"/>
    <x v="1"/>
    <x v="2"/>
    <n v="4.8"/>
    <n v="6.9"/>
    <x v="2"/>
    <x v="1"/>
    <n v="8.8000000000000007"/>
    <n v="3"/>
    <n v="5.4"/>
    <x v="2"/>
    <n v="2"/>
    <n v="4"/>
    <n v="1"/>
    <n v="0"/>
    <n v="0"/>
    <n v="0"/>
    <n v="0"/>
    <x v="2"/>
    <x v="2"/>
    <x v="1"/>
  </r>
  <r>
    <n v="381"/>
    <n v="37"/>
    <x v="1"/>
    <x v="2"/>
    <n v="6.4"/>
    <n v="2.5"/>
    <x v="2"/>
    <x v="1"/>
    <n v="7.1"/>
    <n v="5"/>
    <n v="3.9"/>
    <x v="1"/>
    <n v="3"/>
    <n v="4"/>
    <n v="0"/>
    <n v="0"/>
    <n v="0"/>
    <n v="0"/>
    <n v="0"/>
    <x v="2"/>
    <x v="1"/>
    <x v="1"/>
  </r>
  <r>
    <n v="382"/>
    <n v="40"/>
    <x v="0"/>
    <x v="1"/>
    <n v="8.1999999999999993"/>
    <n v="1.5"/>
    <x v="1"/>
    <x v="0"/>
    <n v="6.4"/>
    <n v="3"/>
    <n v="4"/>
    <x v="0"/>
    <n v="9"/>
    <n v="1"/>
    <n v="0"/>
    <n v="0"/>
    <n v="1"/>
    <n v="0"/>
    <n v="1"/>
    <x v="0"/>
    <x v="2"/>
    <x v="0"/>
  </r>
  <r>
    <n v="383"/>
    <n v="37"/>
    <x v="0"/>
    <x v="0"/>
    <n v="10.5"/>
    <n v="5.9"/>
    <x v="1"/>
    <x v="0"/>
    <n v="8.6999999999999993"/>
    <n v="5"/>
    <n v="9.3000000000000007"/>
    <x v="0"/>
    <n v="4"/>
    <n v="2"/>
    <n v="1"/>
    <n v="0"/>
    <n v="1"/>
    <n v="0"/>
    <n v="1"/>
    <x v="2"/>
    <x v="1"/>
    <x v="0"/>
  </r>
  <r>
    <n v="384"/>
    <n v="37"/>
    <x v="1"/>
    <x v="0"/>
    <n v="4"/>
    <n v="3.8"/>
    <x v="2"/>
    <x v="1"/>
    <n v="5.7"/>
    <n v="5"/>
    <n v="8.1"/>
    <x v="2"/>
    <n v="5"/>
    <n v="3"/>
    <n v="1"/>
    <n v="0"/>
    <n v="1"/>
    <n v="1"/>
    <n v="1"/>
    <x v="0"/>
    <x v="1"/>
    <x v="2"/>
  </r>
  <r>
    <n v="385"/>
    <n v="57"/>
    <x v="1"/>
    <x v="2"/>
    <n v="3.3"/>
    <n v="7.4"/>
    <x v="1"/>
    <x v="0"/>
    <n v="6.6"/>
    <n v="6"/>
    <n v="4.0999999999999996"/>
    <x v="1"/>
    <n v="9"/>
    <n v="1"/>
    <n v="1"/>
    <n v="1"/>
    <n v="1"/>
    <n v="0"/>
    <n v="0"/>
    <x v="0"/>
    <x v="1"/>
    <x v="2"/>
  </r>
  <r>
    <n v="386"/>
    <n v="21"/>
    <x v="1"/>
    <x v="1"/>
    <n v="11.6"/>
    <n v="5.6"/>
    <x v="2"/>
    <x v="1"/>
    <n v="5.9"/>
    <n v="9"/>
    <n v="3.5"/>
    <x v="1"/>
    <n v="7"/>
    <n v="1"/>
    <n v="1"/>
    <n v="1"/>
    <n v="1"/>
    <n v="1"/>
    <n v="0"/>
    <x v="0"/>
    <x v="0"/>
    <x v="0"/>
  </r>
  <r>
    <n v="387"/>
    <n v="30"/>
    <x v="1"/>
    <x v="2"/>
    <n v="3.1"/>
    <n v="1.6"/>
    <x v="2"/>
    <x v="1"/>
    <n v="8.6"/>
    <n v="1"/>
    <n v="3.2"/>
    <x v="1"/>
    <n v="8"/>
    <n v="1"/>
    <n v="1"/>
    <n v="1"/>
    <n v="0"/>
    <n v="1"/>
    <n v="0"/>
    <x v="2"/>
    <x v="2"/>
    <x v="2"/>
  </r>
  <r>
    <n v="388"/>
    <n v="58"/>
    <x v="1"/>
    <x v="1"/>
    <n v="6.8"/>
    <n v="7.6"/>
    <x v="1"/>
    <x v="0"/>
    <n v="3.5"/>
    <n v="10"/>
    <n v="8.3000000000000007"/>
    <x v="2"/>
    <n v="3"/>
    <n v="3"/>
    <n v="1"/>
    <n v="0"/>
    <n v="1"/>
    <n v="0"/>
    <n v="0"/>
    <x v="1"/>
    <x v="0"/>
    <x v="1"/>
  </r>
  <r>
    <n v="389"/>
    <n v="52"/>
    <x v="1"/>
    <x v="0"/>
    <n v="7.9"/>
    <n v="2.8"/>
    <x v="1"/>
    <x v="0"/>
    <n v="6"/>
    <n v="6"/>
    <n v="2"/>
    <x v="0"/>
    <n v="4"/>
    <n v="1"/>
    <n v="1"/>
    <n v="0"/>
    <n v="1"/>
    <n v="0"/>
    <n v="0"/>
    <x v="0"/>
    <x v="1"/>
    <x v="1"/>
  </r>
  <r>
    <n v="390"/>
    <n v="48"/>
    <x v="0"/>
    <x v="1"/>
    <n v="7.4"/>
    <n v="3.4"/>
    <x v="2"/>
    <x v="1"/>
    <n v="7.1"/>
    <n v="1"/>
    <n v="2.2000000000000002"/>
    <x v="0"/>
    <n v="7"/>
    <n v="2"/>
    <n v="1"/>
    <n v="1"/>
    <n v="0"/>
    <n v="0"/>
    <n v="0"/>
    <x v="2"/>
    <x v="2"/>
    <x v="1"/>
  </r>
  <r>
    <n v="391"/>
    <n v="23"/>
    <x v="1"/>
    <x v="0"/>
    <n v="2.9"/>
    <n v="3.8"/>
    <x v="1"/>
    <x v="0"/>
    <n v="7.8"/>
    <n v="6"/>
    <n v="5.9"/>
    <x v="1"/>
    <n v="4"/>
    <n v="4"/>
    <n v="0"/>
    <n v="1"/>
    <n v="0"/>
    <n v="1"/>
    <n v="0"/>
    <x v="2"/>
    <x v="1"/>
    <x v="2"/>
  </r>
  <r>
    <n v="392"/>
    <n v="59"/>
    <x v="0"/>
    <x v="1"/>
    <n v="2.6"/>
    <n v="1.4"/>
    <x v="2"/>
    <x v="1"/>
    <n v="6.5"/>
    <n v="2"/>
    <n v="8.9"/>
    <x v="0"/>
    <n v="2"/>
    <n v="2"/>
    <n v="1"/>
    <n v="1"/>
    <n v="1"/>
    <n v="1"/>
    <n v="0"/>
    <x v="0"/>
    <x v="2"/>
    <x v="2"/>
  </r>
  <r>
    <n v="393"/>
    <n v="59"/>
    <x v="1"/>
    <x v="2"/>
    <n v="3.1"/>
    <n v="4.5"/>
    <x v="2"/>
    <x v="1"/>
    <n v="8.5"/>
    <n v="8"/>
    <n v="9"/>
    <x v="1"/>
    <n v="10"/>
    <n v="4"/>
    <n v="1"/>
    <n v="0"/>
    <n v="1"/>
    <n v="1"/>
    <n v="1"/>
    <x v="2"/>
    <x v="0"/>
    <x v="2"/>
  </r>
  <r>
    <n v="394"/>
    <n v="20"/>
    <x v="1"/>
    <x v="0"/>
    <n v="7.9"/>
    <n v="1.9"/>
    <x v="2"/>
    <x v="1"/>
    <n v="8.6999999999999993"/>
    <n v="3"/>
    <n v="6.3"/>
    <x v="2"/>
    <n v="6"/>
    <n v="4"/>
    <n v="0"/>
    <n v="1"/>
    <n v="1"/>
    <n v="0"/>
    <n v="0"/>
    <x v="2"/>
    <x v="2"/>
    <x v="1"/>
  </r>
  <r>
    <n v="395"/>
    <n v="54"/>
    <x v="0"/>
    <x v="2"/>
    <n v="7.4"/>
    <n v="3.8"/>
    <x v="1"/>
    <x v="0"/>
    <n v="3.4"/>
    <n v="10"/>
    <n v="8.9"/>
    <x v="2"/>
    <n v="9"/>
    <n v="1"/>
    <n v="1"/>
    <n v="1"/>
    <n v="1"/>
    <n v="1"/>
    <n v="0"/>
    <x v="1"/>
    <x v="0"/>
    <x v="1"/>
  </r>
  <r>
    <n v="396"/>
    <n v="19"/>
    <x v="0"/>
    <x v="2"/>
    <n v="4.3"/>
    <n v="3.5"/>
    <x v="2"/>
    <x v="1"/>
    <n v="5.4"/>
    <n v="6"/>
    <n v="7.2"/>
    <x v="2"/>
    <n v="2"/>
    <n v="1"/>
    <n v="1"/>
    <n v="1"/>
    <n v="0"/>
    <n v="0"/>
    <n v="1"/>
    <x v="0"/>
    <x v="1"/>
    <x v="1"/>
  </r>
  <r>
    <n v="397"/>
    <n v="21"/>
    <x v="0"/>
    <x v="0"/>
    <n v="8.4"/>
    <n v="6.4"/>
    <x v="2"/>
    <x v="1"/>
    <n v="3.1"/>
    <n v="6"/>
    <n v="11.8"/>
    <x v="1"/>
    <n v="1"/>
    <n v="3"/>
    <n v="1"/>
    <n v="1"/>
    <n v="1"/>
    <n v="0"/>
    <n v="1"/>
    <x v="1"/>
    <x v="1"/>
    <x v="0"/>
  </r>
  <r>
    <n v="398"/>
    <n v="47"/>
    <x v="0"/>
    <x v="0"/>
    <n v="10.199999999999999"/>
    <n v="6.6"/>
    <x v="2"/>
    <x v="1"/>
    <n v="5"/>
    <n v="4"/>
    <n v="3.6"/>
    <x v="0"/>
    <n v="8"/>
    <n v="0"/>
    <n v="1"/>
    <n v="1"/>
    <n v="1"/>
    <n v="1"/>
    <n v="1"/>
    <x v="0"/>
    <x v="1"/>
    <x v="0"/>
  </r>
  <r>
    <n v="399"/>
    <n v="45"/>
    <x v="1"/>
    <x v="2"/>
    <n v="2.4"/>
    <n v="2.1"/>
    <x v="1"/>
    <x v="0"/>
    <n v="6.2"/>
    <n v="5"/>
    <n v="8"/>
    <x v="2"/>
    <n v="1"/>
    <n v="2"/>
    <n v="0"/>
    <n v="0"/>
    <n v="1"/>
    <n v="0"/>
    <n v="1"/>
    <x v="0"/>
    <x v="1"/>
    <x v="2"/>
  </r>
  <r>
    <n v="400"/>
    <n v="50"/>
    <x v="0"/>
    <x v="2"/>
    <n v="7"/>
    <n v="3.6"/>
    <x v="2"/>
    <x v="1"/>
    <n v="8.5"/>
    <n v="2"/>
    <n v="6.9"/>
    <x v="1"/>
    <n v="1"/>
    <n v="3"/>
    <n v="1"/>
    <n v="0"/>
    <n v="0"/>
    <n v="0"/>
    <n v="1"/>
    <x v="2"/>
    <x v="2"/>
    <x v="1"/>
  </r>
  <r>
    <n v="401"/>
    <n v="55"/>
    <x v="1"/>
    <x v="2"/>
    <n v="8.9"/>
    <n v="3.6"/>
    <x v="2"/>
    <x v="1"/>
    <n v="8.1"/>
    <n v="10"/>
    <n v="3.9"/>
    <x v="1"/>
    <n v="3"/>
    <n v="3"/>
    <n v="1"/>
    <n v="1"/>
    <n v="1"/>
    <n v="0"/>
    <n v="1"/>
    <x v="2"/>
    <x v="0"/>
    <x v="0"/>
  </r>
  <r>
    <n v="402"/>
    <n v="31"/>
    <x v="0"/>
    <x v="2"/>
    <n v="4.5"/>
    <n v="2.1"/>
    <x v="2"/>
    <x v="1"/>
    <n v="3.8"/>
    <n v="10"/>
    <n v="9.5"/>
    <x v="2"/>
    <n v="5"/>
    <n v="2"/>
    <n v="1"/>
    <n v="0"/>
    <n v="1"/>
    <n v="1"/>
    <n v="1"/>
    <x v="1"/>
    <x v="0"/>
    <x v="1"/>
  </r>
  <r>
    <n v="403"/>
    <n v="28"/>
    <x v="1"/>
    <x v="0"/>
    <n v="5.0999999999999996"/>
    <n v="6.6"/>
    <x v="1"/>
    <x v="0"/>
    <n v="3.6"/>
    <n v="8"/>
    <n v="4.8"/>
    <x v="2"/>
    <n v="9"/>
    <n v="2"/>
    <n v="0"/>
    <n v="1"/>
    <n v="1"/>
    <n v="1"/>
    <n v="1"/>
    <x v="1"/>
    <x v="0"/>
    <x v="1"/>
  </r>
  <r>
    <n v="404"/>
    <n v="57"/>
    <x v="1"/>
    <x v="0"/>
    <n v="8.1"/>
    <n v="6"/>
    <x v="2"/>
    <x v="1"/>
    <n v="6.5"/>
    <n v="10"/>
    <n v="5.8"/>
    <x v="2"/>
    <n v="10"/>
    <n v="4"/>
    <n v="1"/>
    <n v="1"/>
    <n v="0"/>
    <n v="1"/>
    <n v="0"/>
    <x v="0"/>
    <x v="0"/>
    <x v="0"/>
  </r>
  <r>
    <n v="405"/>
    <n v="45"/>
    <x v="1"/>
    <x v="2"/>
    <n v="11"/>
    <n v="2.2999999999999998"/>
    <x v="2"/>
    <x v="1"/>
    <n v="6.2"/>
    <n v="7"/>
    <n v="5.7"/>
    <x v="0"/>
    <n v="2"/>
    <n v="0"/>
    <n v="1"/>
    <n v="0"/>
    <n v="0"/>
    <n v="0"/>
    <n v="0"/>
    <x v="0"/>
    <x v="1"/>
    <x v="0"/>
  </r>
  <r>
    <n v="406"/>
    <n v="34"/>
    <x v="1"/>
    <x v="1"/>
    <n v="10.1"/>
    <n v="3.6"/>
    <x v="1"/>
    <x v="0"/>
    <n v="4.5999999999999996"/>
    <n v="10"/>
    <n v="4.4000000000000004"/>
    <x v="0"/>
    <n v="1"/>
    <n v="1"/>
    <n v="0"/>
    <n v="0"/>
    <n v="1"/>
    <n v="1"/>
    <n v="1"/>
    <x v="1"/>
    <x v="0"/>
    <x v="0"/>
  </r>
  <r>
    <n v="407"/>
    <n v="32"/>
    <x v="1"/>
    <x v="1"/>
    <n v="7.8"/>
    <n v="1.7"/>
    <x v="1"/>
    <x v="0"/>
    <n v="8.4"/>
    <n v="6"/>
    <n v="6.3"/>
    <x v="1"/>
    <n v="1"/>
    <n v="0"/>
    <n v="0"/>
    <n v="0"/>
    <n v="0"/>
    <n v="0"/>
    <n v="1"/>
    <x v="2"/>
    <x v="1"/>
    <x v="1"/>
  </r>
  <r>
    <n v="408"/>
    <n v="34"/>
    <x v="1"/>
    <x v="0"/>
    <n v="9.3000000000000007"/>
    <n v="5.4"/>
    <x v="2"/>
    <x v="1"/>
    <n v="8.6"/>
    <n v="7"/>
    <n v="6.7"/>
    <x v="2"/>
    <n v="8"/>
    <n v="0"/>
    <n v="0"/>
    <n v="0"/>
    <n v="0"/>
    <n v="1"/>
    <n v="0"/>
    <x v="2"/>
    <x v="1"/>
    <x v="0"/>
  </r>
  <r>
    <n v="409"/>
    <n v="43"/>
    <x v="0"/>
    <x v="2"/>
    <n v="5.6"/>
    <n v="1.8"/>
    <x v="2"/>
    <x v="1"/>
    <n v="5.4"/>
    <n v="1"/>
    <n v="9.4"/>
    <x v="2"/>
    <n v="10"/>
    <n v="1"/>
    <n v="0"/>
    <n v="1"/>
    <n v="0"/>
    <n v="1"/>
    <n v="0"/>
    <x v="0"/>
    <x v="2"/>
    <x v="1"/>
  </r>
  <r>
    <n v="410"/>
    <n v="41"/>
    <x v="1"/>
    <x v="2"/>
    <n v="8.4"/>
    <n v="7.9"/>
    <x v="2"/>
    <x v="1"/>
    <n v="8.3000000000000007"/>
    <n v="5"/>
    <n v="9.6999999999999993"/>
    <x v="0"/>
    <n v="10"/>
    <n v="0"/>
    <n v="1"/>
    <n v="0"/>
    <n v="0"/>
    <n v="0"/>
    <n v="1"/>
    <x v="2"/>
    <x v="1"/>
    <x v="0"/>
  </r>
  <r>
    <n v="411"/>
    <n v="52"/>
    <x v="0"/>
    <x v="0"/>
    <n v="6.7"/>
    <n v="6.5"/>
    <x v="1"/>
    <x v="0"/>
    <n v="5.3"/>
    <n v="7"/>
    <n v="3.6"/>
    <x v="2"/>
    <n v="10"/>
    <n v="3"/>
    <n v="0"/>
    <n v="1"/>
    <n v="1"/>
    <n v="1"/>
    <n v="0"/>
    <x v="0"/>
    <x v="1"/>
    <x v="1"/>
  </r>
  <r>
    <n v="412"/>
    <n v="41"/>
    <x v="0"/>
    <x v="1"/>
    <n v="3.9"/>
    <n v="3.7"/>
    <x v="1"/>
    <x v="0"/>
    <n v="7.4"/>
    <n v="1"/>
    <n v="7.9"/>
    <x v="1"/>
    <n v="2"/>
    <n v="3"/>
    <n v="0"/>
    <n v="1"/>
    <n v="0"/>
    <n v="1"/>
    <n v="0"/>
    <x v="2"/>
    <x v="2"/>
    <x v="2"/>
  </r>
  <r>
    <n v="413"/>
    <n v="38"/>
    <x v="1"/>
    <x v="1"/>
    <n v="9"/>
    <n v="5"/>
    <x v="2"/>
    <x v="1"/>
    <n v="5.9"/>
    <n v="2"/>
    <n v="11"/>
    <x v="2"/>
    <n v="9"/>
    <n v="1"/>
    <n v="0"/>
    <n v="1"/>
    <n v="0"/>
    <n v="0"/>
    <n v="0"/>
    <x v="0"/>
    <x v="2"/>
    <x v="0"/>
  </r>
  <r>
    <n v="414"/>
    <n v="24"/>
    <x v="0"/>
    <x v="1"/>
    <n v="7.6"/>
    <n v="7.4"/>
    <x v="1"/>
    <x v="0"/>
    <n v="3.7"/>
    <n v="9"/>
    <n v="3.1"/>
    <x v="0"/>
    <n v="9"/>
    <n v="1"/>
    <n v="1"/>
    <n v="1"/>
    <n v="1"/>
    <n v="1"/>
    <n v="1"/>
    <x v="1"/>
    <x v="0"/>
    <x v="1"/>
  </r>
  <r>
    <n v="415"/>
    <n v="27"/>
    <x v="1"/>
    <x v="0"/>
    <n v="5.6"/>
    <n v="4.9000000000000004"/>
    <x v="2"/>
    <x v="1"/>
    <n v="8.6"/>
    <n v="3"/>
    <n v="6.7"/>
    <x v="1"/>
    <n v="2"/>
    <n v="2"/>
    <n v="0"/>
    <n v="1"/>
    <n v="0"/>
    <n v="0"/>
    <n v="1"/>
    <x v="2"/>
    <x v="2"/>
    <x v="1"/>
  </r>
  <r>
    <n v="416"/>
    <n v="16"/>
    <x v="0"/>
    <x v="1"/>
    <n v="11.1"/>
    <n v="2.2000000000000002"/>
    <x v="2"/>
    <x v="1"/>
    <n v="5.7"/>
    <n v="6"/>
    <n v="9.5"/>
    <x v="1"/>
    <n v="3"/>
    <n v="2"/>
    <n v="1"/>
    <n v="0"/>
    <n v="1"/>
    <n v="1"/>
    <n v="1"/>
    <x v="0"/>
    <x v="1"/>
    <x v="0"/>
  </r>
  <r>
    <n v="417"/>
    <n v="16"/>
    <x v="1"/>
    <x v="0"/>
    <n v="2.2000000000000002"/>
    <n v="3.7"/>
    <x v="1"/>
    <x v="0"/>
    <n v="7.4"/>
    <n v="7"/>
    <n v="8.1"/>
    <x v="2"/>
    <n v="2"/>
    <n v="0"/>
    <n v="1"/>
    <n v="1"/>
    <n v="1"/>
    <n v="0"/>
    <n v="1"/>
    <x v="2"/>
    <x v="1"/>
    <x v="2"/>
  </r>
  <r>
    <n v="418"/>
    <n v="49"/>
    <x v="0"/>
    <x v="0"/>
    <n v="5.2"/>
    <n v="6.9"/>
    <x v="2"/>
    <x v="1"/>
    <n v="5.2"/>
    <n v="9"/>
    <n v="3"/>
    <x v="1"/>
    <n v="6"/>
    <n v="0"/>
    <n v="0"/>
    <n v="0"/>
    <n v="0"/>
    <n v="1"/>
    <n v="1"/>
    <x v="0"/>
    <x v="0"/>
    <x v="1"/>
  </r>
  <r>
    <n v="419"/>
    <n v="47"/>
    <x v="1"/>
    <x v="2"/>
    <n v="2.6"/>
    <n v="5.5"/>
    <x v="1"/>
    <x v="0"/>
    <n v="3.1"/>
    <n v="5"/>
    <n v="6"/>
    <x v="2"/>
    <n v="7"/>
    <n v="1"/>
    <n v="1"/>
    <n v="1"/>
    <n v="0"/>
    <n v="0"/>
    <n v="1"/>
    <x v="1"/>
    <x v="1"/>
    <x v="2"/>
  </r>
  <r>
    <n v="420"/>
    <n v="40"/>
    <x v="1"/>
    <x v="1"/>
    <n v="9.6999999999999993"/>
    <n v="5.6"/>
    <x v="1"/>
    <x v="0"/>
    <n v="3.6"/>
    <n v="4"/>
    <n v="7.1"/>
    <x v="2"/>
    <n v="6"/>
    <n v="0"/>
    <n v="0"/>
    <n v="0"/>
    <n v="1"/>
    <n v="0"/>
    <n v="0"/>
    <x v="1"/>
    <x v="1"/>
    <x v="0"/>
  </r>
  <r>
    <n v="421"/>
    <n v="55"/>
    <x v="1"/>
    <x v="0"/>
    <n v="9"/>
    <n v="7.1"/>
    <x v="2"/>
    <x v="1"/>
    <n v="6"/>
    <n v="2"/>
    <n v="12"/>
    <x v="0"/>
    <n v="3"/>
    <n v="4"/>
    <n v="0"/>
    <n v="0"/>
    <n v="1"/>
    <n v="0"/>
    <n v="1"/>
    <x v="0"/>
    <x v="2"/>
    <x v="0"/>
  </r>
  <r>
    <n v="422"/>
    <n v="16"/>
    <x v="1"/>
    <x v="1"/>
    <n v="5.3"/>
    <n v="7.3"/>
    <x v="1"/>
    <x v="0"/>
    <n v="7.1"/>
    <n v="3"/>
    <n v="3.8"/>
    <x v="1"/>
    <n v="3"/>
    <n v="3"/>
    <n v="1"/>
    <n v="1"/>
    <n v="0"/>
    <n v="1"/>
    <n v="1"/>
    <x v="2"/>
    <x v="2"/>
    <x v="1"/>
  </r>
  <r>
    <n v="423"/>
    <n v="31"/>
    <x v="0"/>
    <x v="1"/>
    <n v="8.8000000000000007"/>
    <n v="7.4"/>
    <x v="2"/>
    <x v="1"/>
    <n v="5"/>
    <n v="5"/>
    <n v="11.8"/>
    <x v="2"/>
    <n v="2"/>
    <n v="0"/>
    <n v="1"/>
    <n v="1"/>
    <n v="0"/>
    <n v="0"/>
    <n v="0"/>
    <x v="0"/>
    <x v="1"/>
    <x v="0"/>
  </r>
  <r>
    <n v="424"/>
    <n v="54"/>
    <x v="1"/>
    <x v="2"/>
    <n v="6"/>
    <n v="1.7"/>
    <x v="1"/>
    <x v="0"/>
    <n v="7.2"/>
    <n v="2"/>
    <n v="5.8"/>
    <x v="2"/>
    <n v="2"/>
    <n v="0"/>
    <n v="1"/>
    <n v="0"/>
    <n v="0"/>
    <n v="0"/>
    <n v="1"/>
    <x v="2"/>
    <x v="2"/>
    <x v="1"/>
  </r>
  <r>
    <n v="425"/>
    <n v="20"/>
    <x v="0"/>
    <x v="1"/>
    <n v="9.6"/>
    <n v="4.8"/>
    <x v="2"/>
    <x v="1"/>
    <n v="7.2"/>
    <n v="4"/>
    <n v="4"/>
    <x v="2"/>
    <n v="5"/>
    <n v="2"/>
    <n v="1"/>
    <n v="1"/>
    <n v="1"/>
    <n v="1"/>
    <n v="0"/>
    <x v="2"/>
    <x v="1"/>
    <x v="0"/>
  </r>
  <r>
    <n v="426"/>
    <n v="37"/>
    <x v="0"/>
    <x v="2"/>
    <n v="6.5"/>
    <n v="6.2"/>
    <x v="2"/>
    <x v="1"/>
    <n v="7.2"/>
    <n v="1"/>
    <n v="6.1"/>
    <x v="1"/>
    <n v="8"/>
    <n v="4"/>
    <n v="0"/>
    <n v="1"/>
    <n v="1"/>
    <n v="1"/>
    <n v="0"/>
    <x v="2"/>
    <x v="2"/>
    <x v="1"/>
  </r>
  <r>
    <n v="427"/>
    <n v="44"/>
    <x v="0"/>
    <x v="0"/>
    <n v="6.1"/>
    <n v="6.3"/>
    <x v="2"/>
    <x v="1"/>
    <n v="6"/>
    <n v="4"/>
    <n v="8.1"/>
    <x v="1"/>
    <n v="6"/>
    <n v="0"/>
    <n v="1"/>
    <n v="0"/>
    <n v="0"/>
    <n v="0"/>
    <n v="0"/>
    <x v="0"/>
    <x v="1"/>
    <x v="1"/>
  </r>
  <r>
    <n v="428"/>
    <n v="18"/>
    <x v="1"/>
    <x v="1"/>
    <n v="11.3"/>
    <n v="5.2"/>
    <x v="1"/>
    <x v="0"/>
    <n v="8.5"/>
    <n v="7"/>
    <n v="4.0999999999999996"/>
    <x v="1"/>
    <n v="9"/>
    <n v="3"/>
    <n v="1"/>
    <n v="0"/>
    <n v="1"/>
    <n v="0"/>
    <n v="0"/>
    <x v="2"/>
    <x v="1"/>
    <x v="0"/>
  </r>
  <r>
    <n v="429"/>
    <n v="27"/>
    <x v="0"/>
    <x v="0"/>
    <n v="4.5"/>
    <n v="2.2000000000000002"/>
    <x v="2"/>
    <x v="1"/>
    <n v="5.9"/>
    <n v="3"/>
    <n v="4.9000000000000004"/>
    <x v="2"/>
    <n v="5"/>
    <n v="0"/>
    <n v="1"/>
    <n v="1"/>
    <n v="0"/>
    <n v="0"/>
    <n v="0"/>
    <x v="0"/>
    <x v="2"/>
    <x v="1"/>
  </r>
  <r>
    <n v="430"/>
    <n v="41"/>
    <x v="0"/>
    <x v="1"/>
    <n v="3.2"/>
    <n v="6.6"/>
    <x v="1"/>
    <x v="0"/>
    <n v="5.7"/>
    <n v="10"/>
    <n v="10.5"/>
    <x v="1"/>
    <n v="10"/>
    <n v="1"/>
    <n v="1"/>
    <n v="1"/>
    <n v="1"/>
    <n v="1"/>
    <n v="0"/>
    <x v="0"/>
    <x v="0"/>
    <x v="2"/>
  </r>
  <r>
    <n v="431"/>
    <n v="31"/>
    <x v="0"/>
    <x v="0"/>
    <n v="7.8"/>
    <n v="6"/>
    <x v="1"/>
    <x v="0"/>
    <n v="4.2"/>
    <n v="8"/>
    <n v="12"/>
    <x v="2"/>
    <n v="4"/>
    <n v="4"/>
    <n v="0"/>
    <n v="1"/>
    <n v="1"/>
    <n v="1"/>
    <n v="1"/>
    <x v="1"/>
    <x v="0"/>
    <x v="1"/>
  </r>
  <r>
    <n v="432"/>
    <n v="52"/>
    <x v="1"/>
    <x v="1"/>
    <n v="11.7"/>
    <n v="1.6"/>
    <x v="1"/>
    <x v="0"/>
    <n v="4.8"/>
    <n v="6"/>
    <n v="5.2"/>
    <x v="1"/>
    <n v="9"/>
    <n v="0"/>
    <n v="0"/>
    <n v="1"/>
    <n v="1"/>
    <n v="1"/>
    <n v="0"/>
    <x v="1"/>
    <x v="1"/>
    <x v="0"/>
  </r>
  <r>
    <n v="433"/>
    <n v="37"/>
    <x v="1"/>
    <x v="1"/>
    <n v="5.8"/>
    <n v="4.2"/>
    <x v="1"/>
    <x v="0"/>
    <n v="3.3"/>
    <n v="6"/>
    <n v="3.5"/>
    <x v="1"/>
    <n v="10"/>
    <n v="4"/>
    <n v="1"/>
    <n v="0"/>
    <n v="1"/>
    <n v="1"/>
    <n v="1"/>
    <x v="1"/>
    <x v="1"/>
    <x v="1"/>
  </r>
  <r>
    <n v="434"/>
    <n v="44"/>
    <x v="0"/>
    <x v="1"/>
    <n v="2.6"/>
    <n v="2.2000000000000002"/>
    <x v="1"/>
    <x v="0"/>
    <n v="6.8"/>
    <n v="1"/>
    <n v="9.9"/>
    <x v="2"/>
    <n v="5"/>
    <n v="0"/>
    <n v="1"/>
    <n v="0"/>
    <n v="0"/>
    <n v="0"/>
    <n v="0"/>
    <x v="0"/>
    <x v="2"/>
    <x v="2"/>
  </r>
  <r>
    <n v="435"/>
    <n v="29"/>
    <x v="1"/>
    <x v="1"/>
    <n v="5.4"/>
    <n v="3.4"/>
    <x v="2"/>
    <x v="1"/>
    <n v="4.5"/>
    <n v="5"/>
    <n v="8"/>
    <x v="1"/>
    <n v="1"/>
    <n v="3"/>
    <n v="0"/>
    <n v="1"/>
    <n v="1"/>
    <n v="0"/>
    <n v="1"/>
    <x v="1"/>
    <x v="1"/>
    <x v="1"/>
  </r>
  <r>
    <n v="436"/>
    <n v="43"/>
    <x v="1"/>
    <x v="1"/>
    <n v="7.1"/>
    <n v="1.1000000000000001"/>
    <x v="1"/>
    <x v="0"/>
    <n v="4.8"/>
    <n v="3"/>
    <n v="3"/>
    <x v="2"/>
    <n v="5"/>
    <n v="3"/>
    <n v="0"/>
    <n v="0"/>
    <n v="1"/>
    <n v="0"/>
    <n v="0"/>
    <x v="1"/>
    <x v="2"/>
    <x v="1"/>
  </r>
  <r>
    <n v="437"/>
    <n v="20"/>
    <x v="0"/>
    <x v="1"/>
    <n v="3.6"/>
    <n v="3.8"/>
    <x v="2"/>
    <x v="1"/>
    <n v="7.6"/>
    <n v="10"/>
    <n v="11.5"/>
    <x v="1"/>
    <n v="5"/>
    <n v="4"/>
    <n v="0"/>
    <n v="0"/>
    <n v="1"/>
    <n v="1"/>
    <n v="1"/>
    <x v="2"/>
    <x v="0"/>
    <x v="2"/>
  </r>
  <r>
    <n v="438"/>
    <n v="45"/>
    <x v="0"/>
    <x v="1"/>
    <n v="8.6"/>
    <n v="4.8"/>
    <x v="2"/>
    <x v="1"/>
    <n v="5"/>
    <n v="1"/>
    <n v="2.8"/>
    <x v="1"/>
    <n v="5"/>
    <n v="2"/>
    <n v="0"/>
    <n v="0"/>
    <n v="0"/>
    <n v="0"/>
    <n v="1"/>
    <x v="0"/>
    <x v="2"/>
    <x v="0"/>
  </r>
  <r>
    <n v="439"/>
    <n v="20"/>
    <x v="1"/>
    <x v="1"/>
    <n v="12"/>
    <n v="5.3"/>
    <x v="1"/>
    <x v="0"/>
    <n v="4.5"/>
    <n v="8"/>
    <n v="8.3000000000000007"/>
    <x v="1"/>
    <n v="2"/>
    <n v="2"/>
    <n v="1"/>
    <n v="0"/>
    <n v="1"/>
    <n v="1"/>
    <n v="1"/>
    <x v="1"/>
    <x v="0"/>
    <x v="0"/>
  </r>
  <r>
    <n v="440"/>
    <n v="27"/>
    <x v="0"/>
    <x v="1"/>
    <n v="6.5"/>
    <n v="5.6"/>
    <x v="2"/>
    <x v="1"/>
    <n v="4"/>
    <n v="7"/>
    <n v="6.2"/>
    <x v="1"/>
    <n v="6"/>
    <n v="1"/>
    <n v="1"/>
    <n v="0"/>
    <n v="1"/>
    <n v="1"/>
    <n v="0"/>
    <x v="1"/>
    <x v="1"/>
    <x v="1"/>
  </r>
  <r>
    <n v="441"/>
    <n v="31"/>
    <x v="1"/>
    <x v="0"/>
    <n v="5.5"/>
    <n v="6.9"/>
    <x v="2"/>
    <x v="1"/>
    <n v="7.6"/>
    <n v="7"/>
    <n v="7.6"/>
    <x v="0"/>
    <n v="5"/>
    <n v="2"/>
    <n v="0"/>
    <n v="0"/>
    <n v="1"/>
    <n v="1"/>
    <n v="1"/>
    <x v="2"/>
    <x v="1"/>
    <x v="1"/>
  </r>
  <r>
    <n v="442"/>
    <n v="41"/>
    <x v="1"/>
    <x v="2"/>
    <n v="6"/>
    <n v="2.5"/>
    <x v="1"/>
    <x v="0"/>
    <n v="3.8"/>
    <n v="10"/>
    <n v="4.0999999999999996"/>
    <x v="2"/>
    <n v="2"/>
    <n v="4"/>
    <n v="0"/>
    <n v="0"/>
    <n v="1"/>
    <n v="1"/>
    <n v="1"/>
    <x v="1"/>
    <x v="0"/>
    <x v="1"/>
  </r>
  <r>
    <n v="443"/>
    <n v="41"/>
    <x v="1"/>
    <x v="1"/>
    <n v="3.2"/>
    <n v="1.8"/>
    <x v="2"/>
    <x v="1"/>
    <n v="5.7"/>
    <n v="10"/>
    <n v="8.9"/>
    <x v="0"/>
    <n v="10"/>
    <n v="2"/>
    <n v="1"/>
    <n v="1"/>
    <n v="0"/>
    <n v="0"/>
    <n v="1"/>
    <x v="0"/>
    <x v="0"/>
    <x v="2"/>
  </r>
  <r>
    <n v="444"/>
    <n v="36"/>
    <x v="1"/>
    <x v="2"/>
    <n v="10.8"/>
    <n v="7"/>
    <x v="1"/>
    <x v="0"/>
    <n v="6"/>
    <n v="10"/>
    <n v="11.6"/>
    <x v="1"/>
    <n v="8"/>
    <n v="1"/>
    <n v="1"/>
    <n v="1"/>
    <n v="1"/>
    <n v="1"/>
    <n v="0"/>
    <x v="0"/>
    <x v="0"/>
    <x v="0"/>
  </r>
  <r>
    <n v="445"/>
    <n v="54"/>
    <x v="1"/>
    <x v="1"/>
    <n v="6.1"/>
    <n v="2.1"/>
    <x v="1"/>
    <x v="0"/>
    <n v="7.1"/>
    <n v="4"/>
    <n v="6.6"/>
    <x v="1"/>
    <n v="6"/>
    <n v="0"/>
    <n v="0"/>
    <n v="0"/>
    <n v="1"/>
    <n v="1"/>
    <n v="1"/>
    <x v="2"/>
    <x v="1"/>
    <x v="1"/>
  </r>
  <r>
    <n v="446"/>
    <n v="51"/>
    <x v="1"/>
    <x v="1"/>
    <n v="5.9"/>
    <n v="7.8"/>
    <x v="1"/>
    <x v="0"/>
    <n v="6.8"/>
    <n v="6"/>
    <n v="7.2"/>
    <x v="2"/>
    <n v="10"/>
    <n v="2"/>
    <n v="1"/>
    <n v="0"/>
    <n v="0"/>
    <n v="1"/>
    <n v="0"/>
    <x v="0"/>
    <x v="1"/>
    <x v="1"/>
  </r>
  <r>
    <n v="447"/>
    <n v="48"/>
    <x v="0"/>
    <x v="0"/>
    <n v="8.6"/>
    <n v="6.9"/>
    <x v="2"/>
    <x v="1"/>
    <n v="7.9"/>
    <n v="9"/>
    <n v="4.4000000000000004"/>
    <x v="2"/>
    <n v="3"/>
    <n v="4"/>
    <n v="0"/>
    <n v="0"/>
    <n v="1"/>
    <n v="1"/>
    <n v="1"/>
    <x v="2"/>
    <x v="0"/>
    <x v="0"/>
  </r>
  <r>
    <n v="448"/>
    <n v="45"/>
    <x v="0"/>
    <x v="0"/>
    <n v="6.4"/>
    <n v="4.5"/>
    <x v="2"/>
    <x v="1"/>
    <n v="3.3"/>
    <n v="3"/>
    <n v="10.9"/>
    <x v="2"/>
    <n v="9"/>
    <n v="4"/>
    <n v="1"/>
    <n v="0"/>
    <n v="0"/>
    <n v="1"/>
    <n v="1"/>
    <x v="1"/>
    <x v="2"/>
    <x v="1"/>
  </r>
  <r>
    <n v="449"/>
    <n v="52"/>
    <x v="1"/>
    <x v="2"/>
    <n v="8.5"/>
    <n v="7.9"/>
    <x v="2"/>
    <x v="1"/>
    <n v="4.8"/>
    <n v="9"/>
    <n v="11.7"/>
    <x v="2"/>
    <n v="4"/>
    <n v="1"/>
    <n v="1"/>
    <n v="0"/>
    <n v="1"/>
    <n v="1"/>
    <n v="1"/>
    <x v="1"/>
    <x v="0"/>
    <x v="0"/>
  </r>
  <r>
    <n v="450"/>
    <n v="38"/>
    <x v="1"/>
    <x v="0"/>
    <n v="2.6"/>
    <n v="1.7"/>
    <x v="2"/>
    <x v="1"/>
    <n v="4.7"/>
    <n v="4"/>
    <n v="9.9"/>
    <x v="1"/>
    <n v="3"/>
    <n v="1"/>
    <n v="0"/>
    <n v="1"/>
    <n v="1"/>
    <n v="1"/>
    <n v="0"/>
    <x v="1"/>
    <x v="1"/>
    <x v="2"/>
  </r>
  <r>
    <n v="451"/>
    <n v="25"/>
    <x v="1"/>
    <x v="0"/>
    <n v="10.1"/>
    <n v="3.1"/>
    <x v="1"/>
    <x v="0"/>
    <n v="3.9"/>
    <n v="5"/>
    <n v="7.4"/>
    <x v="2"/>
    <n v="7"/>
    <n v="3"/>
    <n v="1"/>
    <n v="0"/>
    <n v="1"/>
    <n v="1"/>
    <n v="0"/>
    <x v="1"/>
    <x v="1"/>
    <x v="0"/>
  </r>
  <r>
    <n v="452"/>
    <n v="20"/>
    <x v="0"/>
    <x v="2"/>
    <n v="11.4"/>
    <n v="5.5"/>
    <x v="1"/>
    <x v="0"/>
    <n v="4.7"/>
    <n v="7"/>
    <n v="11.6"/>
    <x v="0"/>
    <n v="8"/>
    <n v="3"/>
    <n v="0"/>
    <n v="1"/>
    <n v="1"/>
    <n v="1"/>
    <n v="1"/>
    <x v="1"/>
    <x v="1"/>
    <x v="0"/>
  </r>
  <r>
    <n v="453"/>
    <n v="51"/>
    <x v="1"/>
    <x v="0"/>
    <n v="8.5"/>
    <n v="3.5"/>
    <x v="2"/>
    <x v="1"/>
    <n v="4.9000000000000004"/>
    <n v="6"/>
    <n v="3.5"/>
    <x v="2"/>
    <n v="7"/>
    <n v="3"/>
    <n v="1"/>
    <n v="1"/>
    <n v="0"/>
    <n v="1"/>
    <n v="0"/>
    <x v="1"/>
    <x v="1"/>
    <x v="0"/>
  </r>
  <r>
    <n v="454"/>
    <n v="49"/>
    <x v="0"/>
    <x v="1"/>
    <n v="11.5"/>
    <n v="7.5"/>
    <x v="1"/>
    <x v="0"/>
    <n v="6.1"/>
    <n v="10"/>
    <n v="6.8"/>
    <x v="2"/>
    <n v="1"/>
    <n v="0"/>
    <n v="0"/>
    <n v="0"/>
    <n v="1"/>
    <n v="1"/>
    <n v="1"/>
    <x v="0"/>
    <x v="0"/>
    <x v="0"/>
  </r>
  <r>
    <n v="455"/>
    <n v="46"/>
    <x v="1"/>
    <x v="2"/>
    <n v="3.5"/>
    <n v="1.5"/>
    <x v="2"/>
    <x v="1"/>
    <n v="7"/>
    <n v="8"/>
    <n v="7.4"/>
    <x v="0"/>
    <n v="1"/>
    <n v="4"/>
    <n v="0"/>
    <n v="0"/>
    <n v="0"/>
    <n v="0"/>
    <n v="1"/>
    <x v="2"/>
    <x v="0"/>
    <x v="2"/>
  </r>
  <r>
    <n v="456"/>
    <n v="25"/>
    <x v="1"/>
    <x v="2"/>
    <n v="6.8"/>
    <n v="4.8"/>
    <x v="1"/>
    <x v="0"/>
    <n v="5.3"/>
    <n v="8"/>
    <n v="6.9"/>
    <x v="0"/>
    <n v="5"/>
    <n v="3"/>
    <n v="0"/>
    <n v="0"/>
    <n v="1"/>
    <n v="1"/>
    <n v="1"/>
    <x v="0"/>
    <x v="0"/>
    <x v="1"/>
  </r>
  <r>
    <n v="457"/>
    <n v="34"/>
    <x v="0"/>
    <x v="1"/>
    <n v="8"/>
    <n v="5.0999999999999996"/>
    <x v="1"/>
    <x v="0"/>
    <n v="7.3"/>
    <n v="8"/>
    <n v="10"/>
    <x v="0"/>
    <n v="8"/>
    <n v="4"/>
    <n v="1"/>
    <n v="1"/>
    <n v="1"/>
    <n v="0"/>
    <n v="1"/>
    <x v="2"/>
    <x v="0"/>
    <x v="1"/>
  </r>
  <r>
    <n v="458"/>
    <n v="47"/>
    <x v="0"/>
    <x v="0"/>
    <n v="7.8"/>
    <n v="5.6"/>
    <x v="1"/>
    <x v="0"/>
    <n v="5"/>
    <n v="3"/>
    <n v="8.6999999999999993"/>
    <x v="0"/>
    <n v="10"/>
    <n v="1"/>
    <n v="0"/>
    <n v="1"/>
    <n v="0"/>
    <n v="0"/>
    <n v="1"/>
    <x v="0"/>
    <x v="2"/>
    <x v="1"/>
  </r>
  <r>
    <n v="459"/>
    <n v="16"/>
    <x v="1"/>
    <x v="2"/>
    <n v="6"/>
    <n v="2.8"/>
    <x v="1"/>
    <x v="0"/>
    <n v="4.7"/>
    <n v="10"/>
    <n v="3.3"/>
    <x v="2"/>
    <n v="3"/>
    <n v="0"/>
    <n v="0"/>
    <n v="1"/>
    <n v="1"/>
    <n v="1"/>
    <n v="0"/>
    <x v="1"/>
    <x v="0"/>
    <x v="1"/>
  </r>
  <r>
    <n v="460"/>
    <n v="20"/>
    <x v="1"/>
    <x v="2"/>
    <n v="5.4"/>
    <n v="3.6"/>
    <x v="1"/>
    <x v="0"/>
    <n v="6.2"/>
    <n v="6"/>
    <n v="5.5"/>
    <x v="0"/>
    <n v="8"/>
    <n v="1"/>
    <n v="1"/>
    <n v="0"/>
    <n v="0"/>
    <n v="1"/>
    <n v="0"/>
    <x v="0"/>
    <x v="1"/>
    <x v="1"/>
  </r>
  <r>
    <n v="461"/>
    <n v="19"/>
    <x v="1"/>
    <x v="1"/>
    <n v="3.3"/>
    <n v="6.9"/>
    <x v="2"/>
    <x v="1"/>
    <n v="3.1"/>
    <n v="7"/>
    <n v="5.4"/>
    <x v="1"/>
    <n v="3"/>
    <n v="4"/>
    <n v="1"/>
    <n v="0"/>
    <n v="1"/>
    <n v="1"/>
    <n v="0"/>
    <x v="1"/>
    <x v="1"/>
    <x v="2"/>
  </r>
  <r>
    <n v="462"/>
    <n v="31"/>
    <x v="0"/>
    <x v="1"/>
    <n v="5.9"/>
    <n v="2.4"/>
    <x v="2"/>
    <x v="1"/>
    <n v="3.5"/>
    <n v="9"/>
    <n v="7.7"/>
    <x v="2"/>
    <n v="4"/>
    <n v="3"/>
    <n v="0"/>
    <n v="0"/>
    <n v="1"/>
    <n v="1"/>
    <n v="1"/>
    <x v="1"/>
    <x v="0"/>
    <x v="1"/>
  </r>
  <r>
    <n v="463"/>
    <n v="39"/>
    <x v="0"/>
    <x v="0"/>
    <n v="3.6"/>
    <n v="6.8"/>
    <x v="1"/>
    <x v="0"/>
    <n v="5.5"/>
    <n v="10"/>
    <n v="4.9000000000000004"/>
    <x v="1"/>
    <n v="10"/>
    <n v="1"/>
    <n v="0"/>
    <n v="0"/>
    <n v="1"/>
    <n v="1"/>
    <n v="1"/>
    <x v="0"/>
    <x v="0"/>
    <x v="2"/>
  </r>
  <r>
    <n v="464"/>
    <n v="31"/>
    <x v="0"/>
    <x v="2"/>
    <n v="9.3000000000000007"/>
    <n v="4.9000000000000004"/>
    <x v="2"/>
    <x v="1"/>
    <n v="8.6999999999999993"/>
    <n v="10"/>
    <n v="3.2"/>
    <x v="2"/>
    <n v="7"/>
    <n v="2"/>
    <n v="1"/>
    <n v="0"/>
    <n v="1"/>
    <n v="0"/>
    <n v="0"/>
    <x v="2"/>
    <x v="0"/>
    <x v="0"/>
  </r>
  <r>
    <n v="465"/>
    <n v="17"/>
    <x v="0"/>
    <x v="0"/>
    <n v="4.0999999999999996"/>
    <n v="6.3"/>
    <x v="1"/>
    <x v="0"/>
    <n v="7.3"/>
    <n v="4"/>
    <n v="8.5"/>
    <x v="2"/>
    <n v="3"/>
    <n v="0"/>
    <n v="1"/>
    <n v="0"/>
    <n v="0"/>
    <n v="1"/>
    <n v="1"/>
    <x v="2"/>
    <x v="1"/>
    <x v="1"/>
  </r>
  <r>
    <n v="466"/>
    <n v="43"/>
    <x v="0"/>
    <x v="0"/>
    <n v="2.6"/>
    <n v="6"/>
    <x v="1"/>
    <x v="0"/>
    <n v="3.5"/>
    <n v="5"/>
    <n v="10.5"/>
    <x v="1"/>
    <n v="4"/>
    <n v="4"/>
    <n v="1"/>
    <n v="1"/>
    <n v="0"/>
    <n v="0"/>
    <n v="0"/>
    <x v="1"/>
    <x v="1"/>
    <x v="2"/>
  </r>
  <r>
    <n v="467"/>
    <n v="47"/>
    <x v="0"/>
    <x v="1"/>
    <n v="7.5"/>
    <n v="2.5"/>
    <x v="1"/>
    <x v="0"/>
    <n v="8.1"/>
    <n v="8"/>
    <n v="11.3"/>
    <x v="0"/>
    <n v="8"/>
    <n v="3"/>
    <n v="0"/>
    <n v="1"/>
    <n v="1"/>
    <n v="1"/>
    <n v="0"/>
    <x v="2"/>
    <x v="0"/>
    <x v="1"/>
  </r>
  <r>
    <n v="468"/>
    <n v="42"/>
    <x v="1"/>
    <x v="2"/>
    <n v="8"/>
    <n v="5"/>
    <x v="1"/>
    <x v="0"/>
    <n v="7.4"/>
    <n v="1"/>
    <n v="11.7"/>
    <x v="0"/>
    <n v="4"/>
    <n v="1"/>
    <n v="1"/>
    <n v="0"/>
    <n v="0"/>
    <n v="0"/>
    <n v="0"/>
    <x v="2"/>
    <x v="2"/>
    <x v="1"/>
  </r>
  <r>
    <n v="469"/>
    <n v="35"/>
    <x v="1"/>
    <x v="2"/>
    <n v="10.7"/>
    <n v="7.1"/>
    <x v="2"/>
    <x v="1"/>
    <n v="6.7"/>
    <n v="6"/>
    <n v="9.8000000000000007"/>
    <x v="1"/>
    <n v="9"/>
    <n v="0"/>
    <n v="0"/>
    <n v="0"/>
    <n v="1"/>
    <n v="0"/>
    <n v="1"/>
    <x v="0"/>
    <x v="1"/>
    <x v="0"/>
  </r>
  <r>
    <n v="470"/>
    <n v="39"/>
    <x v="0"/>
    <x v="2"/>
    <n v="7.8"/>
    <n v="4"/>
    <x v="1"/>
    <x v="0"/>
    <n v="7.9"/>
    <n v="4"/>
    <n v="3.4"/>
    <x v="0"/>
    <n v="4"/>
    <n v="3"/>
    <n v="0"/>
    <n v="1"/>
    <n v="0"/>
    <n v="0"/>
    <n v="0"/>
    <x v="2"/>
    <x v="1"/>
    <x v="1"/>
  </r>
  <r>
    <n v="471"/>
    <n v="27"/>
    <x v="1"/>
    <x v="1"/>
    <n v="5.5"/>
    <n v="7.8"/>
    <x v="2"/>
    <x v="1"/>
    <n v="5.4"/>
    <n v="5"/>
    <n v="10.5"/>
    <x v="2"/>
    <n v="4"/>
    <n v="1"/>
    <n v="0"/>
    <n v="1"/>
    <n v="1"/>
    <n v="1"/>
    <n v="0"/>
    <x v="0"/>
    <x v="1"/>
    <x v="1"/>
  </r>
  <r>
    <n v="472"/>
    <n v="50"/>
    <x v="1"/>
    <x v="1"/>
    <n v="10"/>
    <n v="4.2"/>
    <x v="1"/>
    <x v="0"/>
    <n v="4.3"/>
    <n v="5"/>
    <n v="6"/>
    <x v="2"/>
    <n v="5"/>
    <n v="4"/>
    <n v="1"/>
    <n v="1"/>
    <n v="1"/>
    <n v="1"/>
    <n v="0"/>
    <x v="1"/>
    <x v="1"/>
    <x v="0"/>
  </r>
  <r>
    <n v="473"/>
    <n v="48"/>
    <x v="0"/>
    <x v="1"/>
    <n v="7.4"/>
    <n v="2"/>
    <x v="1"/>
    <x v="0"/>
    <n v="6.1"/>
    <n v="2"/>
    <n v="9.3000000000000007"/>
    <x v="2"/>
    <n v="1"/>
    <n v="2"/>
    <n v="1"/>
    <n v="0"/>
    <n v="0"/>
    <n v="0"/>
    <n v="0"/>
    <x v="0"/>
    <x v="2"/>
    <x v="1"/>
  </r>
  <r>
    <n v="474"/>
    <n v="48"/>
    <x v="1"/>
    <x v="1"/>
    <n v="2.8"/>
    <n v="3.7"/>
    <x v="2"/>
    <x v="1"/>
    <n v="6.3"/>
    <n v="8"/>
    <n v="7.3"/>
    <x v="0"/>
    <n v="7"/>
    <n v="2"/>
    <n v="1"/>
    <n v="1"/>
    <n v="1"/>
    <n v="1"/>
    <n v="1"/>
    <x v="0"/>
    <x v="0"/>
    <x v="2"/>
  </r>
  <r>
    <n v="475"/>
    <n v="58"/>
    <x v="0"/>
    <x v="1"/>
    <n v="7.7"/>
    <n v="7.7"/>
    <x v="1"/>
    <x v="0"/>
    <n v="6.2"/>
    <n v="2"/>
    <n v="10.3"/>
    <x v="0"/>
    <n v="9"/>
    <n v="4"/>
    <n v="0"/>
    <n v="1"/>
    <n v="0"/>
    <n v="0"/>
    <n v="1"/>
    <x v="0"/>
    <x v="2"/>
    <x v="1"/>
  </r>
  <r>
    <n v="476"/>
    <n v="52"/>
    <x v="0"/>
    <x v="2"/>
    <n v="11.1"/>
    <n v="3.2"/>
    <x v="1"/>
    <x v="0"/>
    <n v="6.4"/>
    <n v="4"/>
    <n v="6.3"/>
    <x v="1"/>
    <n v="9"/>
    <n v="0"/>
    <n v="0"/>
    <n v="1"/>
    <n v="0"/>
    <n v="0"/>
    <n v="0"/>
    <x v="0"/>
    <x v="1"/>
    <x v="0"/>
  </r>
  <r>
    <n v="477"/>
    <n v="27"/>
    <x v="1"/>
    <x v="0"/>
    <n v="6"/>
    <n v="7.1"/>
    <x v="2"/>
    <x v="1"/>
    <n v="8.6999999999999993"/>
    <n v="5"/>
    <n v="2.6"/>
    <x v="2"/>
    <n v="1"/>
    <n v="4"/>
    <n v="1"/>
    <n v="1"/>
    <n v="0"/>
    <n v="0"/>
    <n v="1"/>
    <x v="2"/>
    <x v="1"/>
    <x v="1"/>
  </r>
  <r>
    <n v="478"/>
    <n v="18"/>
    <x v="0"/>
    <x v="2"/>
    <n v="5"/>
    <n v="7.2"/>
    <x v="2"/>
    <x v="1"/>
    <n v="8.4"/>
    <n v="1"/>
    <n v="7.6"/>
    <x v="1"/>
    <n v="6"/>
    <n v="1"/>
    <n v="1"/>
    <n v="1"/>
    <n v="0"/>
    <n v="1"/>
    <n v="0"/>
    <x v="2"/>
    <x v="2"/>
    <x v="1"/>
  </r>
  <r>
    <n v="479"/>
    <n v="16"/>
    <x v="0"/>
    <x v="0"/>
    <n v="3.4"/>
    <n v="3.5"/>
    <x v="2"/>
    <x v="1"/>
    <n v="8.3000000000000007"/>
    <n v="6"/>
    <n v="3.7"/>
    <x v="0"/>
    <n v="3"/>
    <n v="0"/>
    <n v="0"/>
    <n v="0"/>
    <n v="1"/>
    <n v="0"/>
    <n v="1"/>
    <x v="2"/>
    <x v="1"/>
    <x v="2"/>
  </r>
  <r>
    <n v="480"/>
    <n v="48"/>
    <x v="0"/>
    <x v="1"/>
    <n v="3.5"/>
    <n v="1.6"/>
    <x v="1"/>
    <x v="0"/>
    <n v="7.8"/>
    <n v="2"/>
    <n v="11.7"/>
    <x v="1"/>
    <n v="4"/>
    <n v="2"/>
    <n v="0"/>
    <n v="0"/>
    <n v="0"/>
    <n v="0"/>
    <n v="1"/>
    <x v="2"/>
    <x v="2"/>
    <x v="2"/>
  </r>
  <r>
    <n v="481"/>
    <n v="55"/>
    <x v="0"/>
    <x v="0"/>
    <n v="6.3"/>
    <n v="6.1"/>
    <x v="1"/>
    <x v="0"/>
    <n v="8.6999999999999993"/>
    <n v="5"/>
    <n v="7.3"/>
    <x v="0"/>
    <n v="8"/>
    <n v="1"/>
    <n v="0"/>
    <n v="1"/>
    <n v="1"/>
    <n v="0"/>
    <n v="0"/>
    <x v="2"/>
    <x v="1"/>
    <x v="1"/>
  </r>
  <r>
    <n v="482"/>
    <n v="25"/>
    <x v="0"/>
    <x v="2"/>
    <n v="8"/>
    <n v="3.2"/>
    <x v="2"/>
    <x v="1"/>
    <n v="3.6"/>
    <n v="6"/>
    <n v="7.5"/>
    <x v="2"/>
    <n v="4"/>
    <n v="3"/>
    <n v="0"/>
    <n v="0"/>
    <n v="1"/>
    <n v="1"/>
    <n v="0"/>
    <x v="1"/>
    <x v="1"/>
    <x v="1"/>
  </r>
  <r>
    <n v="483"/>
    <n v="58"/>
    <x v="0"/>
    <x v="2"/>
    <n v="2.8"/>
    <n v="6.5"/>
    <x v="2"/>
    <x v="1"/>
    <n v="4.5999999999999996"/>
    <n v="8"/>
    <n v="11.1"/>
    <x v="2"/>
    <n v="8"/>
    <n v="3"/>
    <n v="1"/>
    <n v="0"/>
    <n v="1"/>
    <n v="0"/>
    <n v="1"/>
    <x v="1"/>
    <x v="0"/>
    <x v="2"/>
  </r>
  <r>
    <n v="484"/>
    <n v="59"/>
    <x v="0"/>
    <x v="0"/>
    <n v="11.4"/>
    <n v="4.0999999999999996"/>
    <x v="1"/>
    <x v="0"/>
    <n v="6"/>
    <n v="9"/>
    <n v="8.1999999999999993"/>
    <x v="0"/>
    <n v="4"/>
    <n v="3"/>
    <n v="0"/>
    <n v="1"/>
    <n v="1"/>
    <n v="0"/>
    <n v="0"/>
    <x v="0"/>
    <x v="0"/>
    <x v="0"/>
  </r>
  <r>
    <n v="485"/>
    <n v="44"/>
    <x v="0"/>
    <x v="1"/>
    <n v="9.6"/>
    <n v="4.4000000000000004"/>
    <x v="1"/>
    <x v="0"/>
    <n v="8.1"/>
    <n v="6"/>
    <n v="5"/>
    <x v="0"/>
    <n v="9"/>
    <n v="2"/>
    <n v="0"/>
    <n v="0"/>
    <n v="1"/>
    <n v="0"/>
    <n v="0"/>
    <x v="2"/>
    <x v="1"/>
    <x v="0"/>
  </r>
  <r>
    <n v="486"/>
    <n v="28"/>
    <x v="1"/>
    <x v="1"/>
    <n v="7.9"/>
    <n v="6.4"/>
    <x v="2"/>
    <x v="1"/>
    <n v="6"/>
    <n v="5"/>
    <n v="5"/>
    <x v="0"/>
    <n v="6"/>
    <n v="4"/>
    <n v="1"/>
    <n v="0"/>
    <n v="0"/>
    <n v="1"/>
    <n v="0"/>
    <x v="0"/>
    <x v="1"/>
    <x v="1"/>
  </r>
  <r>
    <n v="487"/>
    <n v="27"/>
    <x v="1"/>
    <x v="2"/>
    <n v="10.3"/>
    <n v="3.7"/>
    <x v="2"/>
    <x v="1"/>
    <n v="7.5"/>
    <n v="4"/>
    <n v="7"/>
    <x v="2"/>
    <n v="1"/>
    <n v="0"/>
    <n v="1"/>
    <n v="1"/>
    <n v="0"/>
    <n v="0"/>
    <n v="1"/>
    <x v="2"/>
    <x v="1"/>
    <x v="0"/>
  </r>
  <r>
    <n v="488"/>
    <n v="46"/>
    <x v="1"/>
    <x v="0"/>
    <n v="2.8"/>
    <n v="4.0999999999999996"/>
    <x v="2"/>
    <x v="1"/>
    <n v="3.8"/>
    <n v="2"/>
    <n v="10.7"/>
    <x v="0"/>
    <n v="10"/>
    <n v="2"/>
    <n v="1"/>
    <n v="1"/>
    <n v="0"/>
    <n v="0"/>
    <n v="0"/>
    <x v="1"/>
    <x v="2"/>
    <x v="2"/>
  </r>
  <r>
    <n v="489"/>
    <n v="17"/>
    <x v="0"/>
    <x v="1"/>
    <n v="6.8"/>
    <n v="3.6"/>
    <x v="2"/>
    <x v="1"/>
    <n v="4.5"/>
    <n v="2"/>
    <n v="9.9"/>
    <x v="2"/>
    <n v="2"/>
    <n v="1"/>
    <n v="1"/>
    <n v="0"/>
    <n v="1"/>
    <n v="1"/>
    <n v="0"/>
    <x v="1"/>
    <x v="2"/>
    <x v="1"/>
  </r>
  <r>
    <n v="490"/>
    <n v="50"/>
    <x v="0"/>
    <x v="1"/>
    <n v="8.3000000000000007"/>
    <n v="3.6"/>
    <x v="1"/>
    <x v="0"/>
    <n v="7.4"/>
    <n v="7"/>
    <n v="11.6"/>
    <x v="1"/>
    <n v="7"/>
    <n v="1"/>
    <n v="0"/>
    <n v="0"/>
    <n v="0"/>
    <n v="0"/>
    <n v="1"/>
    <x v="2"/>
    <x v="1"/>
    <x v="0"/>
  </r>
  <r>
    <n v="491"/>
    <n v="38"/>
    <x v="1"/>
    <x v="2"/>
    <n v="10.3"/>
    <n v="4.7"/>
    <x v="1"/>
    <x v="0"/>
    <n v="4"/>
    <n v="5"/>
    <n v="2.7"/>
    <x v="2"/>
    <n v="10"/>
    <n v="3"/>
    <n v="0"/>
    <n v="0"/>
    <n v="1"/>
    <n v="0"/>
    <n v="0"/>
    <x v="1"/>
    <x v="1"/>
    <x v="0"/>
  </r>
  <r>
    <n v="492"/>
    <n v="32"/>
    <x v="1"/>
    <x v="1"/>
    <n v="9.8000000000000007"/>
    <n v="6.7"/>
    <x v="1"/>
    <x v="0"/>
    <n v="5.0999999999999996"/>
    <n v="7"/>
    <n v="4.7"/>
    <x v="1"/>
    <n v="7"/>
    <n v="0"/>
    <n v="0"/>
    <n v="1"/>
    <n v="1"/>
    <n v="0"/>
    <n v="0"/>
    <x v="0"/>
    <x v="1"/>
    <x v="0"/>
  </r>
  <r>
    <n v="493"/>
    <n v="41"/>
    <x v="1"/>
    <x v="0"/>
    <n v="4.8"/>
    <n v="3.5"/>
    <x v="1"/>
    <x v="0"/>
    <n v="4.5999999999999996"/>
    <n v="1"/>
    <n v="2.8"/>
    <x v="2"/>
    <n v="3"/>
    <n v="3"/>
    <n v="0"/>
    <n v="0"/>
    <n v="0"/>
    <n v="0"/>
    <n v="0"/>
    <x v="1"/>
    <x v="2"/>
    <x v="1"/>
  </r>
  <r>
    <n v="494"/>
    <n v="23"/>
    <x v="0"/>
    <x v="2"/>
    <n v="11.4"/>
    <n v="4.7"/>
    <x v="2"/>
    <x v="1"/>
    <n v="5.0999999999999996"/>
    <n v="1"/>
    <n v="9.5"/>
    <x v="2"/>
    <n v="1"/>
    <n v="1"/>
    <n v="0"/>
    <n v="0"/>
    <n v="0"/>
    <n v="1"/>
    <n v="0"/>
    <x v="0"/>
    <x v="2"/>
    <x v="0"/>
  </r>
  <r>
    <n v="495"/>
    <n v="44"/>
    <x v="1"/>
    <x v="2"/>
    <n v="3.2"/>
    <n v="5.7"/>
    <x v="1"/>
    <x v="0"/>
    <n v="7.2"/>
    <n v="5"/>
    <n v="3.4"/>
    <x v="0"/>
    <n v="8"/>
    <n v="1"/>
    <n v="1"/>
    <n v="1"/>
    <n v="1"/>
    <n v="0"/>
    <n v="0"/>
    <x v="2"/>
    <x v="1"/>
    <x v="2"/>
  </r>
  <r>
    <n v="496"/>
    <n v="41"/>
    <x v="1"/>
    <x v="0"/>
    <n v="10.8"/>
    <n v="2.9"/>
    <x v="2"/>
    <x v="1"/>
    <n v="5.2"/>
    <n v="2"/>
    <n v="3"/>
    <x v="2"/>
    <n v="10"/>
    <n v="4"/>
    <n v="1"/>
    <n v="0"/>
    <n v="0"/>
    <n v="1"/>
    <n v="1"/>
    <x v="0"/>
    <x v="2"/>
    <x v="0"/>
  </r>
  <r>
    <n v="497"/>
    <n v="25"/>
    <x v="0"/>
    <x v="2"/>
    <n v="11.7"/>
    <n v="2.9"/>
    <x v="1"/>
    <x v="0"/>
    <n v="6.3"/>
    <n v="8"/>
    <n v="7.6"/>
    <x v="0"/>
    <n v="10"/>
    <n v="4"/>
    <n v="0"/>
    <n v="1"/>
    <n v="0"/>
    <n v="0"/>
    <n v="0"/>
    <x v="0"/>
    <x v="0"/>
    <x v="0"/>
  </r>
  <r>
    <n v="498"/>
    <n v="41"/>
    <x v="1"/>
    <x v="1"/>
    <n v="3.8"/>
    <n v="7.5"/>
    <x v="1"/>
    <x v="0"/>
    <n v="3.6"/>
    <n v="3"/>
    <n v="6.1"/>
    <x v="0"/>
    <n v="7"/>
    <n v="4"/>
    <n v="1"/>
    <n v="0"/>
    <n v="0"/>
    <n v="1"/>
    <n v="0"/>
    <x v="1"/>
    <x v="2"/>
    <x v="2"/>
  </r>
  <r>
    <n v="499"/>
    <n v="49"/>
    <x v="0"/>
    <x v="1"/>
    <n v="9.1999999999999993"/>
    <n v="6.1"/>
    <x v="1"/>
    <x v="0"/>
    <n v="7.8"/>
    <n v="1"/>
    <n v="9.1999999999999993"/>
    <x v="0"/>
    <n v="10"/>
    <n v="3"/>
    <n v="0"/>
    <n v="1"/>
    <n v="0"/>
    <n v="0"/>
    <n v="0"/>
    <x v="2"/>
    <x v="2"/>
    <x v="0"/>
  </r>
  <r>
    <n v="500"/>
    <n v="56"/>
    <x v="0"/>
    <x v="0"/>
    <n v="2.4"/>
    <n v="5"/>
    <x v="2"/>
    <x v="1"/>
    <n v="5.2"/>
    <n v="2"/>
    <n v="6.9"/>
    <x v="2"/>
    <n v="8"/>
    <n v="0"/>
    <n v="0"/>
    <n v="0"/>
    <n v="0"/>
    <n v="0"/>
    <n v="0"/>
    <x v="0"/>
    <x v="2"/>
    <x v="2"/>
  </r>
  <r>
    <n v="501"/>
    <n v="22"/>
    <x v="0"/>
    <x v="1"/>
    <n v="6.1"/>
    <n v="5.5"/>
    <x v="1"/>
    <x v="0"/>
    <n v="6.9"/>
    <n v="10"/>
    <n v="6.3"/>
    <x v="0"/>
    <n v="1"/>
    <n v="4"/>
    <n v="0"/>
    <n v="0"/>
    <n v="0"/>
    <n v="0"/>
    <n v="1"/>
    <x v="0"/>
    <x v="0"/>
    <x v="1"/>
  </r>
  <r>
    <n v="502"/>
    <n v="19"/>
    <x v="1"/>
    <x v="0"/>
    <n v="7.2"/>
    <n v="1.2"/>
    <x v="2"/>
    <x v="1"/>
    <n v="7.4"/>
    <n v="10"/>
    <n v="6.3"/>
    <x v="1"/>
    <n v="3"/>
    <n v="2"/>
    <n v="0"/>
    <n v="1"/>
    <n v="1"/>
    <n v="1"/>
    <n v="1"/>
    <x v="2"/>
    <x v="0"/>
    <x v="1"/>
  </r>
  <r>
    <n v="503"/>
    <n v="26"/>
    <x v="1"/>
    <x v="0"/>
    <n v="7.8"/>
    <n v="5.3"/>
    <x v="2"/>
    <x v="1"/>
    <n v="4.3"/>
    <n v="7"/>
    <n v="10.7"/>
    <x v="1"/>
    <n v="2"/>
    <n v="4"/>
    <n v="0"/>
    <n v="1"/>
    <n v="1"/>
    <n v="1"/>
    <n v="1"/>
    <x v="1"/>
    <x v="1"/>
    <x v="1"/>
  </r>
  <r>
    <n v="504"/>
    <n v="44"/>
    <x v="0"/>
    <x v="1"/>
    <n v="11.4"/>
    <n v="4.5999999999999996"/>
    <x v="1"/>
    <x v="0"/>
    <n v="8.3000000000000007"/>
    <n v="6"/>
    <n v="6"/>
    <x v="2"/>
    <n v="1"/>
    <n v="3"/>
    <n v="1"/>
    <n v="1"/>
    <n v="1"/>
    <n v="0"/>
    <n v="1"/>
    <x v="2"/>
    <x v="1"/>
    <x v="0"/>
  </r>
  <r>
    <n v="505"/>
    <n v="51"/>
    <x v="1"/>
    <x v="0"/>
    <n v="8.6999999999999993"/>
    <n v="4.8"/>
    <x v="2"/>
    <x v="1"/>
    <n v="6.7"/>
    <n v="8"/>
    <n v="5.3"/>
    <x v="0"/>
    <n v="5"/>
    <n v="0"/>
    <n v="1"/>
    <n v="1"/>
    <n v="1"/>
    <n v="0"/>
    <n v="1"/>
    <x v="0"/>
    <x v="0"/>
    <x v="0"/>
  </r>
  <r>
    <n v="506"/>
    <n v="40"/>
    <x v="1"/>
    <x v="1"/>
    <n v="6.8"/>
    <n v="3.5"/>
    <x v="1"/>
    <x v="0"/>
    <n v="5.6"/>
    <n v="7"/>
    <n v="5.4"/>
    <x v="1"/>
    <n v="3"/>
    <n v="4"/>
    <n v="0"/>
    <n v="1"/>
    <n v="0"/>
    <n v="1"/>
    <n v="0"/>
    <x v="0"/>
    <x v="1"/>
    <x v="1"/>
  </r>
  <r>
    <n v="507"/>
    <n v="36"/>
    <x v="1"/>
    <x v="2"/>
    <n v="10.1"/>
    <n v="1.6"/>
    <x v="2"/>
    <x v="1"/>
    <n v="4.0999999999999996"/>
    <n v="10"/>
    <n v="4"/>
    <x v="2"/>
    <n v="10"/>
    <n v="0"/>
    <n v="0"/>
    <n v="1"/>
    <n v="0"/>
    <n v="1"/>
    <n v="1"/>
    <x v="1"/>
    <x v="0"/>
    <x v="0"/>
  </r>
  <r>
    <n v="508"/>
    <n v="51"/>
    <x v="1"/>
    <x v="2"/>
    <n v="11.5"/>
    <n v="2.4"/>
    <x v="1"/>
    <x v="0"/>
    <n v="8.6999999999999993"/>
    <n v="8"/>
    <n v="10.6"/>
    <x v="2"/>
    <n v="8"/>
    <n v="2"/>
    <n v="1"/>
    <n v="1"/>
    <n v="0"/>
    <n v="0"/>
    <n v="1"/>
    <x v="2"/>
    <x v="0"/>
    <x v="0"/>
  </r>
  <r>
    <n v="509"/>
    <n v="25"/>
    <x v="0"/>
    <x v="0"/>
    <n v="2.2000000000000002"/>
    <n v="7.7"/>
    <x v="2"/>
    <x v="1"/>
    <n v="7.5"/>
    <n v="3"/>
    <n v="3.5"/>
    <x v="2"/>
    <n v="6"/>
    <n v="1"/>
    <n v="0"/>
    <n v="0"/>
    <n v="0"/>
    <n v="0"/>
    <n v="0"/>
    <x v="2"/>
    <x v="2"/>
    <x v="2"/>
  </r>
  <r>
    <n v="510"/>
    <n v="52"/>
    <x v="1"/>
    <x v="1"/>
    <n v="11.8"/>
    <n v="3.9"/>
    <x v="2"/>
    <x v="1"/>
    <n v="4.2"/>
    <n v="6"/>
    <n v="11.1"/>
    <x v="2"/>
    <n v="10"/>
    <n v="0"/>
    <n v="0"/>
    <n v="0"/>
    <n v="1"/>
    <n v="0"/>
    <n v="1"/>
    <x v="1"/>
    <x v="1"/>
    <x v="0"/>
  </r>
  <r>
    <n v="511"/>
    <n v="24"/>
    <x v="0"/>
    <x v="1"/>
    <n v="2.9"/>
    <n v="4.3"/>
    <x v="1"/>
    <x v="0"/>
    <n v="5"/>
    <n v="7"/>
    <n v="4.8"/>
    <x v="2"/>
    <n v="9"/>
    <n v="4"/>
    <n v="0"/>
    <n v="0"/>
    <n v="1"/>
    <n v="0"/>
    <n v="0"/>
    <x v="0"/>
    <x v="1"/>
    <x v="2"/>
  </r>
  <r>
    <n v="512"/>
    <n v="39"/>
    <x v="0"/>
    <x v="2"/>
    <n v="10.1"/>
    <n v="1.4"/>
    <x v="1"/>
    <x v="0"/>
    <n v="7.9"/>
    <n v="10"/>
    <n v="11"/>
    <x v="0"/>
    <n v="9"/>
    <n v="3"/>
    <n v="1"/>
    <n v="0"/>
    <n v="0"/>
    <n v="0"/>
    <n v="0"/>
    <x v="2"/>
    <x v="0"/>
    <x v="0"/>
  </r>
  <r>
    <n v="513"/>
    <n v="50"/>
    <x v="1"/>
    <x v="2"/>
    <n v="4.8"/>
    <n v="1.3"/>
    <x v="1"/>
    <x v="0"/>
    <n v="7.2"/>
    <n v="1"/>
    <n v="9.9"/>
    <x v="0"/>
    <n v="6"/>
    <n v="3"/>
    <n v="0"/>
    <n v="0"/>
    <n v="1"/>
    <n v="0"/>
    <n v="1"/>
    <x v="2"/>
    <x v="2"/>
    <x v="1"/>
  </r>
  <r>
    <n v="514"/>
    <n v="50"/>
    <x v="0"/>
    <x v="1"/>
    <n v="3.3"/>
    <n v="6"/>
    <x v="1"/>
    <x v="0"/>
    <n v="7.6"/>
    <n v="1"/>
    <n v="7.8"/>
    <x v="0"/>
    <n v="2"/>
    <n v="3"/>
    <n v="0"/>
    <n v="0"/>
    <n v="1"/>
    <n v="0"/>
    <n v="0"/>
    <x v="2"/>
    <x v="2"/>
    <x v="2"/>
  </r>
  <r>
    <n v="515"/>
    <n v="51"/>
    <x v="1"/>
    <x v="0"/>
    <n v="6.4"/>
    <n v="4.8"/>
    <x v="2"/>
    <x v="1"/>
    <n v="5.6"/>
    <n v="7"/>
    <n v="8.6999999999999993"/>
    <x v="0"/>
    <n v="9"/>
    <n v="3"/>
    <n v="1"/>
    <n v="0"/>
    <n v="1"/>
    <n v="1"/>
    <n v="1"/>
    <x v="0"/>
    <x v="1"/>
    <x v="1"/>
  </r>
  <r>
    <n v="516"/>
    <n v="33"/>
    <x v="1"/>
    <x v="2"/>
    <n v="8.4"/>
    <n v="4.5999999999999996"/>
    <x v="2"/>
    <x v="1"/>
    <n v="7.3"/>
    <n v="3"/>
    <n v="5.3"/>
    <x v="2"/>
    <n v="2"/>
    <n v="0"/>
    <n v="0"/>
    <n v="1"/>
    <n v="1"/>
    <n v="0"/>
    <n v="1"/>
    <x v="2"/>
    <x v="2"/>
    <x v="0"/>
  </r>
  <r>
    <n v="517"/>
    <n v="54"/>
    <x v="0"/>
    <x v="0"/>
    <n v="5.8"/>
    <n v="2.7"/>
    <x v="2"/>
    <x v="1"/>
    <n v="5.3"/>
    <n v="3"/>
    <n v="7.7"/>
    <x v="2"/>
    <n v="3"/>
    <n v="3"/>
    <n v="0"/>
    <n v="0"/>
    <n v="1"/>
    <n v="1"/>
    <n v="0"/>
    <x v="0"/>
    <x v="2"/>
    <x v="1"/>
  </r>
  <r>
    <n v="518"/>
    <n v="47"/>
    <x v="0"/>
    <x v="0"/>
    <n v="2.5"/>
    <n v="6.2"/>
    <x v="2"/>
    <x v="1"/>
    <n v="4.3"/>
    <n v="5"/>
    <n v="4.9000000000000004"/>
    <x v="1"/>
    <n v="6"/>
    <n v="1"/>
    <n v="1"/>
    <n v="1"/>
    <n v="1"/>
    <n v="0"/>
    <n v="0"/>
    <x v="1"/>
    <x v="1"/>
    <x v="2"/>
  </r>
  <r>
    <n v="519"/>
    <n v="39"/>
    <x v="0"/>
    <x v="2"/>
    <n v="8"/>
    <n v="2.2000000000000002"/>
    <x v="1"/>
    <x v="0"/>
    <n v="6.8"/>
    <n v="6"/>
    <n v="6"/>
    <x v="1"/>
    <n v="2"/>
    <n v="2"/>
    <n v="1"/>
    <n v="0"/>
    <n v="0"/>
    <n v="0"/>
    <n v="0"/>
    <x v="0"/>
    <x v="1"/>
    <x v="1"/>
  </r>
  <r>
    <n v="520"/>
    <n v="38"/>
    <x v="0"/>
    <x v="0"/>
    <n v="11"/>
    <n v="2.2999999999999998"/>
    <x v="2"/>
    <x v="1"/>
    <n v="8.9"/>
    <n v="2"/>
    <n v="9.6"/>
    <x v="0"/>
    <n v="5"/>
    <n v="0"/>
    <n v="0"/>
    <n v="1"/>
    <n v="1"/>
    <n v="1"/>
    <n v="0"/>
    <x v="2"/>
    <x v="2"/>
    <x v="0"/>
  </r>
  <r>
    <n v="521"/>
    <n v="47"/>
    <x v="1"/>
    <x v="0"/>
    <n v="5.8"/>
    <n v="4.2"/>
    <x v="1"/>
    <x v="0"/>
    <n v="4.9000000000000004"/>
    <n v="3"/>
    <n v="4.4000000000000004"/>
    <x v="2"/>
    <n v="2"/>
    <n v="0"/>
    <n v="1"/>
    <n v="0"/>
    <n v="0"/>
    <n v="0"/>
    <n v="1"/>
    <x v="1"/>
    <x v="2"/>
    <x v="1"/>
  </r>
  <r>
    <n v="522"/>
    <n v="52"/>
    <x v="1"/>
    <x v="1"/>
    <n v="4.2"/>
    <n v="3"/>
    <x v="2"/>
    <x v="1"/>
    <n v="5.8"/>
    <n v="6"/>
    <n v="10.4"/>
    <x v="1"/>
    <n v="4"/>
    <n v="3"/>
    <n v="0"/>
    <n v="0"/>
    <n v="1"/>
    <n v="0"/>
    <n v="0"/>
    <x v="0"/>
    <x v="1"/>
    <x v="1"/>
  </r>
  <r>
    <n v="523"/>
    <n v="27"/>
    <x v="1"/>
    <x v="0"/>
    <n v="6.4"/>
    <n v="2.7"/>
    <x v="1"/>
    <x v="0"/>
    <n v="7"/>
    <n v="3"/>
    <n v="5.8"/>
    <x v="1"/>
    <n v="3"/>
    <n v="3"/>
    <n v="0"/>
    <n v="0"/>
    <n v="0"/>
    <n v="0"/>
    <n v="0"/>
    <x v="2"/>
    <x v="2"/>
    <x v="1"/>
  </r>
  <r>
    <n v="524"/>
    <n v="28"/>
    <x v="0"/>
    <x v="1"/>
    <n v="2.5"/>
    <n v="5.5"/>
    <x v="1"/>
    <x v="0"/>
    <n v="6.2"/>
    <n v="5"/>
    <n v="7.3"/>
    <x v="1"/>
    <n v="5"/>
    <n v="0"/>
    <n v="1"/>
    <n v="0"/>
    <n v="0"/>
    <n v="0"/>
    <n v="0"/>
    <x v="0"/>
    <x v="1"/>
    <x v="2"/>
  </r>
  <r>
    <n v="525"/>
    <n v="38"/>
    <x v="0"/>
    <x v="2"/>
    <n v="10.199999999999999"/>
    <n v="5.6"/>
    <x v="1"/>
    <x v="0"/>
    <n v="8.1"/>
    <n v="9"/>
    <n v="11.4"/>
    <x v="1"/>
    <n v="6"/>
    <n v="3"/>
    <n v="0"/>
    <n v="1"/>
    <n v="0"/>
    <n v="0"/>
    <n v="1"/>
    <x v="2"/>
    <x v="0"/>
    <x v="0"/>
  </r>
  <r>
    <n v="526"/>
    <n v="40"/>
    <x v="0"/>
    <x v="2"/>
    <n v="10.3"/>
    <n v="6.8"/>
    <x v="1"/>
    <x v="0"/>
    <n v="7.6"/>
    <n v="3"/>
    <n v="8.8000000000000007"/>
    <x v="0"/>
    <n v="7"/>
    <n v="3"/>
    <n v="1"/>
    <n v="0"/>
    <n v="0"/>
    <n v="0"/>
    <n v="0"/>
    <x v="2"/>
    <x v="2"/>
    <x v="0"/>
  </r>
  <r>
    <n v="527"/>
    <n v="50"/>
    <x v="1"/>
    <x v="1"/>
    <n v="7.9"/>
    <n v="3.9"/>
    <x v="1"/>
    <x v="0"/>
    <n v="3.3"/>
    <n v="6"/>
    <n v="8.5"/>
    <x v="2"/>
    <n v="10"/>
    <n v="3"/>
    <n v="1"/>
    <n v="1"/>
    <n v="0"/>
    <n v="1"/>
    <n v="0"/>
    <x v="1"/>
    <x v="1"/>
    <x v="1"/>
  </r>
  <r>
    <n v="528"/>
    <n v="56"/>
    <x v="0"/>
    <x v="2"/>
    <n v="5.5"/>
    <n v="1.5"/>
    <x v="2"/>
    <x v="1"/>
    <n v="9"/>
    <n v="5"/>
    <n v="9.1"/>
    <x v="0"/>
    <n v="8"/>
    <n v="3"/>
    <n v="1"/>
    <n v="0"/>
    <n v="0"/>
    <n v="1"/>
    <n v="0"/>
    <x v="2"/>
    <x v="1"/>
    <x v="1"/>
  </r>
  <r>
    <n v="529"/>
    <n v="45"/>
    <x v="1"/>
    <x v="0"/>
    <n v="10"/>
    <n v="2.9"/>
    <x v="1"/>
    <x v="0"/>
    <n v="7.5"/>
    <n v="5"/>
    <n v="11.2"/>
    <x v="1"/>
    <n v="9"/>
    <n v="3"/>
    <n v="0"/>
    <n v="0"/>
    <n v="0"/>
    <n v="0"/>
    <n v="0"/>
    <x v="2"/>
    <x v="1"/>
    <x v="0"/>
  </r>
  <r>
    <n v="530"/>
    <n v="32"/>
    <x v="0"/>
    <x v="0"/>
    <n v="7.5"/>
    <n v="7.9"/>
    <x v="2"/>
    <x v="1"/>
    <n v="8.1999999999999993"/>
    <n v="6"/>
    <n v="4.5"/>
    <x v="1"/>
    <n v="4"/>
    <n v="4"/>
    <n v="1"/>
    <n v="0"/>
    <n v="0"/>
    <n v="0"/>
    <n v="0"/>
    <x v="2"/>
    <x v="1"/>
    <x v="1"/>
  </r>
  <r>
    <n v="531"/>
    <n v="35"/>
    <x v="1"/>
    <x v="0"/>
    <n v="10.3"/>
    <n v="5.2"/>
    <x v="2"/>
    <x v="1"/>
    <n v="6.9"/>
    <n v="6"/>
    <n v="8.1"/>
    <x v="2"/>
    <n v="4"/>
    <n v="4"/>
    <n v="0"/>
    <n v="0"/>
    <n v="1"/>
    <n v="1"/>
    <n v="1"/>
    <x v="0"/>
    <x v="1"/>
    <x v="0"/>
  </r>
  <r>
    <n v="532"/>
    <n v="40"/>
    <x v="1"/>
    <x v="2"/>
    <n v="8.3000000000000007"/>
    <n v="6"/>
    <x v="1"/>
    <x v="0"/>
    <n v="8.1"/>
    <n v="1"/>
    <n v="6"/>
    <x v="2"/>
    <n v="7"/>
    <n v="4"/>
    <n v="1"/>
    <n v="1"/>
    <n v="0"/>
    <n v="0"/>
    <n v="0"/>
    <x v="2"/>
    <x v="2"/>
    <x v="0"/>
  </r>
  <r>
    <n v="533"/>
    <n v="37"/>
    <x v="0"/>
    <x v="0"/>
    <n v="9.8000000000000007"/>
    <n v="1.1000000000000001"/>
    <x v="2"/>
    <x v="1"/>
    <n v="3.7"/>
    <n v="9"/>
    <n v="2.1"/>
    <x v="0"/>
    <n v="10"/>
    <n v="0"/>
    <n v="1"/>
    <n v="1"/>
    <n v="0"/>
    <n v="1"/>
    <n v="1"/>
    <x v="1"/>
    <x v="0"/>
    <x v="0"/>
  </r>
  <r>
    <n v="534"/>
    <n v="28"/>
    <x v="0"/>
    <x v="2"/>
    <n v="8"/>
    <n v="4.5999999999999996"/>
    <x v="2"/>
    <x v="1"/>
    <n v="5.0999999999999996"/>
    <n v="5"/>
    <n v="3.3"/>
    <x v="2"/>
    <n v="10"/>
    <n v="2"/>
    <n v="0"/>
    <n v="1"/>
    <n v="1"/>
    <n v="0"/>
    <n v="1"/>
    <x v="0"/>
    <x v="1"/>
    <x v="1"/>
  </r>
  <r>
    <n v="535"/>
    <n v="34"/>
    <x v="1"/>
    <x v="0"/>
    <n v="6.1"/>
    <n v="1.3"/>
    <x v="2"/>
    <x v="1"/>
    <n v="8.3000000000000007"/>
    <n v="1"/>
    <n v="5.2"/>
    <x v="0"/>
    <n v="9"/>
    <n v="0"/>
    <n v="0"/>
    <n v="0"/>
    <n v="0"/>
    <n v="0"/>
    <n v="1"/>
    <x v="2"/>
    <x v="2"/>
    <x v="1"/>
  </r>
  <r>
    <n v="536"/>
    <n v="51"/>
    <x v="1"/>
    <x v="1"/>
    <n v="11.6"/>
    <n v="5"/>
    <x v="1"/>
    <x v="0"/>
    <n v="4.2"/>
    <n v="8"/>
    <n v="7.6"/>
    <x v="0"/>
    <n v="2"/>
    <n v="4"/>
    <n v="1"/>
    <n v="0"/>
    <n v="0"/>
    <n v="1"/>
    <n v="0"/>
    <x v="1"/>
    <x v="0"/>
    <x v="0"/>
  </r>
  <r>
    <n v="537"/>
    <n v="27"/>
    <x v="0"/>
    <x v="2"/>
    <n v="7.4"/>
    <n v="7.4"/>
    <x v="1"/>
    <x v="0"/>
    <n v="3.5"/>
    <n v="7"/>
    <n v="10.8"/>
    <x v="1"/>
    <n v="6"/>
    <n v="0"/>
    <n v="0"/>
    <n v="0"/>
    <n v="0"/>
    <n v="1"/>
    <n v="0"/>
    <x v="1"/>
    <x v="1"/>
    <x v="1"/>
  </r>
  <r>
    <n v="538"/>
    <n v="56"/>
    <x v="0"/>
    <x v="2"/>
    <n v="8.1"/>
    <n v="7.8"/>
    <x v="1"/>
    <x v="0"/>
    <n v="7.7"/>
    <n v="7"/>
    <n v="9.9"/>
    <x v="0"/>
    <n v="10"/>
    <n v="2"/>
    <n v="0"/>
    <n v="0"/>
    <n v="0"/>
    <n v="1"/>
    <n v="1"/>
    <x v="2"/>
    <x v="1"/>
    <x v="0"/>
  </r>
  <r>
    <n v="539"/>
    <n v="34"/>
    <x v="1"/>
    <x v="0"/>
    <n v="4.2"/>
    <n v="4.8"/>
    <x v="1"/>
    <x v="0"/>
    <n v="8"/>
    <n v="5"/>
    <n v="7.5"/>
    <x v="1"/>
    <n v="10"/>
    <n v="3"/>
    <n v="1"/>
    <n v="1"/>
    <n v="1"/>
    <n v="0"/>
    <n v="1"/>
    <x v="2"/>
    <x v="1"/>
    <x v="1"/>
  </r>
  <r>
    <n v="540"/>
    <n v="27"/>
    <x v="0"/>
    <x v="2"/>
    <n v="8.3000000000000007"/>
    <n v="4.2"/>
    <x v="2"/>
    <x v="1"/>
    <n v="4"/>
    <n v="1"/>
    <n v="2.7"/>
    <x v="0"/>
    <n v="8"/>
    <n v="1"/>
    <n v="1"/>
    <n v="1"/>
    <n v="1"/>
    <n v="0"/>
    <n v="0"/>
    <x v="1"/>
    <x v="2"/>
    <x v="0"/>
  </r>
  <r>
    <n v="541"/>
    <n v="24"/>
    <x v="1"/>
    <x v="2"/>
    <n v="7.7"/>
    <n v="7.6"/>
    <x v="2"/>
    <x v="1"/>
    <n v="8.1"/>
    <n v="9"/>
    <n v="4.9000000000000004"/>
    <x v="0"/>
    <n v="5"/>
    <n v="4"/>
    <n v="0"/>
    <n v="1"/>
    <n v="1"/>
    <n v="1"/>
    <n v="1"/>
    <x v="2"/>
    <x v="0"/>
    <x v="1"/>
  </r>
  <r>
    <n v="542"/>
    <n v="22"/>
    <x v="1"/>
    <x v="1"/>
    <n v="3.8"/>
    <n v="5.7"/>
    <x v="2"/>
    <x v="1"/>
    <n v="7.1"/>
    <n v="9"/>
    <n v="5.7"/>
    <x v="2"/>
    <n v="5"/>
    <n v="4"/>
    <n v="1"/>
    <n v="0"/>
    <n v="1"/>
    <n v="1"/>
    <n v="1"/>
    <x v="2"/>
    <x v="0"/>
    <x v="2"/>
  </r>
  <r>
    <n v="543"/>
    <n v="43"/>
    <x v="0"/>
    <x v="1"/>
    <n v="2.6"/>
    <n v="1.5"/>
    <x v="2"/>
    <x v="1"/>
    <n v="6.1"/>
    <n v="8"/>
    <n v="8.1999999999999993"/>
    <x v="2"/>
    <n v="8"/>
    <n v="2"/>
    <n v="1"/>
    <n v="1"/>
    <n v="1"/>
    <n v="1"/>
    <n v="1"/>
    <x v="0"/>
    <x v="0"/>
    <x v="2"/>
  </r>
  <r>
    <n v="544"/>
    <n v="29"/>
    <x v="0"/>
    <x v="0"/>
    <n v="8"/>
    <n v="4.3"/>
    <x v="2"/>
    <x v="1"/>
    <n v="8"/>
    <n v="5"/>
    <n v="2.6"/>
    <x v="1"/>
    <n v="1"/>
    <n v="3"/>
    <n v="1"/>
    <n v="0"/>
    <n v="0"/>
    <n v="1"/>
    <n v="0"/>
    <x v="2"/>
    <x v="1"/>
    <x v="1"/>
  </r>
  <r>
    <n v="545"/>
    <n v="46"/>
    <x v="0"/>
    <x v="1"/>
    <n v="9.6"/>
    <n v="2.7"/>
    <x v="2"/>
    <x v="1"/>
    <n v="5.5"/>
    <n v="3"/>
    <n v="7.3"/>
    <x v="2"/>
    <n v="6"/>
    <n v="3"/>
    <n v="0"/>
    <n v="1"/>
    <n v="1"/>
    <n v="1"/>
    <n v="0"/>
    <x v="0"/>
    <x v="2"/>
    <x v="0"/>
  </r>
  <r>
    <n v="546"/>
    <n v="34"/>
    <x v="0"/>
    <x v="0"/>
    <n v="7.2"/>
    <n v="4.3"/>
    <x v="1"/>
    <x v="0"/>
    <n v="4.2"/>
    <n v="8"/>
    <n v="11"/>
    <x v="0"/>
    <n v="10"/>
    <n v="1"/>
    <n v="0"/>
    <n v="1"/>
    <n v="1"/>
    <n v="1"/>
    <n v="1"/>
    <x v="1"/>
    <x v="0"/>
    <x v="1"/>
  </r>
  <r>
    <n v="547"/>
    <n v="31"/>
    <x v="0"/>
    <x v="0"/>
    <n v="4.3"/>
    <n v="4.2"/>
    <x v="2"/>
    <x v="1"/>
    <n v="4.7"/>
    <n v="1"/>
    <n v="9.1"/>
    <x v="1"/>
    <n v="9"/>
    <n v="3"/>
    <n v="0"/>
    <n v="1"/>
    <n v="1"/>
    <n v="1"/>
    <n v="1"/>
    <x v="1"/>
    <x v="2"/>
    <x v="1"/>
  </r>
  <r>
    <n v="548"/>
    <n v="20"/>
    <x v="1"/>
    <x v="0"/>
    <n v="8.6999999999999993"/>
    <n v="5.0999999999999996"/>
    <x v="2"/>
    <x v="1"/>
    <n v="6"/>
    <n v="3"/>
    <n v="10"/>
    <x v="1"/>
    <n v="6"/>
    <n v="2"/>
    <n v="1"/>
    <n v="1"/>
    <n v="0"/>
    <n v="1"/>
    <n v="1"/>
    <x v="0"/>
    <x v="2"/>
    <x v="0"/>
  </r>
  <r>
    <n v="549"/>
    <n v="50"/>
    <x v="1"/>
    <x v="2"/>
    <n v="2.8"/>
    <n v="3.5"/>
    <x v="2"/>
    <x v="1"/>
    <n v="6.2"/>
    <n v="7"/>
    <n v="8.8000000000000007"/>
    <x v="1"/>
    <n v="7"/>
    <n v="3"/>
    <n v="0"/>
    <n v="0"/>
    <n v="1"/>
    <n v="0"/>
    <n v="1"/>
    <x v="0"/>
    <x v="1"/>
    <x v="2"/>
  </r>
  <r>
    <n v="550"/>
    <n v="27"/>
    <x v="0"/>
    <x v="1"/>
    <n v="6.4"/>
    <n v="2.1"/>
    <x v="1"/>
    <x v="0"/>
    <n v="7.8"/>
    <n v="4"/>
    <n v="4.0999999999999996"/>
    <x v="0"/>
    <n v="4"/>
    <n v="2"/>
    <n v="1"/>
    <n v="0"/>
    <n v="1"/>
    <n v="0"/>
    <n v="0"/>
    <x v="2"/>
    <x v="1"/>
    <x v="1"/>
  </r>
  <r>
    <n v="551"/>
    <n v="40"/>
    <x v="0"/>
    <x v="0"/>
    <n v="3.6"/>
    <n v="4.5"/>
    <x v="2"/>
    <x v="1"/>
    <n v="7.7"/>
    <n v="7"/>
    <n v="3.1"/>
    <x v="2"/>
    <n v="10"/>
    <n v="4"/>
    <n v="1"/>
    <n v="1"/>
    <n v="0"/>
    <n v="1"/>
    <n v="0"/>
    <x v="2"/>
    <x v="1"/>
    <x v="2"/>
  </r>
  <r>
    <n v="552"/>
    <n v="36"/>
    <x v="0"/>
    <x v="1"/>
    <n v="3.8"/>
    <n v="6.8"/>
    <x v="2"/>
    <x v="1"/>
    <n v="6.5"/>
    <n v="5"/>
    <n v="10.3"/>
    <x v="1"/>
    <n v="1"/>
    <n v="4"/>
    <n v="1"/>
    <n v="1"/>
    <n v="1"/>
    <n v="0"/>
    <n v="0"/>
    <x v="0"/>
    <x v="1"/>
    <x v="2"/>
  </r>
  <r>
    <n v="553"/>
    <n v="51"/>
    <x v="1"/>
    <x v="0"/>
    <n v="4"/>
    <n v="5.6"/>
    <x v="1"/>
    <x v="0"/>
    <n v="7.7"/>
    <n v="6"/>
    <n v="9"/>
    <x v="0"/>
    <n v="9"/>
    <n v="4"/>
    <n v="1"/>
    <n v="0"/>
    <n v="0"/>
    <n v="1"/>
    <n v="0"/>
    <x v="2"/>
    <x v="1"/>
    <x v="2"/>
  </r>
  <r>
    <n v="554"/>
    <n v="38"/>
    <x v="0"/>
    <x v="1"/>
    <n v="5.9"/>
    <n v="3.4"/>
    <x v="2"/>
    <x v="1"/>
    <n v="4.2"/>
    <n v="7"/>
    <n v="7.8"/>
    <x v="2"/>
    <n v="6"/>
    <n v="0"/>
    <n v="0"/>
    <n v="1"/>
    <n v="1"/>
    <n v="1"/>
    <n v="0"/>
    <x v="1"/>
    <x v="1"/>
    <x v="1"/>
  </r>
  <r>
    <n v="555"/>
    <n v="31"/>
    <x v="0"/>
    <x v="1"/>
    <n v="2.5"/>
    <n v="7.5"/>
    <x v="1"/>
    <x v="0"/>
    <n v="3.3"/>
    <n v="10"/>
    <n v="3.9"/>
    <x v="2"/>
    <n v="3"/>
    <n v="4"/>
    <n v="1"/>
    <n v="1"/>
    <n v="0"/>
    <n v="0"/>
    <n v="1"/>
    <x v="1"/>
    <x v="0"/>
    <x v="2"/>
  </r>
  <r>
    <n v="556"/>
    <n v="54"/>
    <x v="1"/>
    <x v="0"/>
    <n v="6"/>
    <n v="7.4"/>
    <x v="1"/>
    <x v="0"/>
    <n v="8.1999999999999993"/>
    <n v="7"/>
    <n v="8"/>
    <x v="1"/>
    <n v="4"/>
    <n v="2"/>
    <n v="1"/>
    <n v="1"/>
    <n v="0"/>
    <n v="1"/>
    <n v="1"/>
    <x v="2"/>
    <x v="1"/>
    <x v="1"/>
  </r>
  <r>
    <n v="557"/>
    <n v="57"/>
    <x v="1"/>
    <x v="2"/>
    <n v="7.1"/>
    <n v="2.5"/>
    <x v="2"/>
    <x v="1"/>
    <n v="3.5"/>
    <n v="7"/>
    <n v="2.2999999999999998"/>
    <x v="0"/>
    <n v="10"/>
    <n v="1"/>
    <n v="0"/>
    <n v="0"/>
    <n v="0"/>
    <n v="1"/>
    <n v="0"/>
    <x v="1"/>
    <x v="1"/>
    <x v="1"/>
  </r>
  <r>
    <n v="558"/>
    <n v="54"/>
    <x v="0"/>
    <x v="1"/>
    <n v="6.8"/>
    <n v="1.3"/>
    <x v="2"/>
    <x v="1"/>
    <n v="4.5"/>
    <n v="7"/>
    <n v="3.2"/>
    <x v="2"/>
    <n v="6"/>
    <n v="3"/>
    <n v="1"/>
    <n v="0"/>
    <n v="1"/>
    <n v="1"/>
    <n v="1"/>
    <x v="1"/>
    <x v="1"/>
    <x v="1"/>
  </r>
  <r>
    <n v="559"/>
    <n v="29"/>
    <x v="0"/>
    <x v="2"/>
    <n v="5.8"/>
    <n v="6.2"/>
    <x v="1"/>
    <x v="0"/>
    <n v="7.2"/>
    <n v="7"/>
    <n v="5.0999999999999996"/>
    <x v="0"/>
    <n v="6"/>
    <n v="4"/>
    <n v="0"/>
    <n v="1"/>
    <n v="1"/>
    <n v="1"/>
    <n v="0"/>
    <x v="2"/>
    <x v="1"/>
    <x v="1"/>
  </r>
  <r>
    <n v="560"/>
    <n v="46"/>
    <x v="0"/>
    <x v="2"/>
    <n v="10.4"/>
    <n v="6.8"/>
    <x v="2"/>
    <x v="1"/>
    <n v="5.5"/>
    <n v="3"/>
    <n v="6.4"/>
    <x v="2"/>
    <n v="9"/>
    <n v="0"/>
    <n v="0"/>
    <n v="1"/>
    <n v="0"/>
    <n v="0"/>
    <n v="1"/>
    <x v="0"/>
    <x v="2"/>
    <x v="0"/>
  </r>
  <r>
    <n v="561"/>
    <n v="20"/>
    <x v="1"/>
    <x v="0"/>
    <n v="3.5"/>
    <n v="7.8"/>
    <x v="2"/>
    <x v="1"/>
    <n v="8.3000000000000007"/>
    <n v="3"/>
    <n v="3.2"/>
    <x v="1"/>
    <n v="4"/>
    <n v="0"/>
    <n v="0"/>
    <n v="0"/>
    <n v="1"/>
    <n v="1"/>
    <n v="0"/>
    <x v="2"/>
    <x v="2"/>
    <x v="2"/>
  </r>
  <r>
    <n v="562"/>
    <n v="50"/>
    <x v="0"/>
    <x v="0"/>
    <n v="7.1"/>
    <n v="7.2"/>
    <x v="1"/>
    <x v="0"/>
    <n v="4.8"/>
    <n v="7"/>
    <n v="3.2"/>
    <x v="1"/>
    <n v="5"/>
    <n v="2"/>
    <n v="1"/>
    <n v="0"/>
    <n v="0"/>
    <n v="1"/>
    <n v="0"/>
    <x v="1"/>
    <x v="1"/>
    <x v="1"/>
  </r>
  <r>
    <n v="563"/>
    <n v="38"/>
    <x v="0"/>
    <x v="0"/>
    <n v="2.6"/>
    <n v="5.2"/>
    <x v="1"/>
    <x v="0"/>
    <n v="3.1"/>
    <n v="2"/>
    <n v="9.3000000000000007"/>
    <x v="2"/>
    <n v="5"/>
    <n v="1"/>
    <n v="0"/>
    <n v="0"/>
    <n v="1"/>
    <n v="0"/>
    <n v="1"/>
    <x v="1"/>
    <x v="2"/>
    <x v="2"/>
  </r>
  <r>
    <n v="564"/>
    <n v="44"/>
    <x v="0"/>
    <x v="1"/>
    <n v="2.7"/>
    <n v="4.7"/>
    <x v="2"/>
    <x v="1"/>
    <n v="4.8"/>
    <n v="2"/>
    <n v="7.7"/>
    <x v="0"/>
    <n v="3"/>
    <n v="4"/>
    <n v="1"/>
    <n v="0"/>
    <n v="0"/>
    <n v="0"/>
    <n v="0"/>
    <x v="1"/>
    <x v="2"/>
    <x v="2"/>
  </r>
  <r>
    <n v="565"/>
    <n v="58"/>
    <x v="1"/>
    <x v="0"/>
    <n v="7.7"/>
    <n v="1.2"/>
    <x v="1"/>
    <x v="0"/>
    <n v="6.5"/>
    <n v="3"/>
    <n v="7.3"/>
    <x v="2"/>
    <n v="2"/>
    <n v="4"/>
    <n v="0"/>
    <n v="0"/>
    <n v="0"/>
    <n v="0"/>
    <n v="1"/>
    <x v="0"/>
    <x v="2"/>
    <x v="1"/>
  </r>
  <r>
    <n v="566"/>
    <n v="26"/>
    <x v="1"/>
    <x v="0"/>
    <n v="7.7"/>
    <n v="2.7"/>
    <x v="2"/>
    <x v="1"/>
    <n v="5.3"/>
    <n v="4"/>
    <n v="6.5"/>
    <x v="0"/>
    <n v="8"/>
    <n v="0"/>
    <n v="0"/>
    <n v="0"/>
    <n v="0"/>
    <n v="0"/>
    <n v="1"/>
    <x v="0"/>
    <x v="1"/>
    <x v="1"/>
  </r>
  <r>
    <n v="567"/>
    <n v="33"/>
    <x v="0"/>
    <x v="1"/>
    <n v="10.8"/>
    <n v="4.2"/>
    <x v="2"/>
    <x v="1"/>
    <n v="6.2"/>
    <n v="6"/>
    <n v="11.8"/>
    <x v="2"/>
    <n v="10"/>
    <n v="2"/>
    <n v="0"/>
    <n v="0"/>
    <n v="1"/>
    <n v="1"/>
    <n v="1"/>
    <x v="0"/>
    <x v="1"/>
    <x v="0"/>
  </r>
  <r>
    <n v="568"/>
    <n v="27"/>
    <x v="0"/>
    <x v="1"/>
    <n v="7.6"/>
    <n v="5.4"/>
    <x v="2"/>
    <x v="1"/>
    <n v="8.3000000000000007"/>
    <n v="8"/>
    <n v="2.5"/>
    <x v="1"/>
    <n v="9"/>
    <n v="0"/>
    <n v="0"/>
    <n v="0"/>
    <n v="1"/>
    <n v="0"/>
    <n v="1"/>
    <x v="2"/>
    <x v="0"/>
    <x v="1"/>
  </r>
  <r>
    <n v="569"/>
    <n v="24"/>
    <x v="1"/>
    <x v="0"/>
    <n v="11.6"/>
    <n v="4.9000000000000004"/>
    <x v="2"/>
    <x v="1"/>
    <n v="8.5"/>
    <n v="10"/>
    <n v="3.8"/>
    <x v="0"/>
    <n v="10"/>
    <n v="0"/>
    <n v="1"/>
    <n v="1"/>
    <n v="0"/>
    <n v="0"/>
    <n v="0"/>
    <x v="2"/>
    <x v="0"/>
    <x v="0"/>
  </r>
  <r>
    <n v="570"/>
    <n v="25"/>
    <x v="1"/>
    <x v="0"/>
    <n v="2.5"/>
    <n v="6.2"/>
    <x v="1"/>
    <x v="0"/>
    <n v="4.5999999999999996"/>
    <n v="10"/>
    <n v="8.5"/>
    <x v="1"/>
    <n v="9"/>
    <n v="1"/>
    <n v="1"/>
    <n v="1"/>
    <n v="0"/>
    <n v="1"/>
    <n v="1"/>
    <x v="1"/>
    <x v="0"/>
    <x v="2"/>
  </r>
  <r>
    <n v="571"/>
    <n v="59"/>
    <x v="1"/>
    <x v="0"/>
    <n v="3"/>
    <n v="3"/>
    <x v="2"/>
    <x v="1"/>
    <n v="5.8"/>
    <n v="7"/>
    <n v="3.4"/>
    <x v="0"/>
    <n v="5"/>
    <n v="2"/>
    <n v="0"/>
    <n v="0"/>
    <n v="1"/>
    <n v="1"/>
    <n v="0"/>
    <x v="0"/>
    <x v="1"/>
    <x v="2"/>
  </r>
  <r>
    <n v="572"/>
    <n v="32"/>
    <x v="1"/>
    <x v="0"/>
    <n v="2.4"/>
    <n v="5"/>
    <x v="1"/>
    <x v="0"/>
    <n v="6.3"/>
    <n v="4"/>
    <n v="7.9"/>
    <x v="2"/>
    <n v="9"/>
    <n v="1"/>
    <n v="0"/>
    <n v="1"/>
    <n v="0"/>
    <n v="0"/>
    <n v="0"/>
    <x v="0"/>
    <x v="1"/>
    <x v="2"/>
  </r>
  <r>
    <n v="573"/>
    <n v="53"/>
    <x v="1"/>
    <x v="2"/>
    <n v="3.9"/>
    <n v="1.6"/>
    <x v="2"/>
    <x v="1"/>
    <n v="8.6999999999999993"/>
    <n v="2"/>
    <n v="7.7"/>
    <x v="1"/>
    <n v="4"/>
    <n v="2"/>
    <n v="0"/>
    <n v="0"/>
    <n v="1"/>
    <n v="0"/>
    <n v="1"/>
    <x v="2"/>
    <x v="2"/>
    <x v="2"/>
  </r>
  <r>
    <n v="574"/>
    <n v="22"/>
    <x v="1"/>
    <x v="2"/>
    <n v="7.4"/>
    <n v="3.9"/>
    <x v="2"/>
    <x v="1"/>
    <n v="9"/>
    <n v="2"/>
    <n v="11.7"/>
    <x v="1"/>
    <n v="2"/>
    <n v="4"/>
    <n v="1"/>
    <n v="1"/>
    <n v="0"/>
    <n v="1"/>
    <n v="1"/>
    <x v="2"/>
    <x v="2"/>
    <x v="1"/>
  </r>
  <r>
    <n v="575"/>
    <n v="28"/>
    <x v="1"/>
    <x v="0"/>
    <n v="8.5"/>
    <n v="6.3"/>
    <x v="1"/>
    <x v="0"/>
    <n v="4.4000000000000004"/>
    <n v="4"/>
    <n v="10.8"/>
    <x v="0"/>
    <n v="3"/>
    <n v="3"/>
    <n v="0"/>
    <n v="0"/>
    <n v="1"/>
    <n v="0"/>
    <n v="0"/>
    <x v="1"/>
    <x v="1"/>
    <x v="0"/>
  </r>
  <r>
    <n v="576"/>
    <n v="55"/>
    <x v="1"/>
    <x v="2"/>
    <n v="2.5"/>
    <n v="5.9"/>
    <x v="2"/>
    <x v="1"/>
    <n v="7.4"/>
    <n v="6"/>
    <n v="11.5"/>
    <x v="0"/>
    <n v="1"/>
    <n v="3"/>
    <n v="0"/>
    <n v="0"/>
    <n v="0"/>
    <n v="0"/>
    <n v="1"/>
    <x v="2"/>
    <x v="1"/>
    <x v="2"/>
  </r>
  <r>
    <n v="577"/>
    <n v="57"/>
    <x v="1"/>
    <x v="1"/>
    <n v="11.5"/>
    <n v="7.9"/>
    <x v="1"/>
    <x v="0"/>
    <n v="5.3"/>
    <n v="3"/>
    <n v="3.1"/>
    <x v="0"/>
    <n v="5"/>
    <n v="2"/>
    <n v="1"/>
    <n v="1"/>
    <n v="0"/>
    <n v="0"/>
    <n v="1"/>
    <x v="0"/>
    <x v="2"/>
    <x v="0"/>
  </r>
  <r>
    <n v="578"/>
    <n v="24"/>
    <x v="0"/>
    <x v="2"/>
    <n v="10.4"/>
    <n v="2.9"/>
    <x v="1"/>
    <x v="0"/>
    <n v="3"/>
    <n v="6"/>
    <n v="10.7"/>
    <x v="1"/>
    <n v="1"/>
    <n v="3"/>
    <n v="0"/>
    <n v="1"/>
    <n v="0"/>
    <n v="0"/>
    <n v="1"/>
    <x v="1"/>
    <x v="1"/>
    <x v="0"/>
  </r>
  <r>
    <n v="579"/>
    <n v="42"/>
    <x v="0"/>
    <x v="2"/>
    <n v="5"/>
    <n v="4.5"/>
    <x v="2"/>
    <x v="1"/>
    <n v="3.1"/>
    <n v="5"/>
    <n v="3.3"/>
    <x v="2"/>
    <n v="1"/>
    <n v="0"/>
    <n v="0"/>
    <n v="1"/>
    <n v="0"/>
    <n v="0"/>
    <n v="1"/>
    <x v="1"/>
    <x v="1"/>
    <x v="1"/>
  </r>
  <r>
    <n v="580"/>
    <n v="17"/>
    <x v="0"/>
    <x v="0"/>
    <n v="2.8"/>
    <n v="3.3"/>
    <x v="2"/>
    <x v="1"/>
    <n v="5.8"/>
    <n v="5"/>
    <n v="8.3000000000000007"/>
    <x v="0"/>
    <n v="7"/>
    <n v="4"/>
    <n v="0"/>
    <n v="1"/>
    <n v="1"/>
    <n v="0"/>
    <n v="0"/>
    <x v="0"/>
    <x v="1"/>
    <x v="2"/>
  </r>
  <r>
    <n v="581"/>
    <n v="20"/>
    <x v="1"/>
    <x v="2"/>
    <n v="3.7"/>
    <n v="4.0999999999999996"/>
    <x v="2"/>
    <x v="1"/>
    <n v="5.9"/>
    <n v="2"/>
    <n v="9.1999999999999993"/>
    <x v="2"/>
    <n v="2"/>
    <n v="4"/>
    <n v="0"/>
    <n v="1"/>
    <n v="0"/>
    <n v="1"/>
    <n v="0"/>
    <x v="0"/>
    <x v="2"/>
    <x v="2"/>
  </r>
  <r>
    <n v="582"/>
    <n v="44"/>
    <x v="0"/>
    <x v="2"/>
    <n v="3.3"/>
    <n v="7"/>
    <x v="2"/>
    <x v="1"/>
    <n v="3.1"/>
    <n v="8"/>
    <n v="3.6"/>
    <x v="0"/>
    <n v="8"/>
    <n v="3"/>
    <n v="1"/>
    <n v="0"/>
    <n v="0"/>
    <n v="0"/>
    <n v="1"/>
    <x v="1"/>
    <x v="0"/>
    <x v="2"/>
  </r>
  <r>
    <n v="583"/>
    <n v="52"/>
    <x v="1"/>
    <x v="2"/>
    <n v="3.2"/>
    <n v="5.8"/>
    <x v="1"/>
    <x v="0"/>
    <n v="7.1"/>
    <n v="5"/>
    <n v="8.3000000000000007"/>
    <x v="2"/>
    <n v="6"/>
    <n v="2"/>
    <n v="1"/>
    <n v="0"/>
    <n v="0"/>
    <n v="0"/>
    <n v="1"/>
    <x v="2"/>
    <x v="1"/>
    <x v="2"/>
  </r>
  <r>
    <n v="584"/>
    <n v="53"/>
    <x v="1"/>
    <x v="2"/>
    <n v="7.2"/>
    <n v="7.2"/>
    <x v="2"/>
    <x v="1"/>
    <n v="4.8"/>
    <n v="2"/>
    <n v="2.5"/>
    <x v="0"/>
    <n v="4"/>
    <n v="0"/>
    <n v="1"/>
    <n v="0"/>
    <n v="0"/>
    <n v="0"/>
    <n v="0"/>
    <x v="1"/>
    <x v="2"/>
    <x v="1"/>
  </r>
  <r>
    <n v="585"/>
    <n v="34"/>
    <x v="0"/>
    <x v="1"/>
    <n v="4.5"/>
    <n v="2.4"/>
    <x v="2"/>
    <x v="1"/>
    <n v="6.4"/>
    <n v="7"/>
    <n v="4.9000000000000004"/>
    <x v="2"/>
    <n v="9"/>
    <n v="2"/>
    <n v="0"/>
    <n v="1"/>
    <n v="0"/>
    <n v="1"/>
    <n v="0"/>
    <x v="0"/>
    <x v="1"/>
    <x v="1"/>
  </r>
  <r>
    <n v="586"/>
    <n v="23"/>
    <x v="1"/>
    <x v="0"/>
    <n v="5.6"/>
    <n v="7.1"/>
    <x v="2"/>
    <x v="1"/>
    <n v="4.8"/>
    <n v="9"/>
    <n v="11.2"/>
    <x v="1"/>
    <n v="10"/>
    <n v="3"/>
    <n v="0"/>
    <n v="0"/>
    <n v="1"/>
    <n v="1"/>
    <n v="1"/>
    <x v="1"/>
    <x v="0"/>
    <x v="1"/>
  </r>
  <r>
    <n v="587"/>
    <n v="16"/>
    <x v="0"/>
    <x v="0"/>
    <n v="11.9"/>
    <n v="1.4"/>
    <x v="2"/>
    <x v="1"/>
    <n v="4"/>
    <n v="9"/>
    <n v="3.7"/>
    <x v="0"/>
    <n v="8"/>
    <n v="4"/>
    <n v="1"/>
    <n v="0"/>
    <n v="1"/>
    <n v="1"/>
    <n v="1"/>
    <x v="1"/>
    <x v="0"/>
    <x v="0"/>
  </r>
  <r>
    <n v="588"/>
    <n v="37"/>
    <x v="0"/>
    <x v="1"/>
    <n v="8.8000000000000007"/>
    <n v="7.2"/>
    <x v="2"/>
    <x v="1"/>
    <n v="5.4"/>
    <n v="1"/>
    <n v="2.7"/>
    <x v="0"/>
    <n v="10"/>
    <n v="4"/>
    <n v="0"/>
    <n v="1"/>
    <n v="1"/>
    <n v="1"/>
    <n v="1"/>
    <x v="0"/>
    <x v="2"/>
    <x v="0"/>
  </r>
  <r>
    <n v="589"/>
    <n v="32"/>
    <x v="0"/>
    <x v="2"/>
    <n v="11.5"/>
    <n v="3.3"/>
    <x v="1"/>
    <x v="0"/>
    <n v="4.4000000000000004"/>
    <n v="7"/>
    <n v="6.4"/>
    <x v="1"/>
    <n v="3"/>
    <n v="2"/>
    <n v="0"/>
    <n v="0"/>
    <n v="1"/>
    <n v="1"/>
    <n v="1"/>
    <x v="1"/>
    <x v="1"/>
    <x v="0"/>
  </r>
  <r>
    <n v="590"/>
    <n v="22"/>
    <x v="1"/>
    <x v="1"/>
    <n v="3.4"/>
    <n v="3.2"/>
    <x v="2"/>
    <x v="1"/>
    <n v="6.2"/>
    <n v="9"/>
    <n v="10.5"/>
    <x v="0"/>
    <n v="3"/>
    <n v="1"/>
    <n v="1"/>
    <n v="1"/>
    <n v="0"/>
    <n v="0"/>
    <n v="1"/>
    <x v="0"/>
    <x v="0"/>
    <x v="2"/>
  </r>
  <r>
    <n v="591"/>
    <n v="40"/>
    <x v="0"/>
    <x v="2"/>
    <n v="5.8"/>
    <n v="4.5999999999999996"/>
    <x v="1"/>
    <x v="0"/>
    <n v="4.2"/>
    <n v="6"/>
    <n v="2.8"/>
    <x v="0"/>
    <n v="4"/>
    <n v="2"/>
    <n v="1"/>
    <n v="1"/>
    <n v="1"/>
    <n v="1"/>
    <n v="1"/>
    <x v="1"/>
    <x v="1"/>
    <x v="1"/>
  </r>
  <r>
    <n v="592"/>
    <n v="19"/>
    <x v="1"/>
    <x v="1"/>
    <n v="7.5"/>
    <n v="7.6"/>
    <x v="2"/>
    <x v="1"/>
    <n v="6.1"/>
    <n v="1"/>
    <n v="5.6"/>
    <x v="1"/>
    <n v="9"/>
    <n v="1"/>
    <n v="0"/>
    <n v="0"/>
    <n v="0"/>
    <n v="0"/>
    <n v="1"/>
    <x v="0"/>
    <x v="2"/>
    <x v="1"/>
  </r>
  <r>
    <n v="593"/>
    <n v="51"/>
    <x v="0"/>
    <x v="0"/>
    <n v="2.8"/>
    <n v="1.3"/>
    <x v="2"/>
    <x v="1"/>
    <n v="3.9"/>
    <n v="2"/>
    <n v="11"/>
    <x v="1"/>
    <n v="9"/>
    <n v="2"/>
    <n v="1"/>
    <n v="0"/>
    <n v="1"/>
    <n v="1"/>
    <n v="1"/>
    <x v="1"/>
    <x v="2"/>
    <x v="2"/>
  </r>
  <r>
    <n v="594"/>
    <n v="21"/>
    <x v="0"/>
    <x v="0"/>
    <n v="2"/>
    <n v="3.5"/>
    <x v="2"/>
    <x v="1"/>
    <n v="7"/>
    <n v="4"/>
    <n v="3.2"/>
    <x v="2"/>
    <n v="5"/>
    <n v="1"/>
    <n v="0"/>
    <n v="1"/>
    <n v="1"/>
    <n v="0"/>
    <n v="1"/>
    <x v="2"/>
    <x v="1"/>
    <x v="2"/>
  </r>
  <r>
    <n v="595"/>
    <n v="46"/>
    <x v="0"/>
    <x v="0"/>
    <n v="8.6999999999999993"/>
    <n v="7"/>
    <x v="1"/>
    <x v="0"/>
    <n v="7.5"/>
    <n v="4"/>
    <n v="5.0999999999999996"/>
    <x v="1"/>
    <n v="9"/>
    <n v="1"/>
    <n v="1"/>
    <n v="1"/>
    <n v="0"/>
    <n v="0"/>
    <n v="1"/>
    <x v="2"/>
    <x v="1"/>
    <x v="0"/>
  </r>
  <r>
    <n v="596"/>
    <n v="34"/>
    <x v="1"/>
    <x v="2"/>
    <n v="8.4"/>
    <n v="3.8"/>
    <x v="2"/>
    <x v="1"/>
    <n v="3.7"/>
    <n v="2"/>
    <n v="9.8000000000000007"/>
    <x v="1"/>
    <n v="6"/>
    <n v="1"/>
    <n v="1"/>
    <n v="0"/>
    <n v="0"/>
    <n v="0"/>
    <n v="1"/>
    <x v="1"/>
    <x v="2"/>
    <x v="0"/>
  </r>
  <r>
    <n v="597"/>
    <n v="59"/>
    <x v="1"/>
    <x v="2"/>
    <n v="6.1"/>
    <n v="2.4"/>
    <x v="1"/>
    <x v="0"/>
    <n v="5.8"/>
    <n v="8"/>
    <n v="7.4"/>
    <x v="0"/>
    <n v="8"/>
    <n v="1"/>
    <n v="0"/>
    <n v="0"/>
    <n v="1"/>
    <n v="0"/>
    <n v="1"/>
    <x v="0"/>
    <x v="0"/>
    <x v="1"/>
  </r>
  <r>
    <n v="598"/>
    <n v="54"/>
    <x v="1"/>
    <x v="1"/>
    <n v="6.9"/>
    <n v="4"/>
    <x v="1"/>
    <x v="0"/>
    <n v="3.4"/>
    <n v="2"/>
    <n v="10.3"/>
    <x v="1"/>
    <n v="8"/>
    <n v="0"/>
    <n v="0"/>
    <n v="0"/>
    <n v="0"/>
    <n v="0"/>
    <n v="0"/>
    <x v="1"/>
    <x v="2"/>
    <x v="1"/>
  </r>
  <r>
    <n v="599"/>
    <n v="42"/>
    <x v="0"/>
    <x v="1"/>
    <n v="6.2"/>
    <n v="3.7"/>
    <x v="2"/>
    <x v="1"/>
    <n v="6.6"/>
    <n v="3"/>
    <n v="3.1"/>
    <x v="0"/>
    <n v="10"/>
    <n v="1"/>
    <n v="1"/>
    <n v="0"/>
    <n v="0"/>
    <n v="0"/>
    <n v="1"/>
    <x v="0"/>
    <x v="2"/>
    <x v="1"/>
  </r>
  <r>
    <n v="600"/>
    <n v="25"/>
    <x v="0"/>
    <x v="0"/>
    <n v="2.2000000000000002"/>
    <n v="7.4"/>
    <x v="1"/>
    <x v="0"/>
    <n v="4.5999999999999996"/>
    <n v="4"/>
    <n v="11.2"/>
    <x v="1"/>
    <n v="7"/>
    <n v="1"/>
    <n v="0"/>
    <n v="0"/>
    <n v="1"/>
    <n v="0"/>
    <n v="0"/>
    <x v="1"/>
    <x v="1"/>
    <x v="2"/>
  </r>
  <r>
    <n v="601"/>
    <n v="41"/>
    <x v="1"/>
    <x v="2"/>
    <n v="5.4"/>
    <n v="6.3"/>
    <x v="2"/>
    <x v="1"/>
    <n v="6.2"/>
    <n v="9"/>
    <n v="11.3"/>
    <x v="1"/>
    <n v="4"/>
    <n v="4"/>
    <n v="0"/>
    <n v="1"/>
    <n v="0"/>
    <n v="1"/>
    <n v="1"/>
    <x v="0"/>
    <x v="0"/>
    <x v="1"/>
  </r>
  <r>
    <n v="602"/>
    <n v="34"/>
    <x v="1"/>
    <x v="1"/>
    <n v="3.8"/>
    <n v="4.5"/>
    <x v="2"/>
    <x v="1"/>
    <n v="6.1"/>
    <n v="10"/>
    <n v="3.6"/>
    <x v="2"/>
    <n v="4"/>
    <n v="0"/>
    <n v="0"/>
    <n v="1"/>
    <n v="1"/>
    <n v="1"/>
    <n v="0"/>
    <x v="0"/>
    <x v="0"/>
    <x v="2"/>
  </r>
  <r>
    <n v="603"/>
    <n v="54"/>
    <x v="1"/>
    <x v="2"/>
    <n v="3"/>
    <n v="7.9"/>
    <x v="1"/>
    <x v="0"/>
    <n v="8.5"/>
    <n v="1"/>
    <n v="2.2999999999999998"/>
    <x v="1"/>
    <n v="6"/>
    <n v="1"/>
    <n v="1"/>
    <n v="0"/>
    <n v="0"/>
    <n v="1"/>
    <n v="1"/>
    <x v="2"/>
    <x v="2"/>
    <x v="2"/>
  </r>
  <r>
    <n v="604"/>
    <n v="18"/>
    <x v="1"/>
    <x v="2"/>
    <n v="11.6"/>
    <n v="4.3"/>
    <x v="2"/>
    <x v="1"/>
    <n v="6.3"/>
    <n v="8"/>
    <n v="11.9"/>
    <x v="1"/>
    <n v="9"/>
    <n v="3"/>
    <n v="0"/>
    <n v="0"/>
    <n v="1"/>
    <n v="0"/>
    <n v="0"/>
    <x v="0"/>
    <x v="0"/>
    <x v="0"/>
  </r>
  <r>
    <n v="605"/>
    <n v="28"/>
    <x v="1"/>
    <x v="0"/>
    <n v="8"/>
    <n v="1.4"/>
    <x v="2"/>
    <x v="1"/>
    <n v="6.5"/>
    <n v="5"/>
    <n v="6.8"/>
    <x v="0"/>
    <n v="7"/>
    <n v="0"/>
    <n v="0"/>
    <n v="0"/>
    <n v="1"/>
    <n v="0"/>
    <n v="0"/>
    <x v="0"/>
    <x v="1"/>
    <x v="1"/>
  </r>
  <r>
    <n v="606"/>
    <n v="43"/>
    <x v="1"/>
    <x v="0"/>
    <n v="9.3000000000000007"/>
    <n v="2.8"/>
    <x v="1"/>
    <x v="0"/>
    <n v="5.4"/>
    <n v="7"/>
    <n v="7.7"/>
    <x v="0"/>
    <n v="5"/>
    <n v="4"/>
    <n v="1"/>
    <n v="0"/>
    <n v="1"/>
    <n v="1"/>
    <n v="1"/>
    <x v="0"/>
    <x v="1"/>
    <x v="0"/>
  </r>
  <r>
    <n v="607"/>
    <n v="35"/>
    <x v="0"/>
    <x v="2"/>
    <n v="5.2"/>
    <n v="4.0999999999999996"/>
    <x v="1"/>
    <x v="0"/>
    <n v="8.6999999999999993"/>
    <n v="8"/>
    <n v="8.1999999999999993"/>
    <x v="2"/>
    <n v="5"/>
    <n v="2"/>
    <n v="1"/>
    <n v="0"/>
    <n v="1"/>
    <n v="0"/>
    <n v="1"/>
    <x v="2"/>
    <x v="0"/>
    <x v="1"/>
  </r>
  <r>
    <n v="608"/>
    <n v="43"/>
    <x v="1"/>
    <x v="2"/>
    <n v="5.9"/>
    <n v="2.1"/>
    <x v="1"/>
    <x v="0"/>
    <n v="7.7"/>
    <n v="5"/>
    <n v="9.9"/>
    <x v="1"/>
    <n v="8"/>
    <n v="4"/>
    <n v="1"/>
    <n v="1"/>
    <n v="0"/>
    <n v="0"/>
    <n v="0"/>
    <x v="2"/>
    <x v="1"/>
    <x v="1"/>
  </r>
  <r>
    <n v="609"/>
    <n v="23"/>
    <x v="0"/>
    <x v="2"/>
    <n v="4.4000000000000004"/>
    <n v="7.6"/>
    <x v="1"/>
    <x v="0"/>
    <n v="4.7"/>
    <n v="8"/>
    <n v="10.1"/>
    <x v="0"/>
    <n v="6"/>
    <n v="4"/>
    <n v="1"/>
    <n v="1"/>
    <n v="1"/>
    <n v="1"/>
    <n v="0"/>
    <x v="1"/>
    <x v="0"/>
    <x v="1"/>
  </r>
  <r>
    <n v="610"/>
    <n v="56"/>
    <x v="0"/>
    <x v="2"/>
    <n v="3"/>
    <n v="6.4"/>
    <x v="1"/>
    <x v="0"/>
    <n v="8.1"/>
    <n v="10"/>
    <n v="3.9"/>
    <x v="1"/>
    <n v="1"/>
    <n v="0"/>
    <n v="0"/>
    <n v="0"/>
    <n v="1"/>
    <n v="1"/>
    <n v="1"/>
    <x v="2"/>
    <x v="0"/>
    <x v="2"/>
  </r>
  <r>
    <n v="611"/>
    <n v="54"/>
    <x v="1"/>
    <x v="0"/>
    <n v="3.8"/>
    <n v="2.9"/>
    <x v="1"/>
    <x v="0"/>
    <n v="5.6"/>
    <n v="8"/>
    <n v="4.4000000000000004"/>
    <x v="2"/>
    <n v="1"/>
    <n v="0"/>
    <n v="0"/>
    <n v="0"/>
    <n v="0"/>
    <n v="0"/>
    <n v="1"/>
    <x v="0"/>
    <x v="0"/>
    <x v="2"/>
  </r>
  <r>
    <n v="612"/>
    <n v="16"/>
    <x v="1"/>
    <x v="1"/>
    <n v="10"/>
    <n v="5.0999999999999996"/>
    <x v="2"/>
    <x v="1"/>
    <n v="8"/>
    <n v="9"/>
    <n v="10.8"/>
    <x v="0"/>
    <n v="9"/>
    <n v="3"/>
    <n v="1"/>
    <n v="0"/>
    <n v="0"/>
    <n v="1"/>
    <n v="1"/>
    <x v="2"/>
    <x v="0"/>
    <x v="0"/>
  </r>
  <r>
    <n v="613"/>
    <n v="18"/>
    <x v="0"/>
    <x v="0"/>
    <n v="8.8000000000000007"/>
    <n v="6.1"/>
    <x v="1"/>
    <x v="0"/>
    <n v="7.9"/>
    <n v="2"/>
    <n v="10.199999999999999"/>
    <x v="0"/>
    <n v="8"/>
    <n v="3"/>
    <n v="1"/>
    <n v="1"/>
    <n v="1"/>
    <n v="0"/>
    <n v="0"/>
    <x v="2"/>
    <x v="2"/>
    <x v="0"/>
  </r>
  <r>
    <n v="614"/>
    <n v="28"/>
    <x v="1"/>
    <x v="1"/>
    <n v="7.5"/>
    <n v="7.6"/>
    <x v="1"/>
    <x v="0"/>
    <n v="4.0999999999999996"/>
    <n v="3"/>
    <n v="8.1999999999999993"/>
    <x v="2"/>
    <n v="6"/>
    <n v="0"/>
    <n v="0"/>
    <n v="1"/>
    <n v="0"/>
    <n v="0"/>
    <n v="1"/>
    <x v="1"/>
    <x v="2"/>
    <x v="1"/>
  </r>
  <r>
    <n v="615"/>
    <n v="43"/>
    <x v="1"/>
    <x v="2"/>
    <n v="6.8"/>
    <n v="7.2"/>
    <x v="2"/>
    <x v="1"/>
    <n v="7.2"/>
    <n v="1"/>
    <n v="11.9"/>
    <x v="1"/>
    <n v="1"/>
    <n v="0"/>
    <n v="0"/>
    <n v="1"/>
    <n v="1"/>
    <n v="0"/>
    <n v="1"/>
    <x v="2"/>
    <x v="2"/>
    <x v="1"/>
  </r>
  <r>
    <n v="616"/>
    <n v="40"/>
    <x v="0"/>
    <x v="1"/>
    <n v="11.2"/>
    <n v="4.5999999999999996"/>
    <x v="2"/>
    <x v="1"/>
    <n v="4.7"/>
    <n v="4"/>
    <n v="9.4"/>
    <x v="0"/>
    <n v="2"/>
    <n v="0"/>
    <n v="1"/>
    <n v="0"/>
    <n v="0"/>
    <n v="0"/>
    <n v="1"/>
    <x v="1"/>
    <x v="1"/>
    <x v="0"/>
  </r>
  <r>
    <n v="617"/>
    <n v="48"/>
    <x v="0"/>
    <x v="0"/>
    <n v="2.7"/>
    <n v="6.4"/>
    <x v="1"/>
    <x v="0"/>
    <n v="4.8"/>
    <n v="5"/>
    <n v="4.2"/>
    <x v="0"/>
    <n v="10"/>
    <n v="2"/>
    <n v="0"/>
    <n v="0"/>
    <n v="1"/>
    <n v="0"/>
    <n v="1"/>
    <x v="1"/>
    <x v="1"/>
    <x v="2"/>
  </r>
  <r>
    <n v="618"/>
    <n v="53"/>
    <x v="0"/>
    <x v="0"/>
    <n v="4.8"/>
    <n v="4.9000000000000004"/>
    <x v="1"/>
    <x v="0"/>
    <n v="4.8"/>
    <n v="1"/>
    <n v="10.5"/>
    <x v="2"/>
    <n v="3"/>
    <n v="4"/>
    <n v="0"/>
    <n v="1"/>
    <n v="0"/>
    <n v="0"/>
    <n v="0"/>
    <x v="1"/>
    <x v="2"/>
    <x v="1"/>
  </r>
  <r>
    <n v="619"/>
    <n v="21"/>
    <x v="1"/>
    <x v="2"/>
    <n v="5.5"/>
    <n v="4.9000000000000004"/>
    <x v="2"/>
    <x v="1"/>
    <n v="7.4"/>
    <n v="8"/>
    <n v="6.1"/>
    <x v="2"/>
    <n v="10"/>
    <n v="3"/>
    <n v="1"/>
    <n v="1"/>
    <n v="0"/>
    <n v="1"/>
    <n v="0"/>
    <x v="2"/>
    <x v="0"/>
    <x v="1"/>
  </r>
  <r>
    <n v="620"/>
    <n v="59"/>
    <x v="0"/>
    <x v="0"/>
    <n v="9.8000000000000007"/>
    <n v="1.8"/>
    <x v="1"/>
    <x v="0"/>
    <n v="4.4000000000000004"/>
    <n v="2"/>
    <n v="2.4"/>
    <x v="2"/>
    <n v="3"/>
    <n v="3"/>
    <n v="1"/>
    <n v="0"/>
    <n v="1"/>
    <n v="0"/>
    <n v="0"/>
    <x v="1"/>
    <x v="2"/>
    <x v="0"/>
  </r>
  <r>
    <n v="621"/>
    <n v="47"/>
    <x v="1"/>
    <x v="2"/>
    <n v="11.9"/>
    <n v="1.9"/>
    <x v="1"/>
    <x v="0"/>
    <n v="3"/>
    <n v="1"/>
    <n v="5.2"/>
    <x v="1"/>
    <n v="2"/>
    <n v="1"/>
    <n v="1"/>
    <n v="1"/>
    <n v="0"/>
    <n v="0"/>
    <n v="0"/>
    <x v="1"/>
    <x v="2"/>
    <x v="0"/>
  </r>
  <r>
    <n v="622"/>
    <n v="36"/>
    <x v="0"/>
    <x v="0"/>
    <n v="4.4000000000000004"/>
    <n v="4.7"/>
    <x v="2"/>
    <x v="1"/>
    <n v="7.3"/>
    <n v="2"/>
    <n v="9.6"/>
    <x v="1"/>
    <n v="2"/>
    <n v="2"/>
    <n v="1"/>
    <n v="1"/>
    <n v="0"/>
    <n v="0"/>
    <n v="1"/>
    <x v="2"/>
    <x v="2"/>
    <x v="1"/>
  </r>
  <r>
    <n v="623"/>
    <n v="31"/>
    <x v="0"/>
    <x v="0"/>
    <n v="10.7"/>
    <n v="2.9"/>
    <x v="1"/>
    <x v="0"/>
    <n v="4"/>
    <n v="5"/>
    <n v="11.6"/>
    <x v="1"/>
    <n v="6"/>
    <n v="0"/>
    <n v="0"/>
    <n v="1"/>
    <n v="0"/>
    <n v="0"/>
    <n v="1"/>
    <x v="1"/>
    <x v="1"/>
    <x v="0"/>
  </r>
  <r>
    <n v="624"/>
    <n v="36"/>
    <x v="0"/>
    <x v="2"/>
    <n v="10.3"/>
    <n v="1.1000000000000001"/>
    <x v="2"/>
    <x v="1"/>
    <n v="3.6"/>
    <n v="9"/>
    <n v="4.8"/>
    <x v="2"/>
    <n v="7"/>
    <n v="0"/>
    <n v="1"/>
    <n v="0"/>
    <n v="0"/>
    <n v="0"/>
    <n v="0"/>
    <x v="1"/>
    <x v="0"/>
    <x v="0"/>
  </r>
  <r>
    <n v="625"/>
    <n v="26"/>
    <x v="1"/>
    <x v="1"/>
    <n v="4.2"/>
    <n v="6.1"/>
    <x v="1"/>
    <x v="0"/>
    <n v="4.4000000000000004"/>
    <n v="9"/>
    <n v="4.5"/>
    <x v="0"/>
    <n v="4"/>
    <n v="2"/>
    <n v="0"/>
    <n v="0"/>
    <n v="1"/>
    <n v="1"/>
    <n v="0"/>
    <x v="1"/>
    <x v="0"/>
    <x v="1"/>
  </r>
  <r>
    <n v="626"/>
    <n v="52"/>
    <x v="1"/>
    <x v="0"/>
    <n v="6"/>
    <n v="1.2"/>
    <x v="2"/>
    <x v="1"/>
    <n v="5.3"/>
    <n v="2"/>
    <n v="7.6"/>
    <x v="1"/>
    <n v="1"/>
    <n v="3"/>
    <n v="0"/>
    <n v="1"/>
    <n v="0"/>
    <n v="0"/>
    <n v="0"/>
    <x v="0"/>
    <x v="2"/>
    <x v="1"/>
  </r>
  <r>
    <n v="627"/>
    <n v="51"/>
    <x v="0"/>
    <x v="1"/>
    <n v="6.1"/>
    <n v="5.2"/>
    <x v="2"/>
    <x v="1"/>
    <n v="5.9"/>
    <n v="2"/>
    <n v="10.1"/>
    <x v="2"/>
    <n v="6"/>
    <n v="0"/>
    <n v="0"/>
    <n v="1"/>
    <n v="0"/>
    <n v="1"/>
    <n v="1"/>
    <x v="0"/>
    <x v="2"/>
    <x v="1"/>
  </r>
  <r>
    <n v="628"/>
    <n v="50"/>
    <x v="0"/>
    <x v="0"/>
    <n v="11.8"/>
    <n v="4.8"/>
    <x v="2"/>
    <x v="1"/>
    <n v="3.3"/>
    <n v="3"/>
    <n v="9.5"/>
    <x v="1"/>
    <n v="7"/>
    <n v="1"/>
    <n v="1"/>
    <n v="0"/>
    <n v="0"/>
    <n v="1"/>
    <n v="1"/>
    <x v="1"/>
    <x v="2"/>
    <x v="0"/>
  </r>
  <r>
    <n v="629"/>
    <n v="34"/>
    <x v="0"/>
    <x v="0"/>
    <n v="3.8"/>
    <n v="7.8"/>
    <x v="1"/>
    <x v="0"/>
    <n v="8.8000000000000007"/>
    <n v="7"/>
    <n v="7.6"/>
    <x v="0"/>
    <n v="4"/>
    <n v="3"/>
    <n v="0"/>
    <n v="0"/>
    <n v="1"/>
    <n v="0"/>
    <n v="0"/>
    <x v="2"/>
    <x v="1"/>
    <x v="2"/>
  </r>
  <r>
    <n v="630"/>
    <n v="35"/>
    <x v="1"/>
    <x v="0"/>
    <n v="10"/>
    <n v="4.4000000000000004"/>
    <x v="2"/>
    <x v="1"/>
    <n v="7.3"/>
    <n v="3"/>
    <n v="8.3000000000000007"/>
    <x v="0"/>
    <n v="6"/>
    <n v="4"/>
    <n v="1"/>
    <n v="1"/>
    <n v="0"/>
    <n v="1"/>
    <n v="1"/>
    <x v="2"/>
    <x v="2"/>
    <x v="0"/>
  </r>
  <r>
    <n v="631"/>
    <n v="33"/>
    <x v="0"/>
    <x v="0"/>
    <n v="5.3"/>
    <n v="1.4"/>
    <x v="1"/>
    <x v="0"/>
    <n v="4.9000000000000004"/>
    <n v="1"/>
    <n v="4.4000000000000004"/>
    <x v="2"/>
    <n v="9"/>
    <n v="2"/>
    <n v="1"/>
    <n v="1"/>
    <n v="0"/>
    <n v="0"/>
    <n v="1"/>
    <x v="1"/>
    <x v="2"/>
    <x v="1"/>
  </r>
  <r>
    <n v="632"/>
    <n v="56"/>
    <x v="1"/>
    <x v="1"/>
    <n v="9.3000000000000007"/>
    <n v="4.9000000000000004"/>
    <x v="2"/>
    <x v="1"/>
    <n v="4.9000000000000004"/>
    <n v="6"/>
    <n v="6.3"/>
    <x v="0"/>
    <n v="4"/>
    <n v="3"/>
    <n v="1"/>
    <n v="1"/>
    <n v="0"/>
    <n v="0"/>
    <n v="1"/>
    <x v="1"/>
    <x v="1"/>
    <x v="0"/>
  </r>
  <r>
    <n v="633"/>
    <n v="29"/>
    <x v="0"/>
    <x v="1"/>
    <n v="6.2"/>
    <n v="6.9"/>
    <x v="2"/>
    <x v="1"/>
    <n v="5.7"/>
    <n v="3"/>
    <n v="4.5999999999999996"/>
    <x v="2"/>
    <n v="10"/>
    <n v="4"/>
    <n v="0"/>
    <n v="0"/>
    <n v="0"/>
    <n v="1"/>
    <n v="1"/>
    <x v="0"/>
    <x v="2"/>
    <x v="1"/>
  </r>
  <r>
    <n v="634"/>
    <n v="30"/>
    <x v="0"/>
    <x v="0"/>
    <n v="7.8"/>
    <n v="8"/>
    <x v="2"/>
    <x v="1"/>
    <n v="6.8"/>
    <n v="1"/>
    <n v="10.8"/>
    <x v="2"/>
    <n v="4"/>
    <n v="1"/>
    <n v="1"/>
    <n v="1"/>
    <n v="1"/>
    <n v="0"/>
    <n v="1"/>
    <x v="0"/>
    <x v="2"/>
    <x v="1"/>
  </r>
  <r>
    <n v="635"/>
    <n v="46"/>
    <x v="0"/>
    <x v="0"/>
    <n v="10.3"/>
    <n v="4"/>
    <x v="1"/>
    <x v="0"/>
    <n v="3.9"/>
    <n v="4"/>
    <n v="3.1"/>
    <x v="2"/>
    <n v="10"/>
    <n v="2"/>
    <n v="1"/>
    <n v="1"/>
    <n v="0"/>
    <n v="1"/>
    <n v="1"/>
    <x v="1"/>
    <x v="1"/>
    <x v="0"/>
  </r>
  <r>
    <n v="636"/>
    <n v="16"/>
    <x v="0"/>
    <x v="1"/>
    <n v="10"/>
    <n v="3.2"/>
    <x v="1"/>
    <x v="0"/>
    <n v="4.0999999999999996"/>
    <n v="1"/>
    <n v="8.8000000000000007"/>
    <x v="2"/>
    <n v="5"/>
    <n v="0"/>
    <n v="0"/>
    <n v="1"/>
    <n v="0"/>
    <n v="0"/>
    <n v="1"/>
    <x v="1"/>
    <x v="2"/>
    <x v="0"/>
  </r>
  <r>
    <n v="637"/>
    <n v="18"/>
    <x v="0"/>
    <x v="2"/>
    <n v="10.7"/>
    <n v="7.3"/>
    <x v="2"/>
    <x v="1"/>
    <n v="8.1999999999999993"/>
    <n v="1"/>
    <n v="4.5999999999999996"/>
    <x v="0"/>
    <n v="3"/>
    <n v="0"/>
    <n v="1"/>
    <n v="1"/>
    <n v="0"/>
    <n v="0"/>
    <n v="1"/>
    <x v="2"/>
    <x v="2"/>
    <x v="0"/>
  </r>
  <r>
    <n v="638"/>
    <n v="31"/>
    <x v="0"/>
    <x v="2"/>
    <n v="2.6"/>
    <n v="2.2999999999999998"/>
    <x v="1"/>
    <x v="0"/>
    <n v="4.5"/>
    <n v="2"/>
    <n v="6.8"/>
    <x v="0"/>
    <n v="10"/>
    <n v="4"/>
    <n v="0"/>
    <n v="1"/>
    <n v="0"/>
    <n v="0"/>
    <n v="0"/>
    <x v="1"/>
    <x v="2"/>
    <x v="2"/>
  </r>
  <r>
    <n v="639"/>
    <n v="38"/>
    <x v="1"/>
    <x v="1"/>
    <n v="8.9"/>
    <n v="5.3"/>
    <x v="1"/>
    <x v="0"/>
    <n v="5.3"/>
    <n v="10"/>
    <n v="5"/>
    <x v="0"/>
    <n v="2"/>
    <n v="3"/>
    <n v="0"/>
    <n v="0"/>
    <n v="0"/>
    <n v="1"/>
    <n v="1"/>
    <x v="0"/>
    <x v="0"/>
    <x v="0"/>
  </r>
  <r>
    <n v="640"/>
    <n v="26"/>
    <x v="0"/>
    <x v="0"/>
    <n v="3.4"/>
    <n v="3.8"/>
    <x v="1"/>
    <x v="0"/>
    <n v="8.1999999999999993"/>
    <n v="8"/>
    <n v="5.2"/>
    <x v="0"/>
    <n v="9"/>
    <n v="1"/>
    <n v="1"/>
    <n v="1"/>
    <n v="1"/>
    <n v="0"/>
    <n v="0"/>
    <x v="2"/>
    <x v="0"/>
    <x v="2"/>
  </r>
  <r>
    <n v="641"/>
    <n v="27"/>
    <x v="1"/>
    <x v="0"/>
    <n v="6.2"/>
    <n v="1.3"/>
    <x v="2"/>
    <x v="1"/>
    <n v="7"/>
    <n v="2"/>
    <n v="4.5999999999999996"/>
    <x v="2"/>
    <n v="1"/>
    <n v="4"/>
    <n v="1"/>
    <n v="1"/>
    <n v="0"/>
    <n v="1"/>
    <n v="1"/>
    <x v="2"/>
    <x v="2"/>
    <x v="1"/>
  </r>
  <r>
    <n v="642"/>
    <n v="25"/>
    <x v="0"/>
    <x v="2"/>
    <n v="7.5"/>
    <n v="3.4"/>
    <x v="1"/>
    <x v="0"/>
    <n v="5.0999999999999996"/>
    <n v="2"/>
    <n v="9.5"/>
    <x v="2"/>
    <n v="5"/>
    <n v="1"/>
    <n v="1"/>
    <n v="0"/>
    <n v="0"/>
    <n v="0"/>
    <n v="0"/>
    <x v="0"/>
    <x v="2"/>
    <x v="1"/>
  </r>
  <r>
    <n v="643"/>
    <n v="47"/>
    <x v="0"/>
    <x v="2"/>
    <n v="6"/>
    <n v="2.9"/>
    <x v="2"/>
    <x v="1"/>
    <n v="7.1"/>
    <n v="10"/>
    <n v="5.7"/>
    <x v="0"/>
    <n v="5"/>
    <n v="1"/>
    <n v="1"/>
    <n v="0"/>
    <n v="1"/>
    <n v="1"/>
    <n v="1"/>
    <x v="2"/>
    <x v="0"/>
    <x v="1"/>
  </r>
  <r>
    <n v="644"/>
    <n v="31"/>
    <x v="1"/>
    <x v="1"/>
    <n v="7.2"/>
    <n v="5.8"/>
    <x v="2"/>
    <x v="1"/>
    <n v="3.1"/>
    <n v="10"/>
    <n v="9.3000000000000007"/>
    <x v="1"/>
    <n v="8"/>
    <n v="1"/>
    <n v="0"/>
    <n v="1"/>
    <n v="1"/>
    <n v="1"/>
    <n v="1"/>
    <x v="1"/>
    <x v="0"/>
    <x v="1"/>
  </r>
  <r>
    <n v="645"/>
    <n v="23"/>
    <x v="0"/>
    <x v="2"/>
    <n v="12"/>
    <n v="7.6"/>
    <x v="2"/>
    <x v="1"/>
    <n v="7.4"/>
    <n v="8"/>
    <n v="6.6"/>
    <x v="1"/>
    <n v="6"/>
    <n v="2"/>
    <n v="1"/>
    <n v="1"/>
    <n v="0"/>
    <n v="0"/>
    <n v="1"/>
    <x v="2"/>
    <x v="0"/>
    <x v="0"/>
  </r>
  <r>
    <n v="646"/>
    <n v="53"/>
    <x v="1"/>
    <x v="1"/>
    <n v="3.4"/>
    <n v="2.9"/>
    <x v="1"/>
    <x v="0"/>
    <n v="5.9"/>
    <n v="6"/>
    <n v="7.5"/>
    <x v="1"/>
    <n v="6"/>
    <n v="4"/>
    <n v="1"/>
    <n v="1"/>
    <n v="0"/>
    <n v="1"/>
    <n v="1"/>
    <x v="0"/>
    <x v="1"/>
    <x v="2"/>
  </r>
  <r>
    <n v="647"/>
    <n v="27"/>
    <x v="1"/>
    <x v="2"/>
    <n v="8.8000000000000007"/>
    <n v="6.7"/>
    <x v="2"/>
    <x v="1"/>
    <n v="7.9"/>
    <n v="4"/>
    <n v="7.4"/>
    <x v="0"/>
    <n v="6"/>
    <n v="2"/>
    <n v="0"/>
    <n v="0"/>
    <n v="0"/>
    <n v="0"/>
    <n v="0"/>
    <x v="2"/>
    <x v="1"/>
    <x v="0"/>
  </r>
  <r>
    <n v="648"/>
    <n v="39"/>
    <x v="0"/>
    <x v="2"/>
    <n v="6"/>
    <n v="1.4"/>
    <x v="1"/>
    <x v="0"/>
    <n v="8.6999999999999993"/>
    <n v="3"/>
    <n v="11.8"/>
    <x v="2"/>
    <n v="4"/>
    <n v="3"/>
    <n v="1"/>
    <n v="0"/>
    <n v="0"/>
    <n v="0"/>
    <n v="1"/>
    <x v="2"/>
    <x v="2"/>
    <x v="1"/>
  </r>
  <r>
    <n v="649"/>
    <n v="43"/>
    <x v="1"/>
    <x v="2"/>
    <n v="3.3"/>
    <n v="4.8"/>
    <x v="1"/>
    <x v="0"/>
    <n v="8.6"/>
    <n v="1"/>
    <n v="5.7"/>
    <x v="2"/>
    <n v="1"/>
    <n v="3"/>
    <n v="1"/>
    <n v="0"/>
    <n v="0"/>
    <n v="1"/>
    <n v="0"/>
    <x v="2"/>
    <x v="2"/>
    <x v="2"/>
  </r>
  <r>
    <n v="650"/>
    <n v="23"/>
    <x v="1"/>
    <x v="0"/>
    <n v="3.6"/>
    <n v="1.5"/>
    <x v="2"/>
    <x v="1"/>
    <n v="8.5"/>
    <n v="3"/>
    <n v="4.0999999999999996"/>
    <x v="1"/>
    <n v="3"/>
    <n v="0"/>
    <n v="1"/>
    <n v="0"/>
    <n v="0"/>
    <n v="1"/>
    <n v="0"/>
    <x v="2"/>
    <x v="2"/>
    <x v="2"/>
  </r>
  <r>
    <n v="651"/>
    <n v="43"/>
    <x v="0"/>
    <x v="0"/>
    <n v="11.5"/>
    <n v="7.5"/>
    <x v="2"/>
    <x v="1"/>
    <n v="6.1"/>
    <n v="9"/>
    <n v="11.1"/>
    <x v="1"/>
    <n v="10"/>
    <n v="0"/>
    <n v="1"/>
    <n v="1"/>
    <n v="1"/>
    <n v="1"/>
    <n v="1"/>
    <x v="0"/>
    <x v="0"/>
    <x v="0"/>
  </r>
  <r>
    <n v="652"/>
    <n v="51"/>
    <x v="1"/>
    <x v="0"/>
    <n v="10.8"/>
    <n v="6.4"/>
    <x v="2"/>
    <x v="1"/>
    <n v="5.2"/>
    <n v="5"/>
    <n v="3.7"/>
    <x v="2"/>
    <n v="6"/>
    <n v="0"/>
    <n v="1"/>
    <n v="0"/>
    <n v="0"/>
    <n v="1"/>
    <n v="0"/>
    <x v="0"/>
    <x v="1"/>
    <x v="0"/>
  </r>
  <r>
    <n v="653"/>
    <n v="41"/>
    <x v="0"/>
    <x v="2"/>
    <n v="11.1"/>
    <n v="5.6"/>
    <x v="1"/>
    <x v="0"/>
    <n v="5.8"/>
    <n v="6"/>
    <n v="10.3"/>
    <x v="1"/>
    <n v="5"/>
    <n v="3"/>
    <n v="0"/>
    <n v="1"/>
    <n v="1"/>
    <n v="1"/>
    <n v="1"/>
    <x v="0"/>
    <x v="1"/>
    <x v="0"/>
  </r>
  <r>
    <n v="654"/>
    <n v="23"/>
    <x v="0"/>
    <x v="1"/>
    <n v="11.9"/>
    <n v="6.8"/>
    <x v="1"/>
    <x v="0"/>
    <n v="7.1"/>
    <n v="5"/>
    <n v="3.5"/>
    <x v="1"/>
    <n v="10"/>
    <n v="1"/>
    <n v="1"/>
    <n v="0"/>
    <n v="1"/>
    <n v="1"/>
    <n v="0"/>
    <x v="2"/>
    <x v="1"/>
    <x v="0"/>
  </r>
  <r>
    <n v="655"/>
    <n v="43"/>
    <x v="0"/>
    <x v="1"/>
    <n v="4.0999999999999996"/>
    <n v="5.5"/>
    <x v="2"/>
    <x v="1"/>
    <n v="8.3000000000000007"/>
    <n v="1"/>
    <n v="8.6"/>
    <x v="2"/>
    <n v="1"/>
    <n v="1"/>
    <n v="0"/>
    <n v="1"/>
    <n v="0"/>
    <n v="0"/>
    <n v="0"/>
    <x v="2"/>
    <x v="2"/>
    <x v="1"/>
  </r>
  <r>
    <n v="656"/>
    <n v="43"/>
    <x v="0"/>
    <x v="1"/>
    <n v="5.6"/>
    <n v="7.8"/>
    <x v="2"/>
    <x v="1"/>
    <n v="4.2"/>
    <n v="10"/>
    <n v="3.5"/>
    <x v="1"/>
    <n v="5"/>
    <n v="4"/>
    <n v="0"/>
    <n v="1"/>
    <n v="1"/>
    <n v="1"/>
    <n v="0"/>
    <x v="1"/>
    <x v="0"/>
    <x v="1"/>
  </r>
  <r>
    <n v="657"/>
    <n v="52"/>
    <x v="1"/>
    <x v="1"/>
    <n v="8.6999999999999993"/>
    <n v="6"/>
    <x v="1"/>
    <x v="0"/>
    <n v="8.5"/>
    <n v="1"/>
    <n v="11.2"/>
    <x v="1"/>
    <n v="2"/>
    <n v="3"/>
    <n v="0"/>
    <n v="1"/>
    <n v="0"/>
    <n v="0"/>
    <n v="1"/>
    <x v="2"/>
    <x v="2"/>
    <x v="0"/>
  </r>
  <r>
    <n v="658"/>
    <n v="56"/>
    <x v="0"/>
    <x v="0"/>
    <n v="6.8"/>
    <n v="7.5"/>
    <x v="1"/>
    <x v="0"/>
    <n v="7.9"/>
    <n v="4"/>
    <n v="7.7"/>
    <x v="0"/>
    <n v="1"/>
    <n v="0"/>
    <n v="0"/>
    <n v="0"/>
    <n v="1"/>
    <n v="0"/>
    <n v="0"/>
    <x v="2"/>
    <x v="1"/>
    <x v="1"/>
  </r>
  <r>
    <n v="659"/>
    <n v="51"/>
    <x v="0"/>
    <x v="0"/>
    <n v="6.2"/>
    <n v="4.5999999999999996"/>
    <x v="2"/>
    <x v="1"/>
    <n v="8.9"/>
    <n v="3"/>
    <n v="5.3"/>
    <x v="1"/>
    <n v="4"/>
    <n v="3"/>
    <n v="1"/>
    <n v="1"/>
    <n v="1"/>
    <n v="0"/>
    <n v="0"/>
    <x v="2"/>
    <x v="2"/>
    <x v="1"/>
  </r>
  <r>
    <n v="660"/>
    <n v="42"/>
    <x v="1"/>
    <x v="2"/>
    <n v="5.6"/>
    <n v="1.8"/>
    <x v="1"/>
    <x v="0"/>
    <n v="8.3000000000000007"/>
    <n v="8"/>
    <n v="3.4"/>
    <x v="0"/>
    <n v="6"/>
    <n v="1"/>
    <n v="1"/>
    <n v="1"/>
    <n v="1"/>
    <n v="1"/>
    <n v="0"/>
    <x v="2"/>
    <x v="0"/>
    <x v="1"/>
  </r>
  <r>
    <n v="661"/>
    <n v="32"/>
    <x v="0"/>
    <x v="2"/>
    <n v="7.9"/>
    <n v="4.7"/>
    <x v="1"/>
    <x v="0"/>
    <n v="4.7"/>
    <n v="7"/>
    <n v="5.7"/>
    <x v="2"/>
    <n v="7"/>
    <n v="1"/>
    <n v="0"/>
    <n v="1"/>
    <n v="0"/>
    <n v="1"/>
    <n v="1"/>
    <x v="1"/>
    <x v="1"/>
    <x v="1"/>
  </r>
  <r>
    <n v="662"/>
    <n v="24"/>
    <x v="0"/>
    <x v="1"/>
    <n v="7.8"/>
    <n v="1.9"/>
    <x v="1"/>
    <x v="0"/>
    <n v="3.6"/>
    <n v="7"/>
    <n v="9.1"/>
    <x v="0"/>
    <n v="9"/>
    <n v="2"/>
    <n v="1"/>
    <n v="0"/>
    <n v="1"/>
    <n v="1"/>
    <n v="0"/>
    <x v="1"/>
    <x v="1"/>
    <x v="1"/>
  </r>
  <r>
    <n v="663"/>
    <n v="48"/>
    <x v="1"/>
    <x v="0"/>
    <n v="3.6"/>
    <n v="5.0999999999999996"/>
    <x v="1"/>
    <x v="0"/>
    <n v="3.7"/>
    <n v="8"/>
    <n v="5.8"/>
    <x v="2"/>
    <n v="5"/>
    <n v="2"/>
    <n v="1"/>
    <n v="1"/>
    <n v="1"/>
    <n v="0"/>
    <n v="0"/>
    <x v="1"/>
    <x v="0"/>
    <x v="2"/>
  </r>
  <r>
    <n v="664"/>
    <n v="35"/>
    <x v="1"/>
    <x v="1"/>
    <n v="6.7"/>
    <n v="4.4000000000000004"/>
    <x v="1"/>
    <x v="0"/>
    <n v="4.7"/>
    <n v="10"/>
    <n v="4.5"/>
    <x v="0"/>
    <n v="8"/>
    <n v="4"/>
    <n v="0"/>
    <n v="0"/>
    <n v="0"/>
    <n v="0"/>
    <n v="0"/>
    <x v="1"/>
    <x v="0"/>
    <x v="1"/>
  </r>
  <r>
    <n v="665"/>
    <n v="28"/>
    <x v="1"/>
    <x v="2"/>
    <n v="7.5"/>
    <n v="5.4"/>
    <x v="1"/>
    <x v="0"/>
    <n v="6.7"/>
    <n v="7"/>
    <n v="7.8"/>
    <x v="0"/>
    <n v="8"/>
    <n v="3"/>
    <n v="1"/>
    <n v="1"/>
    <n v="1"/>
    <n v="1"/>
    <n v="1"/>
    <x v="0"/>
    <x v="1"/>
    <x v="1"/>
  </r>
  <r>
    <n v="666"/>
    <n v="43"/>
    <x v="1"/>
    <x v="2"/>
    <n v="7.7"/>
    <n v="1.1000000000000001"/>
    <x v="2"/>
    <x v="1"/>
    <n v="7.8"/>
    <n v="10"/>
    <n v="6.2"/>
    <x v="0"/>
    <n v="9"/>
    <n v="2"/>
    <n v="0"/>
    <n v="0"/>
    <n v="1"/>
    <n v="1"/>
    <n v="0"/>
    <x v="2"/>
    <x v="0"/>
    <x v="1"/>
  </r>
  <r>
    <n v="667"/>
    <n v="44"/>
    <x v="1"/>
    <x v="1"/>
    <n v="4.0999999999999996"/>
    <n v="2.4"/>
    <x v="1"/>
    <x v="0"/>
    <n v="8.4"/>
    <n v="2"/>
    <n v="3.7"/>
    <x v="1"/>
    <n v="3"/>
    <n v="2"/>
    <n v="0"/>
    <n v="1"/>
    <n v="0"/>
    <n v="0"/>
    <n v="1"/>
    <x v="2"/>
    <x v="2"/>
    <x v="1"/>
  </r>
  <r>
    <n v="668"/>
    <n v="28"/>
    <x v="1"/>
    <x v="2"/>
    <n v="9.4"/>
    <n v="4.4000000000000004"/>
    <x v="2"/>
    <x v="1"/>
    <n v="6.7"/>
    <n v="4"/>
    <n v="3.5"/>
    <x v="1"/>
    <n v="3"/>
    <n v="3"/>
    <n v="1"/>
    <n v="1"/>
    <n v="1"/>
    <n v="0"/>
    <n v="1"/>
    <x v="0"/>
    <x v="1"/>
    <x v="0"/>
  </r>
  <r>
    <n v="669"/>
    <n v="50"/>
    <x v="1"/>
    <x v="1"/>
    <n v="2.2999999999999998"/>
    <n v="7.7"/>
    <x v="2"/>
    <x v="1"/>
    <n v="3"/>
    <n v="6"/>
    <n v="9.1"/>
    <x v="1"/>
    <n v="9"/>
    <n v="1"/>
    <n v="1"/>
    <n v="1"/>
    <n v="1"/>
    <n v="1"/>
    <n v="0"/>
    <x v="1"/>
    <x v="1"/>
    <x v="2"/>
  </r>
  <r>
    <n v="670"/>
    <n v="21"/>
    <x v="0"/>
    <x v="0"/>
    <n v="5.5"/>
    <n v="3.7"/>
    <x v="1"/>
    <x v="0"/>
    <n v="4.0999999999999996"/>
    <n v="3"/>
    <n v="11.7"/>
    <x v="1"/>
    <n v="7"/>
    <n v="4"/>
    <n v="1"/>
    <n v="1"/>
    <n v="0"/>
    <n v="1"/>
    <n v="0"/>
    <x v="1"/>
    <x v="2"/>
    <x v="1"/>
  </r>
  <r>
    <n v="671"/>
    <n v="33"/>
    <x v="1"/>
    <x v="1"/>
    <n v="9.8000000000000007"/>
    <n v="4"/>
    <x v="2"/>
    <x v="1"/>
    <n v="3.6"/>
    <n v="3"/>
    <n v="4.3"/>
    <x v="1"/>
    <n v="4"/>
    <n v="4"/>
    <n v="0"/>
    <n v="0"/>
    <n v="0"/>
    <n v="0"/>
    <n v="0"/>
    <x v="1"/>
    <x v="2"/>
    <x v="0"/>
  </r>
  <r>
    <n v="672"/>
    <n v="20"/>
    <x v="1"/>
    <x v="0"/>
    <n v="7.6"/>
    <n v="6"/>
    <x v="2"/>
    <x v="1"/>
    <n v="5.2"/>
    <n v="6"/>
    <n v="9.6999999999999993"/>
    <x v="0"/>
    <n v="1"/>
    <n v="4"/>
    <n v="0"/>
    <n v="1"/>
    <n v="0"/>
    <n v="1"/>
    <n v="1"/>
    <x v="0"/>
    <x v="1"/>
    <x v="1"/>
  </r>
  <r>
    <n v="673"/>
    <n v="40"/>
    <x v="1"/>
    <x v="0"/>
    <n v="4.5999999999999996"/>
    <n v="5.2"/>
    <x v="2"/>
    <x v="1"/>
    <n v="6"/>
    <n v="1"/>
    <n v="2.9"/>
    <x v="1"/>
    <n v="7"/>
    <n v="2"/>
    <n v="1"/>
    <n v="1"/>
    <n v="0"/>
    <n v="0"/>
    <n v="0"/>
    <x v="0"/>
    <x v="2"/>
    <x v="1"/>
  </r>
  <r>
    <n v="674"/>
    <n v="17"/>
    <x v="0"/>
    <x v="2"/>
    <n v="8.9"/>
    <n v="3.1"/>
    <x v="1"/>
    <x v="0"/>
    <n v="3.3"/>
    <n v="1"/>
    <n v="5.8"/>
    <x v="2"/>
    <n v="10"/>
    <n v="1"/>
    <n v="0"/>
    <n v="1"/>
    <n v="1"/>
    <n v="0"/>
    <n v="0"/>
    <x v="1"/>
    <x v="2"/>
    <x v="0"/>
  </r>
  <r>
    <n v="675"/>
    <n v="25"/>
    <x v="0"/>
    <x v="2"/>
    <n v="7.7"/>
    <n v="3.9"/>
    <x v="2"/>
    <x v="1"/>
    <n v="5.0999999999999996"/>
    <n v="5"/>
    <n v="7.1"/>
    <x v="0"/>
    <n v="6"/>
    <n v="4"/>
    <n v="1"/>
    <n v="0"/>
    <n v="0"/>
    <n v="0"/>
    <n v="1"/>
    <x v="0"/>
    <x v="1"/>
    <x v="1"/>
  </r>
  <r>
    <n v="676"/>
    <n v="45"/>
    <x v="1"/>
    <x v="2"/>
    <n v="10"/>
    <n v="2.5"/>
    <x v="1"/>
    <x v="0"/>
    <n v="4.0999999999999996"/>
    <n v="1"/>
    <n v="4.7"/>
    <x v="0"/>
    <n v="3"/>
    <n v="3"/>
    <n v="1"/>
    <n v="0"/>
    <n v="0"/>
    <n v="1"/>
    <n v="0"/>
    <x v="1"/>
    <x v="2"/>
    <x v="0"/>
  </r>
  <r>
    <n v="677"/>
    <n v="20"/>
    <x v="1"/>
    <x v="1"/>
    <n v="9.4"/>
    <n v="7.8"/>
    <x v="2"/>
    <x v="1"/>
    <n v="6.9"/>
    <n v="10"/>
    <n v="7.3"/>
    <x v="2"/>
    <n v="5"/>
    <n v="4"/>
    <n v="1"/>
    <n v="0"/>
    <n v="0"/>
    <n v="1"/>
    <n v="1"/>
    <x v="0"/>
    <x v="0"/>
    <x v="0"/>
  </r>
  <r>
    <n v="678"/>
    <n v="48"/>
    <x v="1"/>
    <x v="1"/>
    <n v="8.1"/>
    <n v="1.9"/>
    <x v="2"/>
    <x v="1"/>
    <n v="5.8"/>
    <n v="8"/>
    <n v="10.8"/>
    <x v="1"/>
    <n v="3"/>
    <n v="0"/>
    <n v="1"/>
    <n v="1"/>
    <n v="1"/>
    <n v="1"/>
    <n v="1"/>
    <x v="0"/>
    <x v="0"/>
    <x v="0"/>
  </r>
  <r>
    <n v="679"/>
    <n v="16"/>
    <x v="0"/>
    <x v="2"/>
    <n v="6.9"/>
    <n v="3.6"/>
    <x v="2"/>
    <x v="1"/>
    <n v="6"/>
    <n v="2"/>
    <n v="11.4"/>
    <x v="2"/>
    <n v="8"/>
    <n v="1"/>
    <n v="0"/>
    <n v="0"/>
    <n v="0"/>
    <n v="0"/>
    <n v="1"/>
    <x v="0"/>
    <x v="2"/>
    <x v="1"/>
  </r>
  <r>
    <n v="680"/>
    <n v="33"/>
    <x v="0"/>
    <x v="1"/>
    <n v="3.3"/>
    <n v="1.2"/>
    <x v="2"/>
    <x v="1"/>
    <n v="5.6"/>
    <n v="6"/>
    <n v="3"/>
    <x v="0"/>
    <n v="5"/>
    <n v="0"/>
    <n v="1"/>
    <n v="0"/>
    <n v="1"/>
    <n v="0"/>
    <n v="1"/>
    <x v="0"/>
    <x v="1"/>
    <x v="2"/>
  </r>
  <r>
    <n v="681"/>
    <n v="47"/>
    <x v="1"/>
    <x v="2"/>
    <n v="4.5999999999999996"/>
    <n v="2.6"/>
    <x v="1"/>
    <x v="0"/>
    <n v="8.6999999999999993"/>
    <n v="10"/>
    <n v="4.7"/>
    <x v="0"/>
    <n v="10"/>
    <n v="1"/>
    <n v="0"/>
    <n v="0"/>
    <n v="0"/>
    <n v="0"/>
    <n v="0"/>
    <x v="2"/>
    <x v="0"/>
    <x v="1"/>
  </r>
  <r>
    <n v="682"/>
    <n v="26"/>
    <x v="0"/>
    <x v="1"/>
    <n v="6.2"/>
    <n v="6.5"/>
    <x v="2"/>
    <x v="1"/>
    <n v="4.3"/>
    <n v="10"/>
    <n v="11.8"/>
    <x v="0"/>
    <n v="10"/>
    <n v="3"/>
    <n v="0"/>
    <n v="1"/>
    <n v="1"/>
    <n v="1"/>
    <n v="1"/>
    <x v="1"/>
    <x v="0"/>
    <x v="1"/>
  </r>
  <r>
    <n v="683"/>
    <n v="36"/>
    <x v="1"/>
    <x v="0"/>
    <n v="8"/>
    <n v="2.4"/>
    <x v="2"/>
    <x v="1"/>
    <n v="6.1"/>
    <n v="5"/>
    <n v="4.7"/>
    <x v="2"/>
    <n v="6"/>
    <n v="2"/>
    <n v="0"/>
    <n v="0"/>
    <n v="0"/>
    <n v="1"/>
    <n v="1"/>
    <x v="0"/>
    <x v="1"/>
    <x v="1"/>
  </r>
  <r>
    <n v="684"/>
    <n v="41"/>
    <x v="0"/>
    <x v="0"/>
    <n v="7.1"/>
    <n v="1.6"/>
    <x v="1"/>
    <x v="0"/>
    <n v="7.4"/>
    <n v="10"/>
    <n v="8.9"/>
    <x v="1"/>
    <n v="2"/>
    <n v="2"/>
    <n v="0"/>
    <n v="1"/>
    <n v="1"/>
    <n v="1"/>
    <n v="1"/>
    <x v="2"/>
    <x v="0"/>
    <x v="1"/>
  </r>
  <r>
    <n v="685"/>
    <n v="40"/>
    <x v="0"/>
    <x v="2"/>
    <n v="4.9000000000000004"/>
    <n v="4.3"/>
    <x v="1"/>
    <x v="0"/>
    <n v="6.3"/>
    <n v="4"/>
    <n v="4.5"/>
    <x v="0"/>
    <n v="8"/>
    <n v="1"/>
    <n v="0"/>
    <n v="0"/>
    <n v="1"/>
    <n v="1"/>
    <n v="0"/>
    <x v="0"/>
    <x v="1"/>
    <x v="1"/>
  </r>
  <r>
    <n v="686"/>
    <n v="37"/>
    <x v="1"/>
    <x v="1"/>
    <n v="2.1"/>
    <n v="1.1000000000000001"/>
    <x v="1"/>
    <x v="0"/>
    <n v="8.6"/>
    <n v="1"/>
    <n v="5.6"/>
    <x v="1"/>
    <n v="9"/>
    <n v="4"/>
    <n v="0"/>
    <n v="0"/>
    <n v="0"/>
    <n v="0"/>
    <n v="1"/>
    <x v="2"/>
    <x v="2"/>
    <x v="2"/>
  </r>
  <r>
    <n v="687"/>
    <n v="42"/>
    <x v="1"/>
    <x v="1"/>
    <n v="7"/>
    <n v="1.6"/>
    <x v="2"/>
    <x v="1"/>
    <n v="5.3"/>
    <n v="3"/>
    <n v="3.9"/>
    <x v="0"/>
    <n v="3"/>
    <n v="0"/>
    <n v="1"/>
    <n v="1"/>
    <n v="0"/>
    <n v="1"/>
    <n v="0"/>
    <x v="0"/>
    <x v="2"/>
    <x v="1"/>
  </r>
  <r>
    <n v="688"/>
    <n v="28"/>
    <x v="1"/>
    <x v="0"/>
    <n v="4.9000000000000004"/>
    <n v="6.7"/>
    <x v="1"/>
    <x v="0"/>
    <n v="5.8"/>
    <n v="4"/>
    <n v="10.6"/>
    <x v="1"/>
    <n v="6"/>
    <n v="3"/>
    <n v="0"/>
    <n v="1"/>
    <n v="0"/>
    <n v="0"/>
    <n v="1"/>
    <x v="0"/>
    <x v="1"/>
    <x v="1"/>
  </r>
  <r>
    <n v="689"/>
    <n v="48"/>
    <x v="1"/>
    <x v="0"/>
    <n v="9.3000000000000007"/>
    <n v="6.4"/>
    <x v="1"/>
    <x v="0"/>
    <n v="3.5"/>
    <n v="2"/>
    <n v="10.8"/>
    <x v="2"/>
    <n v="6"/>
    <n v="4"/>
    <n v="1"/>
    <n v="1"/>
    <n v="1"/>
    <n v="0"/>
    <n v="1"/>
    <x v="1"/>
    <x v="2"/>
    <x v="0"/>
  </r>
  <r>
    <n v="690"/>
    <n v="49"/>
    <x v="0"/>
    <x v="2"/>
    <n v="2.2000000000000002"/>
    <n v="7.4"/>
    <x v="1"/>
    <x v="0"/>
    <n v="6.7"/>
    <n v="2"/>
    <n v="5"/>
    <x v="0"/>
    <n v="2"/>
    <n v="2"/>
    <n v="0"/>
    <n v="0"/>
    <n v="0"/>
    <n v="0"/>
    <n v="1"/>
    <x v="0"/>
    <x v="2"/>
    <x v="2"/>
  </r>
  <r>
    <n v="691"/>
    <n v="56"/>
    <x v="0"/>
    <x v="0"/>
    <n v="7.8"/>
    <n v="7"/>
    <x v="1"/>
    <x v="0"/>
    <n v="4.7"/>
    <n v="2"/>
    <n v="10.199999999999999"/>
    <x v="0"/>
    <n v="10"/>
    <n v="4"/>
    <n v="1"/>
    <n v="1"/>
    <n v="0"/>
    <n v="0"/>
    <n v="0"/>
    <x v="1"/>
    <x v="2"/>
    <x v="1"/>
  </r>
  <r>
    <n v="692"/>
    <n v="50"/>
    <x v="0"/>
    <x v="2"/>
    <n v="11.4"/>
    <n v="5.8"/>
    <x v="1"/>
    <x v="0"/>
    <n v="4"/>
    <n v="1"/>
    <n v="5.6"/>
    <x v="0"/>
    <n v="8"/>
    <n v="0"/>
    <n v="1"/>
    <n v="1"/>
    <n v="1"/>
    <n v="1"/>
    <n v="1"/>
    <x v="1"/>
    <x v="2"/>
    <x v="0"/>
  </r>
  <r>
    <n v="693"/>
    <n v="16"/>
    <x v="1"/>
    <x v="0"/>
    <n v="3.7"/>
    <n v="1.4"/>
    <x v="1"/>
    <x v="0"/>
    <n v="6.3"/>
    <n v="10"/>
    <n v="3"/>
    <x v="2"/>
    <n v="5"/>
    <n v="2"/>
    <n v="0"/>
    <n v="0"/>
    <n v="1"/>
    <n v="1"/>
    <n v="1"/>
    <x v="0"/>
    <x v="0"/>
    <x v="2"/>
  </r>
  <r>
    <n v="694"/>
    <n v="36"/>
    <x v="0"/>
    <x v="0"/>
    <n v="6.7"/>
    <n v="6.5"/>
    <x v="2"/>
    <x v="1"/>
    <n v="6.2"/>
    <n v="2"/>
    <n v="9.6"/>
    <x v="2"/>
    <n v="8"/>
    <n v="1"/>
    <n v="1"/>
    <n v="1"/>
    <n v="0"/>
    <n v="0"/>
    <n v="1"/>
    <x v="0"/>
    <x v="2"/>
    <x v="1"/>
  </r>
  <r>
    <n v="695"/>
    <n v="21"/>
    <x v="1"/>
    <x v="1"/>
    <n v="2.9"/>
    <n v="6.9"/>
    <x v="1"/>
    <x v="0"/>
    <n v="3.5"/>
    <n v="6"/>
    <n v="8"/>
    <x v="1"/>
    <n v="8"/>
    <n v="3"/>
    <n v="1"/>
    <n v="1"/>
    <n v="0"/>
    <n v="0"/>
    <n v="0"/>
    <x v="1"/>
    <x v="1"/>
    <x v="2"/>
  </r>
  <r>
    <n v="696"/>
    <n v="43"/>
    <x v="0"/>
    <x v="0"/>
    <n v="8.3000000000000007"/>
    <n v="6.6"/>
    <x v="2"/>
    <x v="1"/>
    <n v="7.2"/>
    <n v="3"/>
    <n v="4.7"/>
    <x v="2"/>
    <n v="3"/>
    <n v="3"/>
    <n v="0"/>
    <n v="0"/>
    <n v="1"/>
    <n v="1"/>
    <n v="0"/>
    <x v="2"/>
    <x v="2"/>
    <x v="0"/>
  </r>
  <r>
    <n v="697"/>
    <n v="32"/>
    <x v="1"/>
    <x v="0"/>
    <n v="7.5"/>
    <n v="4.5999999999999996"/>
    <x v="1"/>
    <x v="0"/>
    <n v="6.7"/>
    <n v="10"/>
    <n v="4.5"/>
    <x v="0"/>
    <n v="5"/>
    <n v="2"/>
    <n v="0"/>
    <n v="0"/>
    <n v="1"/>
    <n v="0"/>
    <n v="1"/>
    <x v="0"/>
    <x v="0"/>
    <x v="1"/>
  </r>
  <r>
    <n v="698"/>
    <n v="20"/>
    <x v="1"/>
    <x v="2"/>
    <n v="6.1"/>
    <n v="2.6"/>
    <x v="1"/>
    <x v="0"/>
    <n v="4.0999999999999996"/>
    <n v="5"/>
    <n v="11.8"/>
    <x v="1"/>
    <n v="7"/>
    <n v="1"/>
    <n v="0"/>
    <n v="0"/>
    <n v="0"/>
    <n v="0"/>
    <n v="1"/>
    <x v="1"/>
    <x v="1"/>
    <x v="1"/>
  </r>
  <r>
    <n v="699"/>
    <n v="46"/>
    <x v="0"/>
    <x v="0"/>
    <n v="7.2"/>
    <n v="6.9"/>
    <x v="1"/>
    <x v="0"/>
    <n v="5.8"/>
    <n v="1"/>
    <n v="10.6"/>
    <x v="2"/>
    <n v="5"/>
    <n v="0"/>
    <n v="0"/>
    <n v="1"/>
    <n v="0"/>
    <n v="0"/>
    <n v="0"/>
    <x v="0"/>
    <x v="2"/>
    <x v="1"/>
  </r>
  <r>
    <n v="700"/>
    <n v="20"/>
    <x v="1"/>
    <x v="2"/>
    <n v="11"/>
    <n v="6.1"/>
    <x v="2"/>
    <x v="1"/>
    <n v="7.3"/>
    <n v="8"/>
    <n v="10.1"/>
    <x v="1"/>
    <n v="6"/>
    <n v="3"/>
    <n v="0"/>
    <n v="0"/>
    <n v="0"/>
    <n v="1"/>
    <n v="1"/>
    <x v="2"/>
    <x v="0"/>
    <x v="0"/>
  </r>
  <r>
    <n v="701"/>
    <n v="53"/>
    <x v="1"/>
    <x v="0"/>
    <n v="4"/>
    <n v="7.9"/>
    <x v="1"/>
    <x v="0"/>
    <n v="6.2"/>
    <n v="4"/>
    <n v="3.3"/>
    <x v="1"/>
    <n v="2"/>
    <n v="2"/>
    <n v="0"/>
    <n v="1"/>
    <n v="1"/>
    <n v="1"/>
    <n v="1"/>
    <x v="0"/>
    <x v="1"/>
    <x v="2"/>
  </r>
  <r>
    <n v="702"/>
    <n v="18"/>
    <x v="0"/>
    <x v="0"/>
    <n v="2.2000000000000002"/>
    <n v="2.1"/>
    <x v="1"/>
    <x v="0"/>
    <n v="5.4"/>
    <n v="9"/>
    <n v="9.6"/>
    <x v="1"/>
    <n v="8"/>
    <n v="3"/>
    <n v="0"/>
    <n v="0"/>
    <n v="1"/>
    <n v="1"/>
    <n v="1"/>
    <x v="0"/>
    <x v="0"/>
    <x v="2"/>
  </r>
  <r>
    <n v="703"/>
    <n v="38"/>
    <x v="1"/>
    <x v="2"/>
    <n v="10.6"/>
    <n v="2.6"/>
    <x v="1"/>
    <x v="0"/>
    <n v="4.9000000000000004"/>
    <n v="4"/>
    <n v="4.0999999999999996"/>
    <x v="0"/>
    <n v="5"/>
    <n v="1"/>
    <n v="0"/>
    <n v="0"/>
    <n v="1"/>
    <n v="1"/>
    <n v="0"/>
    <x v="1"/>
    <x v="1"/>
    <x v="0"/>
  </r>
  <r>
    <n v="704"/>
    <n v="52"/>
    <x v="1"/>
    <x v="1"/>
    <n v="7.8"/>
    <n v="2.5"/>
    <x v="1"/>
    <x v="0"/>
    <n v="6.7"/>
    <n v="2"/>
    <n v="11.8"/>
    <x v="0"/>
    <n v="6"/>
    <n v="0"/>
    <n v="1"/>
    <n v="0"/>
    <n v="0"/>
    <n v="1"/>
    <n v="0"/>
    <x v="0"/>
    <x v="2"/>
    <x v="1"/>
  </r>
  <r>
    <n v="705"/>
    <n v="52"/>
    <x v="1"/>
    <x v="2"/>
    <n v="10.9"/>
    <n v="6.5"/>
    <x v="2"/>
    <x v="1"/>
    <n v="8.6"/>
    <n v="3"/>
    <n v="2.5"/>
    <x v="2"/>
    <n v="1"/>
    <n v="1"/>
    <n v="0"/>
    <n v="1"/>
    <n v="1"/>
    <n v="1"/>
    <n v="1"/>
    <x v="2"/>
    <x v="2"/>
    <x v="0"/>
  </r>
  <r>
    <n v="706"/>
    <n v="25"/>
    <x v="0"/>
    <x v="2"/>
    <n v="8"/>
    <n v="2.2999999999999998"/>
    <x v="2"/>
    <x v="1"/>
    <n v="7"/>
    <n v="5"/>
    <n v="5.5"/>
    <x v="0"/>
    <n v="10"/>
    <n v="4"/>
    <n v="1"/>
    <n v="1"/>
    <n v="0"/>
    <n v="1"/>
    <n v="1"/>
    <x v="2"/>
    <x v="1"/>
    <x v="1"/>
  </r>
  <r>
    <n v="707"/>
    <n v="25"/>
    <x v="0"/>
    <x v="2"/>
    <n v="10.1"/>
    <n v="1.5"/>
    <x v="2"/>
    <x v="1"/>
    <n v="3.4"/>
    <n v="10"/>
    <n v="6.3"/>
    <x v="1"/>
    <n v="2"/>
    <n v="1"/>
    <n v="0"/>
    <n v="1"/>
    <n v="1"/>
    <n v="1"/>
    <n v="0"/>
    <x v="1"/>
    <x v="0"/>
    <x v="0"/>
  </r>
  <r>
    <n v="708"/>
    <n v="34"/>
    <x v="1"/>
    <x v="1"/>
    <n v="6.3"/>
    <n v="8"/>
    <x v="2"/>
    <x v="1"/>
    <n v="5.8"/>
    <n v="6"/>
    <n v="10.199999999999999"/>
    <x v="1"/>
    <n v="4"/>
    <n v="1"/>
    <n v="0"/>
    <n v="1"/>
    <n v="1"/>
    <n v="0"/>
    <n v="1"/>
    <x v="0"/>
    <x v="1"/>
    <x v="1"/>
  </r>
  <r>
    <n v="709"/>
    <n v="32"/>
    <x v="0"/>
    <x v="0"/>
    <n v="9.5"/>
    <n v="1.2"/>
    <x v="2"/>
    <x v="1"/>
    <n v="8.3000000000000007"/>
    <n v="7"/>
    <n v="9.6999999999999993"/>
    <x v="0"/>
    <n v="9"/>
    <n v="3"/>
    <n v="0"/>
    <n v="1"/>
    <n v="1"/>
    <n v="1"/>
    <n v="1"/>
    <x v="2"/>
    <x v="1"/>
    <x v="0"/>
  </r>
  <r>
    <n v="710"/>
    <n v="36"/>
    <x v="1"/>
    <x v="2"/>
    <n v="11.1"/>
    <n v="6.8"/>
    <x v="1"/>
    <x v="0"/>
    <n v="3.6"/>
    <n v="4"/>
    <n v="5.7"/>
    <x v="1"/>
    <n v="6"/>
    <n v="1"/>
    <n v="0"/>
    <n v="0"/>
    <n v="0"/>
    <n v="1"/>
    <n v="1"/>
    <x v="1"/>
    <x v="1"/>
    <x v="0"/>
  </r>
  <r>
    <n v="711"/>
    <n v="29"/>
    <x v="1"/>
    <x v="2"/>
    <n v="7.7"/>
    <n v="3.6"/>
    <x v="1"/>
    <x v="0"/>
    <n v="8.9"/>
    <n v="7"/>
    <n v="7.7"/>
    <x v="0"/>
    <n v="8"/>
    <n v="2"/>
    <n v="1"/>
    <n v="0"/>
    <n v="0"/>
    <n v="1"/>
    <n v="0"/>
    <x v="2"/>
    <x v="1"/>
    <x v="1"/>
  </r>
  <r>
    <n v="712"/>
    <n v="24"/>
    <x v="1"/>
    <x v="1"/>
    <n v="3.8"/>
    <n v="6.9"/>
    <x v="1"/>
    <x v="0"/>
    <n v="8.6999999999999993"/>
    <n v="10"/>
    <n v="10.4"/>
    <x v="1"/>
    <n v="2"/>
    <n v="3"/>
    <n v="1"/>
    <n v="0"/>
    <n v="1"/>
    <n v="0"/>
    <n v="1"/>
    <x v="2"/>
    <x v="0"/>
    <x v="2"/>
  </r>
  <r>
    <n v="713"/>
    <n v="16"/>
    <x v="1"/>
    <x v="2"/>
    <n v="4.7"/>
    <n v="4.9000000000000004"/>
    <x v="2"/>
    <x v="1"/>
    <n v="3.5"/>
    <n v="3"/>
    <n v="2.2000000000000002"/>
    <x v="2"/>
    <n v="10"/>
    <n v="3"/>
    <n v="0"/>
    <n v="0"/>
    <n v="0"/>
    <n v="1"/>
    <n v="0"/>
    <x v="1"/>
    <x v="2"/>
    <x v="1"/>
  </r>
  <r>
    <n v="714"/>
    <n v="28"/>
    <x v="1"/>
    <x v="0"/>
    <n v="4"/>
    <n v="7.3"/>
    <x v="1"/>
    <x v="0"/>
    <n v="8.6"/>
    <n v="7"/>
    <n v="10"/>
    <x v="2"/>
    <n v="5"/>
    <n v="4"/>
    <n v="1"/>
    <n v="1"/>
    <n v="1"/>
    <n v="0"/>
    <n v="1"/>
    <x v="2"/>
    <x v="1"/>
    <x v="2"/>
  </r>
  <r>
    <n v="715"/>
    <n v="19"/>
    <x v="0"/>
    <x v="1"/>
    <n v="4.5"/>
    <n v="7.5"/>
    <x v="2"/>
    <x v="1"/>
    <n v="5.2"/>
    <n v="4"/>
    <n v="11.5"/>
    <x v="0"/>
    <n v="1"/>
    <n v="2"/>
    <n v="0"/>
    <n v="1"/>
    <n v="0"/>
    <n v="1"/>
    <n v="1"/>
    <x v="0"/>
    <x v="1"/>
    <x v="1"/>
  </r>
  <r>
    <n v="716"/>
    <n v="16"/>
    <x v="1"/>
    <x v="0"/>
    <n v="5.0999999999999996"/>
    <n v="1.1000000000000001"/>
    <x v="1"/>
    <x v="0"/>
    <n v="8.1"/>
    <n v="8"/>
    <n v="2.2999999999999998"/>
    <x v="0"/>
    <n v="4"/>
    <n v="1"/>
    <n v="1"/>
    <n v="1"/>
    <n v="0"/>
    <n v="0"/>
    <n v="0"/>
    <x v="2"/>
    <x v="0"/>
    <x v="1"/>
  </r>
  <r>
    <n v="717"/>
    <n v="55"/>
    <x v="0"/>
    <x v="0"/>
    <n v="7.6"/>
    <n v="1.5"/>
    <x v="2"/>
    <x v="1"/>
    <n v="5.5"/>
    <n v="9"/>
    <n v="2.5"/>
    <x v="0"/>
    <n v="10"/>
    <n v="4"/>
    <n v="0"/>
    <n v="0"/>
    <n v="1"/>
    <n v="1"/>
    <n v="0"/>
    <x v="0"/>
    <x v="0"/>
    <x v="1"/>
  </r>
  <r>
    <n v="718"/>
    <n v="47"/>
    <x v="0"/>
    <x v="1"/>
    <n v="7.9"/>
    <n v="2.8"/>
    <x v="1"/>
    <x v="0"/>
    <n v="5.6"/>
    <n v="7"/>
    <n v="5.4"/>
    <x v="0"/>
    <n v="1"/>
    <n v="2"/>
    <n v="1"/>
    <n v="0"/>
    <n v="1"/>
    <n v="1"/>
    <n v="1"/>
    <x v="0"/>
    <x v="1"/>
    <x v="1"/>
  </r>
  <r>
    <n v="719"/>
    <n v="49"/>
    <x v="1"/>
    <x v="2"/>
    <n v="6.3"/>
    <n v="5.7"/>
    <x v="1"/>
    <x v="0"/>
    <n v="6.8"/>
    <n v="8"/>
    <n v="2.9"/>
    <x v="0"/>
    <n v="9"/>
    <n v="4"/>
    <n v="1"/>
    <n v="1"/>
    <n v="0"/>
    <n v="1"/>
    <n v="1"/>
    <x v="0"/>
    <x v="0"/>
    <x v="1"/>
  </r>
  <r>
    <n v="720"/>
    <n v="43"/>
    <x v="1"/>
    <x v="0"/>
    <n v="8.1999999999999993"/>
    <n v="7.2"/>
    <x v="1"/>
    <x v="0"/>
    <n v="7.6"/>
    <n v="8"/>
    <n v="6.8"/>
    <x v="1"/>
    <n v="2"/>
    <n v="0"/>
    <n v="1"/>
    <n v="0"/>
    <n v="0"/>
    <n v="0"/>
    <n v="0"/>
    <x v="2"/>
    <x v="0"/>
    <x v="0"/>
  </r>
  <r>
    <n v="721"/>
    <n v="46"/>
    <x v="0"/>
    <x v="0"/>
    <n v="2.8"/>
    <n v="4.2"/>
    <x v="1"/>
    <x v="0"/>
    <n v="3.2"/>
    <n v="2"/>
    <n v="9.3000000000000007"/>
    <x v="2"/>
    <n v="7"/>
    <n v="1"/>
    <n v="0"/>
    <n v="0"/>
    <n v="1"/>
    <n v="0"/>
    <n v="0"/>
    <x v="1"/>
    <x v="2"/>
    <x v="2"/>
  </r>
  <r>
    <n v="722"/>
    <n v="23"/>
    <x v="0"/>
    <x v="0"/>
    <n v="2.9"/>
    <n v="5.2"/>
    <x v="2"/>
    <x v="1"/>
    <n v="6.6"/>
    <n v="9"/>
    <n v="7.7"/>
    <x v="1"/>
    <n v="3"/>
    <n v="4"/>
    <n v="1"/>
    <n v="1"/>
    <n v="0"/>
    <n v="1"/>
    <n v="0"/>
    <x v="0"/>
    <x v="0"/>
    <x v="2"/>
  </r>
  <r>
    <n v="723"/>
    <n v="54"/>
    <x v="0"/>
    <x v="0"/>
    <n v="3.7"/>
    <n v="2.2999999999999998"/>
    <x v="1"/>
    <x v="0"/>
    <n v="4.0999999999999996"/>
    <n v="6"/>
    <n v="4"/>
    <x v="2"/>
    <n v="2"/>
    <n v="0"/>
    <n v="0"/>
    <n v="0"/>
    <n v="0"/>
    <n v="1"/>
    <n v="1"/>
    <x v="1"/>
    <x v="1"/>
    <x v="2"/>
  </r>
  <r>
    <n v="724"/>
    <n v="41"/>
    <x v="1"/>
    <x v="1"/>
    <n v="7.2"/>
    <n v="6.6"/>
    <x v="1"/>
    <x v="0"/>
    <n v="5.0999999999999996"/>
    <n v="4"/>
    <n v="8.5"/>
    <x v="1"/>
    <n v="4"/>
    <n v="1"/>
    <n v="1"/>
    <n v="1"/>
    <n v="0"/>
    <n v="0"/>
    <n v="1"/>
    <x v="0"/>
    <x v="1"/>
    <x v="1"/>
  </r>
  <r>
    <n v="725"/>
    <n v="49"/>
    <x v="0"/>
    <x v="1"/>
    <n v="4.0999999999999996"/>
    <n v="7.8"/>
    <x v="1"/>
    <x v="0"/>
    <n v="5.0999999999999996"/>
    <n v="5"/>
    <n v="8.8000000000000007"/>
    <x v="1"/>
    <n v="7"/>
    <n v="4"/>
    <n v="0"/>
    <n v="0"/>
    <n v="1"/>
    <n v="0"/>
    <n v="0"/>
    <x v="0"/>
    <x v="1"/>
    <x v="1"/>
  </r>
  <r>
    <n v="726"/>
    <n v="18"/>
    <x v="1"/>
    <x v="0"/>
    <n v="4.8"/>
    <n v="2.9"/>
    <x v="2"/>
    <x v="1"/>
    <n v="5.8"/>
    <n v="10"/>
    <n v="11.3"/>
    <x v="1"/>
    <n v="7"/>
    <n v="4"/>
    <n v="0"/>
    <n v="1"/>
    <n v="1"/>
    <n v="0"/>
    <n v="1"/>
    <x v="0"/>
    <x v="0"/>
    <x v="1"/>
  </r>
  <r>
    <n v="727"/>
    <n v="27"/>
    <x v="1"/>
    <x v="2"/>
    <n v="6"/>
    <n v="4.5"/>
    <x v="1"/>
    <x v="0"/>
    <n v="5"/>
    <n v="5"/>
    <n v="3.5"/>
    <x v="0"/>
    <n v="9"/>
    <n v="4"/>
    <n v="0"/>
    <n v="0"/>
    <n v="0"/>
    <n v="0"/>
    <n v="0"/>
    <x v="0"/>
    <x v="1"/>
    <x v="1"/>
  </r>
  <r>
    <n v="728"/>
    <n v="16"/>
    <x v="1"/>
    <x v="0"/>
    <n v="10.1"/>
    <n v="1.6"/>
    <x v="1"/>
    <x v="0"/>
    <n v="3.6"/>
    <n v="7"/>
    <n v="8.9"/>
    <x v="2"/>
    <n v="3"/>
    <n v="4"/>
    <n v="1"/>
    <n v="1"/>
    <n v="1"/>
    <n v="1"/>
    <n v="1"/>
    <x v="1"/>
    <x v="1"/>
    <x v="0"/>
  </r>
  <r>
    <n v="729"/>
    <n v="59"/>
    <x v="0"/>
    <x v="2"/>
    <n v="2.1"/>
    <n v="4.9000000000000004"/>
    <x v="1"/>
    <x v="0"/>
    <n v="3.9"/>
    <n v="9"/>
    <n v="11.1"/>
    <x v="0"/>
    <n v="7"/>
    <n v="3"/>
    <n v="1"/>
    <n v="1"/>
    <n v="0"/>
    <n v="1"/>
    <n v="1"/>
    <x v="1"/>
    <x v="0"/>
    <x v="2"/>
  </r>
  <r>
    <n v="730"/>
    <n v="20"/>
    <x v="1"/>
    <x v="0"/>
    <n v="8.5"/>
    <n v="4.5"/>
    <x v="1"/>
    <x v="0"/>
    <n v="3.2"/>
    <n v="7"/>
    <n v="7"/>
    <x v="0"/>
    <n v="6"/>
    <n v="4"/>
    <n v="0"/>
    <n v="0"/>
    <n v="1"/>
    <n v="0"/>
    <n v="1"/>
    <x v="1"/>
    <x v="1"/>
    <x v="0"/>
  </r>
  <r>
    <n v="731"/>
    <n v="45"/>
    <x v="1"/>
    <x v="2"/>
    <n v="8.6999999999999993"/>
    <n v="2"/>
    <x v="1"/>
    <x v="0"/>
    <n v="5.8"/>
    <n v="9"/>
    <n v="5.6"/>
    <x v="1"/>
    <n v="10"/>
    <n v="3"/>
    <n v="0"/>
    <n v="0"/>
    <n v="1"/>
    <n v="0"/>
    <n v="1"/>
    <x v="0"/>
    <x v="0"/>
    <x v="0"/>
  </r>
  <r>
    <n v="732"/>
    <n v="45"/>
    <x v="1"/>
    <x v="0"/>
    <n v="10"/>
    <n v="4.0999999999999996"/>
    <x v="2"/>
    <x v="1"/>
    <n v="8.6999999999999993"/>
    <n v="4"/>
    <n v="3.7"/>
    <x v="2"/>
    <n v="7"/>
    <n v="3"/>
    <n v="0"/>
    <n v="1"/>
    <n v="1"/>
    <n v="0"/>
    <n v="0"/>
    <x v="2"/>
    <x v="1"/>
    <x v="0"/>
  </r>
  <r>
    <n v="733"/>
    <n v="32"/>
    <x v="1"/>
    <x v="2"/>
    <n v="11.3"/>
    <n v="3.3"/>
    <x v="2"/>
    <x v="1"/>
    <n v="3.7"/>
    <n v="10"/>
    <n v="10.7"/>
    <x v="2"/>
    <n v="7"/>
    <n v="0"/>
    <n v="1"/>
    <n v="1"/>
    <n v="1"/>
    <n v="1"/>
    <n v="1"/>
    <x v="1"/>
    <x v="0"/>
    <x v="0"/>
  </r>
  <r>
    <n v="734"/>
    <n v="38"/>
    <x v="1"/>
    <x v="0"/>
    <n v="2.2000000000000002"/>
    <n v="4.7"/>
    <x v="2"/>
    <x v="1"/>
    <n v="8.6999999999999993"/>
    <n v="10"/>
    <n v="5.9"/>
    <x v="2"/>
    <n v="10"/>
    <n v="1"/>
    <n v="1"/>
    <n v="1"/>
    <n v="0"/>
    <n v="0"/>
    <n v="0"/>
    <x v="2"/>
    <x v="0"/>
    <x v="2"/>
  </r>
  <r>
    <n v="735"/>
    <n v="30"/>
    <x v="0"/>
    <x v="0"/>
    <n v="3.5"/>
    <n v="5.0999999999999996"/>
    <x v="1"/>
    <x v="0"/>
    <n v="7.4"/>
    <n v="4"/>
    <n v="11.2"/>
    <x v="2"/>
    <n v="5"/>
    <n v="3"/>
    <n v="1"/>
    <n v="1"/>
    <n v="0"/>
    <n v="0"/>
    <n v="1"/>
    <x v="2"/>
    <x v="1"/>
    <x v="2"/>
  </r>
  <r>
    <n v="736"/>
    <n v="52"/>
    <x v="1"/>
    <x v="2"/>
    <n v="10.9"/>
    <n v="1.1000000000000001"/>
    <x v="2"/>
    <x v="1"/>
    <n v="6.8"/>
    <n v="6"/>
    <n v="10.5"/>
    <x v="0"/>
    <n v="9"/>
    <n v="2"/>
    <n v="1"/>
    <n v="1"/>
    <n v="1"/>
    <n v="1"/>
    <n v="1"/>
    <x v="0"/>
    <x v="1"/>
    <x v="0"/>
  </r>
  <r>
    <n v="737"/>
    <n v="36"/>
    <x v="1"/>
    <x v="1"/>
    <n v="6.6"/>
    <n v="6.3"/>
    <x v="1"/>
    <x v="0"/>
    <n v="6.9"/>
    <n v="8"/>
    <n v="5.8"/>
    <x v="0"/>
    <n v="7"/>
    <n v="3"/>
    <n v="1"/>
    <n v="0"/>
    <n v="0"/>
    <n v="0"/>
    <n v="1"/>
    <x v="0"/>
    <x v="0"/>
    <x v="1"/>
  </r>
  <r>
    <n v="738"/>
    <n v="29"/>
    <x v="0"/>
    <x v="2"/>
    <n v="7.6"/>
    <n v="6"/>
    <x v="1"/>
    <x v="0"/>
    <n v="8"/>
    <n v="9"/>
    <n v="7.7"/>
    <x v="2"/>
    <n v="7"/>
    <n v="2"/>
    <n v="0"/>
    <n v="0"/>
    <n v="1"/>
    <n v="1"/>
    <n v="0"/>
    <x v="2"/>
    <x v="0"/>
    <x v="1"/>
  </r>
  <r>
    <n v="739"/>
    <n v="17"/>
    <x v="1"/>
    <x v="1"/>
    <n v="8.6"/>
    <n v="3.6"/>
    <x v="1"/>
    <x v="0"/>
    <n v="3.6"/>
    <n v="1"/>
    <n v="2.2999999999999998"/>
    <x v="0"/>
    <n v="3"/>
    <n v="0"/>
    <n v="0"/>
    <n v="0"/>
    <n v="1"/>
    <n v="0"/>
    <n v="1"/>
    <x v="1"/>
    <x v="2"/>
    <x v="0"/>
  </r>
  <r>
    <n v="740"/>
    <n v="26"/>
    <x v="0"/>
    <x v="0"/>
    <n v="8.8000000000000007"/>
    <n v="1.4"/>
    <x v="1"/>
    <x v="0"/>
    <n v="6"/>
    <n v="1"/>
    <n v="4.5999999999999996"/>
    <x v="2"/>
    <n v="1"/>
    <n v="2"/>
    <n v="0"/>
    <n v="0"/>
    <n v="1"/>
    <n v="0"/>
    <n v="0"/>
    <x v="0"/>
    <x v="2"/>
    <x v="0"/>
  </r>
  <r>
    <n v="741"/>
    <n v="54"/>
    <x v="1"/>
    <x v="2"/>
    <n v="11.3"/>
    <n v="6.3"/>
    <x v="2"/>
    <x v="1"/>
    <n v="7.2"/>
    <n v="8"/>
    <n v="9.1"/>
    <x v="0"/>
    <n v="5"/>
    <n v="0"/>
    <n v="0"/>
    <n v="0"/>
    <n v="1"/>
    <n v="1"/>
    <n v="1"/>
    <x v="2"/>
    <x v="0"/>
    <x v="0"/>
  </r>
  <r>
    <n v="742"/>
    <n v="53"/>
    <x v="0"/>
    <x v="2"/>
    <n v="12"/>
    <n v="7.7"/>
    <x v="2"/>
    <x v="1"/>
    <n v="6.5"/>
    <n v="7"/>
    <n v="8.8000000000000007"/>
    <x v="1"/>
    <n v="8"/>
    <n v="0"/>
    <n v="1"/>
    <n v="1"/>
    <n v="1"/>
    <n v="0"/>
    <n v="1"/>
    <x v="0"/>
    <x v="1"/>
    <x v="0"/>
  </r>
  <r>
    <n v="743"/>
    <n v="49"/>
    <x v="0"/>
    <x v="2"/>
    <n v="9.1999999999999993"/>
    <n v="2.7"/>
    <x v="2"/>
    <x v="1"/>
    <n v="8"/>
    <n v="9"/>
    <n v="5.5"/>
    <x v="1"/>
    <n v="5"/>
    <n v="0"/>
    <n v="1"/>
    <n v="0"/>
    <n v="1"/>
    <n v="1"/>
    <n v="0"/>
    <x v="2"/>
    <x v="0"/>
    <x v="0"/>
  </r>
  <r>
    <n v="744"/>
    <n v="53"/>
    <x v="1"/>
    <x v="1"/>
    <n v="4.9000000000000004"/>
    <n v="3.3"/>
    <x v="1"/>
    <x v="0"/>
    <n v="3.4"/>
    <n v="3"/>
    <n v="10.1"/>
    <x v="2"/>
    <n v="10"/>
    <n v="2"/>
    <n v="0"/>
    <n v="0"/>
    <n v="0"/>
    <n v="0"/>
    <n v="0"/>
    <x v="1"/>
    <x v="2"/>
    <x v="1"/>
  </r>
  <r>
    <n v="745"/>
    <n v="49"/>
    <x v="1"/>
    <x v="1"/>
    <n v="10.8"/>
    <n v="2.2999999999999998"/>
    <x v="2"/>
    <x v="1"/>
    <n v="7.1"/>
    <n v="10"/>
    <n v="4.4000000000000004"/>
    <x v="2"/>
    <n v="3"/>
    <n v="2"/>
    <n v="1"/>
    <n v="1"/>
    <n v="1"/>
    <n v="1"/>
    <n v="0"/>
    <x v="2"/>
    <x v="0"/>
    <x v="0"/>
  </r>
  <r>
    <n v="746"/>
    <n v="33"/>
    <x v="1"/>
    <x v="0"/>
    <n v="2.5"/>
    <n v="5"/>
    <x v="2"/>
    <x v="1"/>
    <n v="6.2"/>
    <n v="5"/>
    <n v="6.6"/>
    <x v="0"/>
    <n v="9"/>
    <n v="0"/>
    <n v="0"/>
    <n v="1"/>
    <n v="0"/>
    <n v="0"/>
    <n v="1"/>
    <x v="0"/>
    <x v="1"/>
    <x v="2"/>
  </r>
  <r>
    <n v="747"/>
    <n v="45"/>
    <x v="0"/>
    <x v="1"/>
    <n v="4.3"/>
    <n v="2.1"/>
    <x v="1"/>
    <x v="0"/>
    <n v="5.3"/>
    <n v="3"/>
    <n v="6.7"/>
    <x v="2"/>
    <n v="2"/>
    <n v="0"/>
    <n v="1"/>
    <n v="0"/>
    <n v="1"/>
    <n v="0"/>
    <n v="0"/>
    <x v="0"/>
    <x v="2"/>
    <x v="1"/>
  </r>
  <r>
    <n v="748"/>
    <n v="30"/>
    <x v="0"/>
    <x v="1"/>
    <n v="11"/>
    <n v="3.5"/>
    <x v="2"/>
    <x v="1"/>
    <n v="5"/>
    <n v="5"/>
    <n v="5.4"/>
    <x v="2"/>
    <n v="3"/>
    <n v="1"/>
    <n v="1"/>
    <n v="0"/>
    <n v="0"/>
    <n v="1"/>
    <n v="1"/>
    <x v="0"/>
    <x v="1"/>
    <x v="0"/>
  </r>
  <r>
    <n v="749"/>
    <n v="42"/>
    <x v="0"/>
    <x v="0"/>
    <n v="4.5999999999999996"/>
    <n v="5.9"/>
    <x v="1"/>
    <x v="0"/>
    <n v="6.7"/>
    <n v="10"/>
    <n v="11.5"/>
    <x v="0"/>
    <n v="4"/>
    <n v="0"/>
    <n v="0"/>
    <n v="1"/>
    <n v="0"/>
    <n v="1"/>
    <n v="1"/>
    <x v="0"/>
    <x v="0"/>
    <x v="1"/>
  </r>
  <r>
    <n v="750"/>
    <n v="49"/>
    <x v="1"/>
    <x v="2"/>
    <n v="4.2"/>
    <n v="4.9000000000000004"/>
    <x v="2"/>
    <x v="1"/>
    <n v="8.3000000000000007"/>
    <n v="1"/>
    <n v="9"/>
    <x v="2"/>
    <n v="10"/>
    <n v="4"/>
    <n v="0"/>
    <n v="0"/>
    <n v="0"/>
    <n v="0"/>
    <n v="1"/>
    <x v="2"/>
    <x v="2"/>
    <x v="1"/>
  </r>
  <r>
    <n v="751"/>
    <n v="53"/>
    <x v="0"/>
    <x v="2"/>
    <n v="3.4"/>
    <n v="3.7"/>
    <x v="2"/>
    <x v="1"/>
    <n v="6"/>
    <n v="4"/>
    <n v="7.4"/>
    <x v="2"/>
    <n v="1"/>
    <n v="1"/>
    <n v="0"/>
    <n v="1"/>
    <n v="1"/>
    <n v="0"/>
    <n v="0"/>
    <x v="0"/>
    <x v="1"/>
    <x v="2"/>
  </r>
  <r>
    <n v="752"/>
    <n v="48"/>
    <x v="0"/>
    <x v="0"/>
    <n v="10.6"/>
    <n v="3.9"/>
    <x v="2"/>
    <x v="1"/>
    <n v="7.9"/>
    <n v="6"/>
    <n v="7.1"/>
    <x v="1"/>
    <n v="4"/>
    <n v="1"/>
    <n v="1"/>
    <n v="0"/>
    <n v="0"/>
    <n v="0"/>
    <n v="1"/>
    <x v="2"/>
    <x v="1"/>
    <x v="0"/>
  </r>
  <r>
    <n v="753"/>
    <n v="39"/>
    <x v="1"/>
    <x v="2"/>
    <n v="7"/>
    <n v="4.9000000000000004"/>
    <x v="1"/>
    <x v="0"/>
    <n v="5.4"/>
    <n v="2"/>
    <n v="3.6"/>
    <x v="1"/>
    <n v="4"/>
    <n v="1"/>
    <n v="1"/>
    <n v="0"/>
    <n v="1"/>
    <n v="1"/>
    <n v="0"/>
    <x v="0"/>
    <x v="2"/>
    <x v="1"/>
  </r>
  <r>
    <n v="754"/>
    <n v="30"/>
    <x v="0"/>
    <x v="1"/>
    <n v="8.6999999999999993"/>
    <n v="1"/>
    <x v="2"/>
    <x v="1"/>
    <n v="3.6"/>
    <n v="7"/>
    <n v="5.7"/>
    <x v="1"/>
    <n v="9"/>
    <n v="4"/>
    <n v="1"/>
    <n v="0"/>
    <n v="0"/>
    <n v="0"/>
    <n v="1"/>
    <x v="1"/>
    <x v="1"/>
    <x v="0"/>
  </r>
  <r>
    <n v="755"/>
    <n v="45"/>
    <x v="0"/>
    <x v="0"/>
    <n v="4.4000000000000004"/>
    <n v="1.5"/>
    <x v="2"/>
    <x v="1"/>
    <n v="3.4"/>
    <n v="8"/>
    <n v="8.6999999999999993"/>
    <x v="2"/>
    <n v="8"/>
    <n v="1"/>
    <n v="0"/>
    <n v="0"/>
    <n v="1"/>
    <n v="1"/>
    <n v="1"/>
    <x v="1"/>
    <x v="0"/>
    <x v="1"/>
  </r>
  <r>
    <n v="756"/>
    <n v="57"/>
    <x v="1"/>
    <x v="0"/>
    <n v="9.6"/>
    <n v="7.2"/>
    <x v="2"/>
    <x v="1"/>
    <n v="3.3"/>
    <n v="1"/>
    <n v="11.2"/>
    <x v="0"/>
    <n v="2"/>
    <n v="1"/>
    <n v="0"/>
    <n v="1"/>
    <n v="0"/>
    <n v="0"/>
    <n v="1"/>
    <x v="1"/>
    <x v="2"/>
    <x v="0"/>
  </r>
  <r>
    <n v="757"/>
    <n v="32"/>
    <x v="0"/>
    <x v="0"/>
    <n v="9.6"/>
    <n v="1.5"/>
    <x v="2"/>
    <x v="1"/>
    <n v="5.3"/>
    <n v="4"/>
    <n v="10.199999999999999"/>
    <x v="1"/>
    <n v="7"/>
    <n v="2"/>
    <n v="0"/>
    <n v="1"/>
    <n v="1"/>
    <n v="0"/>
    <n v="1"/>
    <x v="0"/>
    <x v="1"/>
    <x v="0"/>
  </r>
  <r>
    <n v="758"/>
    <n v="20"/>
    <x v="1"/>
    <x v="2"/>
    <n v="5.0999999999999996"/>
    <n v="5.9"/>
    <x v="1"/>
    <x v="0"/>
    <n v="5"/>
    <n v="4"/>
    <n v="5"/>
    <x v="2"/>
    <n v="6"/>
    <n v="2"/>
    <n v="1"/>
    <n v="0"/>
    <n v="0"/>
    <n v="1"/>
    <n v="0"/>
    <x v="0"/>
    <x v="1"/>
    <x v="1"/>
  </r>
  <r>
    <n v="759"/>
    <n v="44"/>
    <x v="1"/>
    <x v="0"/>
    <n v="6.1"/>
    <n v="7.4"/>
    <x v="1"/>
    <x v="0"/>
    <n v="7.3"/>
    <n v="5"/>
    <n v="6.3"/>
    <x v="1"/>
    <n v="7"/>
    <n v="0"/>
    <n v="1"/>
    <n v="0"/>
    <n v="0"/>
    <n v="0"/>
    <n v="0"/>
    <x v="2"/>
    <x v="1"/>
    <x v="1"/>
  </r>
  <r>
    <n v="760"/>
    <n v="19"/>
    <x v="1"/>
    <x v="0"/>
    <n v="4.0999999999999996"/>
    <n v="2.9"/>
    <x v="2"/>
    <x v="1"/>
    <n v="7.5"/>
    <n v="4"/>
    <n v="2.8"/>
    <x v="0"/>
    <n v="4"/>
    <n v="0"/>
    <n v="0"/>
    <n v="0"/>
    <n v="0"/>
    <n v="0"/>
    <n v="1"/>
    <x v="2"/>
    <x v="1"/>
    <x v="1"/>
  </r>
  <r>
    <n v="761"/>
    <n v="25"/>
    <x v="1"/>
    <x v="0"/>
    <n v="11.8"/>
    <n v="3.6"/>
    <x v="2"/>
    <x v="1"/>
    <n v="3.3"/>
    <n v="9"/>
    <n v="3"/>
    <x v="0"/>
    <n v="5"/>
    <n v="3"/>
    <n v="0"/>
    <n v="0"/>
    <n v="1"/>
    <n v="1"/>
    <n v="1"/>
    <x v="1"/>
    <x v="0"/>
    <x v="0"/>
  </r>
  <r>
    <n v="762"/>
    <n v="32"/>
    <x v="1"/>
    <x v="2"/>
    <n v="8.5"/>
    <n v="5"/>
    <x v="2"/>
    <x v="1"/>
    <n v="4.3"/>
    <n v="7"/>
    <n v="6.7"/>
    <x v="0"/>
    <n v="6"/>
    <n v="4"/>
    <n v="0"/>
    <n v="1"/>
    <n v="0"/>
    <n v="1"/>
    <n v="1"/>
    <x v="1"/>
    <x v="1"/>
    <x v="0"/>
  </r>
  <r>
    <n v="763"/>
    <n v="25"/>
    <x v="0"/>
    <x v="1"/>
    <n v="11.3"/>
    <n v="7.2"/>
    <x v="1"/>
    <x v="0"/>
    <n v="4.5999999999999996"/>
    <n v="2"/>
    <n v="7.3"/>
    <x v="0"/>
    <n v="9"/>
    <n v="2"/>
    <n v="1"/>
    <n v="1"/>
    <n v="0"/>
    <n v="0"/>
    <n v="0"/>
    <x v="1"/>
    <x v="2"/>
    <x v="0"/>
  </r>
  <r>
    <n v="764"/>
    <n v="32"/>
    <x v="0"/>
    <x v="0"/>
    <n v="5"/>
    <n v="7.6"/>
    <x v="2"/>
    <x v="1"/>
    <n v="6.3"/>
    <n v="1"/>
    <n v="4.5999999999999996"/>
    <x v="0"/>
    <n v="2"/>
    <n v="0"/>
    <n v="1"/>
    <n v="0"/>
    <n v="0"/>
    <n v="0"/>
    <n v="0"/>
    <x v="0"/>
    <x v="2"/>
    <x v="1"/>
  </r>
  <r>
    <n v="765"/>
    <n v="35"/>
    <x v="1"/>
    <x v="1"/>
    <n v="9.8000000000000007"/>
    <n v="6.2"/>
    <x v="2"/>
    <x v="1"/>
    <n v="3.9"/>
    <n v="9"/>
    <n v="8.4"/>
    <x v="0"/>
    <n v="9"/>
    <n v="4"/>
    <n v="0"/>
    <n v="1"/>
    <n v="1"/>
    <n v="1"/>
    <n v="1"/>
    <x v="1"/>
    <x v="0"/>
    <x v="0"/>
  </r>
  <r>
    <n v="766"/>
    <n v="39"/>
    <x v="1"/>
    <x v="2"/>
    <n v="9.6999999999999993"/>
    <n v="1.6"/>
    <x v="1"/>
    <x v="0"/>
    <n v="3.8"/>
    <n v="1"/>
    <n v="9"/>
    <x v="2"/>
    <n v="10"/>
    <n v="1"/>
    <n v="0"/>
    <n v="1"/>
    <n v="0"/>
    <n v="0"/>
    <n v="0"/>
    <x v="1"/>
    <x v="2"/>
    <x v="0"/>
  </r>
  <r>
    <n v="767"/>
    <n v="20"/>
    <x v="0"/>
    <x v="2"/>
    <n v="8.9"/>
    <n v="5.7"/>
    <x v="1"/>
    <x v="0"/>
    <n v="8.6999999999999993"/>
    <n v="6"/>
    <n v="5"/>
    <x v="1"/>
    <n v="1"/>
    <n v="4"/>
    <n v="0"/>
    <n v="0"/>
    <n v="0"/>
    <n v="1"/>
    <n v="1"/>
    <x v="2"/>
    <x v="1"/>
    <x v="0"/>
  </r>
  <r>
    <n v="768"/>
    <n v="49"/>
    <x v="1"/>
    <x v="2"/>
    <n v="11.7"/>
    <n v="3.9"/>
    <x v="1"/>
    <x v="0"/>
    <n v="7.8"/>
    <n v="2"/>
    <n v="9.6"/>
    <x v="0"/>
    <n v="4"/>
    <n v="2"/>
    <n v="1"/>
    <n v="0"/>
    <n v="1"/>
    <n v="0"/>
    <n v="0"/>
    <x v="2"/>
    <x v="2"/>
    <x v="0"/>
  </r>
  <r>
    <n v="769"/>
    <n v="21"/>
    <x v="1"/>
    <x v="2"/>
    <n v="5.9"/>
    <n v="4.3"/>
    <x v="2"/>
    <x v="1"/>
    <n v="4.0999999999999996"/>
    <n v="4"/>
    <n v="4.0999999999999996"/>
    <x v="1"/>
    <n v="5"/>
    <n v="3"/>
    <n v="1"/>
    <n v="0"/>
    <n v="1"/>
    <n v="0"/>
    <n v="1"/>
    <x v="1"/>
    <x v="1"/>
    <x v="1"/>
  </r>
  <r>
    <n v="770"/>
    <n v="17"/>
    <x v="1"/>
    <x v="1"/>
    <n v="3.3"/>
    <n v="1.3"/>
    <x v="1"/>
    <x v="0"/>
    <n v="5.4"/>
    <n v="6"/>
    <n v="7.4"/>
    <x v="1"/>
    <n v="9"/>
    <n v="2"/>
    <n v="1"/>
    <n v="1"/>
    <n v="1"/>
    <n v="0"/>
    <n v="1"/>
    <x v="0"/>
    <x v="1"/>
    <x v="2"/>
  </r>
  <r>
    <n v="771"/>
    <n v="28"/>
    <x v="0"/>
    <x v="0"/>
    <n v="8.6999999999999993"/>
    <n v="2.2999999999999998"/>
    <x v="1"/>
    <x v="0"/>
    <n v="5.0999999999999996"/>
    <n v="5"/>
    <n v="10"/>
    <x v="2"/>
    <n v="6"/>
    <n v="0"/>
    <n v="0"/>
    <n v="1"/>
    <n v="1"/>
    <n v="1"/>
    <n v="0"/>
    <x v="0"/>
    <x v="1"/>
    <x v="0"/>
  </r>
  <r>
    <n v="772"/>
    <n v="58"/>
    <x v="0"/>
    <x v="2"/>
    <n v="9.3000000000000007"/>
    <n v="6.5"/>
    <x v="2"/>
    <x v="1"/>
    <n v="7.7"/>
    <n v="6"/>
    <n v="7.4"/>
    <x v="0"/>
    <n v="4"/>
    <n v="0"/>
    <n v="0"/>
    <n v="1"/>
    <n v="0"/>
    <n v="0"/>
    <n v="1"/>
    <x v="2"/>
    <x v="1"/>
    <x v="0"/>
  </r>
  <r>
    <n v="773"/>
    <n v="58"/>
    <x v="1"/>
    <x v="2"/>
    <n v="7.8"/>
    <n v="4.2"/>
    <x v="1"/>
    <x v="0"/>
    <n v="6.1"/>
    <n v="3"/>
    <n v="11.1"/>
    <x v="0"/>
    <n v="2"/>
    <n v="4"/>
    <n v="0"/>
    <n v="1"/>
    <n v="0"/>
    <n v="0"/>
    <n v="0"/>
    <x v="0"/>
    <x v="2"/>
    <x v="1"/>
  </r>
  <r>
    <n v="774"/>
    <n v="26"/>
    <x v="1"/>
    <x v="1"/>
    <n v="4.0999999999999996"/>
    <n v="3.1"/>
    <x v="2"/>
    <x v="1"/>
    <n v="3.8"/>
    <n v="5"/>
    <n v="2.6"/>
    <x v="2"/>
    <n v="5"/>
    <n v="2"/>
    <n v="0"/>
    <n v="0"/>
    <n v="1"/>
    <n v="0"/>
    <n v="1"/>
    <x v="1"/>
    <x v="1"/>
    <x v="1"/>
  </r>
  <r>
    <n v="775"/>
    <n v="38"/>
    <x v="0"/>
    <x v="1"/>
    <n v="7"/>
    <n v="3.7"/>
    <x v="2"/>
    <x v="1"/>
    <n v="7.4"/>
    <n v="2"/>
    <n v="7.9"/>
    <x v="2"/>
    <n v="8"/>
    <n v="0"/>
    <n v="0"/>
    <n v="0"/>
    <n v="0"/>
    <n v="0"/>
    <n v="0"/>
    <x v="2"/>
    <x v="2"/>
    <x v="1"/>
  </r>
  <r>
    <n v="776"/>
    <n v="31"/>
    <x v="0"/>
    <x v="2"/>
    <n v="5.0999999999999996"/>
    <n v="7"/>
    <x v="1"/>
    <x v="0"/>
    <n v="5.4"/>
    <n v="7"/>
    <n v="7.6"/>
    <x v="2"/>
    <n v="8"/>
    <n v="1"/>
    <n v="0"/>
    <n v="0"/>
    <n v="1"/>
    <n v="1"/>
    <n v="0"/>
    <x v="0"/>
    <x v="1"/>
    <x v="1"/>
  </r>
  <r>
    <n v="777"/>
    <n v="46"/>
    <x v="1"/>
    <x v="0"/>
    <n v="6.3"/>
    <n v="6.2"/>
    <x v="2"/>
    <x v="1"/>
    <n v="4.5999999999999996"/>
    <n v="3"/>
    <n v="8.6"/>
    <x v="2"/>
    <n v="6"/>
    <n v="1"/>
    <n v="0"/>
    <n v="1"/>
    <n v="1"/>
    <n v="0"/>
    <n v="1"/>
    <x v="1"/>
    <x v="2"/>
    <x v="1"/>
  </r>
  <r>
    <n v="778"/>
    <n v="26"/>
    <x v="1"/>
    <x v="0"/>
    <n v="8.5"/>
    <n v="2.9"/>
    <x v="1"/>
    <x v="0"/>
    <n v="5.3"/>
    <n v="1"/>
    <n v="10.3"/>
    <x v="2"/>
    <n v="1"/>
    <n v="3"/>
    <n v="0"/>
    <n v="0"/>
    <n v="0"/>
    <n v="0"/>
    <n v="1"/>
    <x v="0"/>
    <x v="2"/>
    <x v="0"/>
  </r>
  <r>
    <n v="779"/>
    <n v="31"/>
    <x v="0"/>
    <x v="2"/>
    <n v="9.5"/>
    <n v="1.8"/>
    <x v="1"/>
    <x v="0"/>
    <n v="6"/>
    <n v="8"/>
    <n v="9.3000000000000007"/>
    <x v="1"/>
    <n v="8"/>
    <n v="4"/>
    <n v="0"/>
    <n v="0"/>
    <n v="1"/>
    <n v="0"/>
    <n v="1"/>
    <x v="0"/>
    <x v="0"/>
    <x v="0"/>
  </r>
  <r>
    <n v="780"/>
    <n v="23"/>
    <x v="0"/>
    <x v="1"/>
    <n v="4.3"/>
    <n v="2.8"/>
    <x v="1"/>
    <x v="0"/>
    <n v="5.0999999999999996"/>
    <n v="8"/>
    <n v="9.9"/>
    <x v="2"/>
    <n v="4"/>
    <n v="0"/>
    <n v="0"/>
    <n v="1"/>
    <n v="0"/>
    <n v="0"/>
    <n v="0"/>
    <x v="0"/>
    <x v="0"/>
    <x v="1"/>
  </r>
  <r>
    <n v="781"/>
    <n v="19"/>
    <x v="0"/>
    <x v="2"/>
    <n v="6.1"/>
    <n v="7.4"/>
    <x v="2"/>
    <x v="1"/>
    <n v="4.5"/>
    <n v="3"/>
    <n v="4.9000000000000004"/>
    <x v="0"/>
    <n v="2"/>
    <n v="3"/>
    <n v="0"/>
    <n v="0"/>
    <n v="1"/>
    <n v="1"/>
    <n v="0"/>
    <x v="1"/>
    <x v="2"/>
    <x v="1"/>
  </r>
  <r>
    <n v="782"/>
    <n v="55"/>
    <x v="1"/>
    <x v="2"/>
    <n v="4.7"/>
    <n v="5.0999999999999996"/>
    <x v="1"/>
    <x v="0"/>
    <n v="5.4"/>
    <n v="7"/>
    <n v="5.9"/>
    <x v="0"/>
    <n v="1"/>
    <n v="1"/>
    <n v="1"/>
    <n v="1"/>
    <n v="0"/>
    <n v="1"/>
    <n v="1"/>
    <x v="0"/>
    <x v="1"/>
    <x v="1"/>
  </r>
  <r>
    <n v="783"/>
    <n v="19"/>
    <x v="0"/>
    <x v="1"/>
    <n v="4"/>
    <n v="4.7"/>
    <x v="2"/>
    <x v="1"/>
    <n v="3.1"/>
    <n v="9"/>
    <n v="8.3000000000000007"/>
    <x v="2"/>
    <n v="7"/>
    <n v="3"/>
    <n v="0"/>
    <n v="1"/>
    <n v="1"/>
    <n v="1"/>
    <n v="1"/>
    <x v="1"/>
    <x v="0"/>
    <x v="2"/>
  </r>
  <r>
    <n v="784"/>
    <n v="40"/>
    <x v="1"/>
    <x v="2"/>
    <n v="9.8000000000000007"/>
    <n v="5.2"/>
    <x v="2"/>
    <x v="1"/>
    <n v="7.6"/>
    <n v="8"/>
    <n v="7.5"/>
    <x v="2"/>
    <n v="2"/>
    <n v="3"/>
    <n v="0"/>
    <n v="0"/>
    <n v="0"/>
    <n v="1"/>
    <n v="1"/>
    <x v="2"/>
    <x v="0"/>
    <x v="0"/>
  </r>
  <r>
    <n v="785"/>
    <n v="18"/>
    <x v="0"/>
    <x v="2"/>
    <n v="11.1"/>
    <n v="3.6"/>
    <x v="2"/>
    <x v="1"/>
    <n v="4"/>
    <n v="3"/>
    <n v="11.6"/>
    <x v="2"/>
    <n v="4"/>
    <n v="0"/>
    <n v="1"/>
    <n v="0"/>
    <n v="0"/>
    <n v="1"/>
    <n v="1"/>
    <x v="1"/>
    <x v="2"/>
    <x v="0"/>
  </r>
  <r>
    <n v="786"/>
    <n v="47"/>
    <x v="0"/>
    <x v="2"/>
    <n v="5.7"/>
    <n v="6.6"/>
    <x v="1"/>
    <x v="0"/>
    <n v="3.3"/>
    <n v="2"/>
    <n v="3.9"/>
    <x v="2"/>
    <n v="4"/>
    <n v="0"/>
    <n v="0"/>
    <n v="1"/>
    <n v="1"/>
    <n v="0"/>
    <n v="0"/>
    <x v="1"/>
    <x v="2"/>
    <x v="1"/>
  </r>
  <r>
    <n v="787"/>
    <n v="18"/>
    <x v="0"/>
    <x v="1"/>
    <n v="9.5"/>
    <n v="4.7"/>
    <x v="2"/>
    <x v="1"/>
    <n v="6.9"/>
    <n v="10"/>
    <n v="5.5"/>
    <x v="2"/>
    <n v="10"/>
    <n v="0"/>
    <n v="1"/>
    <n v="0"/>
    <n v="1"/>
    <n v="0"/>
    <n v="1"/>
    <x v="0"/>
    <x v="0"/>
    <x v="0"/>
  </r>
  <r>
    <n v="788"/>
    <n v="42"/>
    <x v="0"/>
    <x v="0"/>
    <n v="11"/>
    <n v="1.8"/>
    <x v="2"/>
    <x v="1"/>
    <n v="7.6"/>
    <n v="7"/>
    <n v="7.7"/>
    <x v="0"/>
    <n v="1"/>
    <n v="4"/>
    <n v="1"/>
    <n v="0"/>
    <n v="1"/>
    <n v="1"/>
    <n v="1"/>
    <x v="2"/>
    <x v="1"/>
    <x v="0"/>
  </r>
  <r>
    <n v="789"/>
    <n v="44"/>
    <x v="1"/>
    <x v="0"/>
    <n v="10.5"/>
    <n v="1.9"/>
    <x v="1"/>
    <x v="0"/>
    <n v="7.9"/>
    <n v="7"/>
    <n v="10.7"/>
    <x v="1"/>
    <n v="2"/>
    <n v="3"/>
    <n v="0"/>
    <n v="1"/>
    <n v="0"/>
    <n v="0"/>
    <n v="1"/>
    <x v="2"/>
    <x v="1"/>
    <x v="0"/>
  </r>
  <r>
    <n v="790"/>
    <n v="47"/>
    <x v="1"/>
    <x v="1"/>
    <n v="3.8"/>
    <n v="4.8"/>
    <x v="1"/>
    <x v="0"/>
    <n v="6"/>
    <n v="9"/>
    <n v="11.3"/>
    <x v="2"/>
    <n v="1"/>
    <n v="3"/>
    <n v="0"/>
    <n v="0"/>
    <n v="1"/>
    <n v="1"/>
    <n v="0"/>
    <x v="0"/>
    <x v="0"/>
    <x v="2"/>
  </r>
  <r>
    <n v="791"/>
    <n v="34"/>
    <x v="0"/>
    <x v="0"/>
    <n v="11.6"/>
    <n v="7.6"/>
    <x v="2"/>
    <x v="1"/>
    <n v="4.2"/>
    <n v="5"/>
    <n v="5.4"/>
    <x v="2"/>
    <n v="6"/>
    <n v="4"/>
    <n v="1"/>
    <n v="1"/>
    <n v="0"/>
    <n v="1"/>
    <n v="1"/>
    <x v="1"/>
    <x v="1"/>
    <x v="0"/>
  </r>
  <r>
    <n v="792"/>
    <n v="36"/>
    <x v="1"/>
    <x v="2"/>
    <n v="5.8"/>
    <n v="3.2"/>
    <x v="2"/>
    <x v="1"/>
    <n v="7.4"/>
    <n v="4"/>
    <n v="2.7"/>
    <x v="2"/>
    <n v="3"/>
    <n v="1"/>
    <n v="0"/>
    <n v="1"/>
    <n v="1"/>
    <n v="0"/>
    <n v="0"/>
    <x v="2"/>
    <x v="1"/>
    <x v="1"/>
  </r>
  <r>
    <n v="793"/>
    <n v="20"/>
    <x v="0"/>
    <x v="0"/>
    <n v="5.4"/>
    <n v="7.1"/>
    <x v="1"/>
    <x v="0"/>
    <n v="7.2"/>
    <n v="8"/>
    <n v="6.2"/>
    <x v="0"/>
    <n v="1"/>
    <n v="2"/>
    <n v="0"/>
    <n v="1"/>
    <n v="1"/>
    <n v="1"/>
    <n v="1"/>
    <x v="2"/>
    <x v="0"/>
    <x v="1"/>
  </r>
  <r>
    <n v="794"/>
    <n v="33"/>
    <x v="0"/>
    <x v="2"/>
    <n v="2.6"/>
    <n v="6.3"/>
    <x v="2"/>
    <x v="1"/>
    <n v="4.5"/>
    <n v="4"/>
    <n v="5.9"/>
    <x v="0"/>
    <n v="8"/>
    <n v="1"/>
    <n v="0"/>
    <n v="1"/>
    <n v="1"/>
    <n v="0"/>
    <n v="0"/>
    <x v="1"/>
    <x v="1"/>
    <x v="2"/>
  </r>
  <r>
    <n v="795"/>
    <n v="43"/>
    <x v="0"/>
    <x v="0"/>
    <n v="6.9"/>
    <n v="2.7"/>
    <x v="2"/>
    <x v="1"/>
    <n v="8.4"/>
    <n v="4"/>
    <n v="11.9"/>
    <x v="1"/>
    <n v="4"/>
    <n v="4"/>
    <n v="1"/>
    <n v="0"/>
    <n v="1"/>
    <n v="1"/>
    <n v="0"/>
    <x v="2"/>
    <x v="1"/>
    <x v="1"/>
  </r>
  <r>
    <n v="796"/>
    <n v="57"/>
    <x v="0"/>
    <x v="1"/>
    <n v="3.1"/>
    <n v="1.3"/>
    <x v="2"/>
    <x v="1"/>
    <n v="3.6"/>
    <n v="2"/>
    <n v="6.3"/>
    <x v="1"/>
    <n v="10"/>
    <n v="3"/>
    <n v="1"/>
    <n v="0"/>
    <n v="0"/>
    <n v="1"/>
    <n v="0"/>
    <x v="1"/>
    <x v="2"/>
    <x v="2"/>
  </r>
  <r>
    <n v="797"/>
    <n v="37"/>
    <x v="1"/>
    <x v="0"/>
    <n v="4.5"/>
    <n v="1.7"/>
    <x v="2"/>
    <x v="1"/>
    <n v="8.9"/>
    <n v="1"/>
    <n v="5.0999999999999996"/>
    <x v="1"/>
    <n v="7"/>
    <n v="3"/>
    <n v="0"/>
    <n v="0"/>
    <n v="1"/>
    <n v="0"/>
    <n v="0"/>
    <x v="2"/>
    <x v="2"/>
    <x v="1"/>
  </r>
  <r>
    <n v="798"/>
    <n v="36"/>
    <x v="0"/>
    <x v="0"/>
    <n v="5.2"/>
    <n v="6.1"/>
    <x v="1"/>
    <x v="0"/>
    <n v="8.1999999999999993"/>
    <n v="4"/>
    <n v="5.7"/>
    <x v="1"/>
    <n v="10"/>
    <n v="0"/>
    <n v="0"/>
    <n v="1"/>
    <n v="0"/>
    <n v="0"/>
    <n v="1"/>
    <x v="2"/>
    <x v="1"/>
    <x v="1"/>
  </r>
  <r>
    <n v="799"/>
    <n v="21"/>
    <x v="0"/>
    <x v="0"/>
    <n v="10.1"/>
    <n v="2.4"/>
    <x v="2"/>
    <x v="1"/>
    <n v="7.1"/>
    <n v="7"/>
    <n v="6"/>
    <x v="0"/>
    <n v="2"/>
    <n v="0"/>
    <n v="1"/>
    <n v="0"/>
    <n v="0"/>
    <n v="0"/>
    <n v="1"/>
    <x v="2"/>
    <x v="1"/>
    <x v="0"/>
  </r>
  <r>
    <n v="800"/>
    <n v="16"/>
    <x v="1"/>
    <x v="1"/>
    <n v="10.8"/>
    <n v="3.6"/>
    <x v="1"/>
    <x v="0"/>
    <n v="8.6"/>
    <n v="9"/>
    <n v="10.199999999999999"/>
    <x v="1"/>
    <n v="6"/>
    <n v="3"/>
    <n v="1"/>
    <n v="1"/>
    <n v="1"/>
    <n v="1"/>
    <n v="0"/>
    <x v="2"/>
    <x v="0"/>
    <x v="0"/>
  </r>
  <r>
    <n v="801"/>
    <n v="20"/>
    <x v="0"/>
    <x v="0"/>
    <n v="5"/>
    <n v="4.5"/>
    <x v="2"/>
    <x v="1"/>
    <n v="7.3"/>
    <n v="9"/>
    <n v="2.8"/>
    <x v="2"/>
    <n v="6"/>
    <n v="3"/>
    <n v="0"/>
    <n v="1"/>
    <n v="1"/>
    <n v="1"/>
    <n v="1"/>
    <x v="2"/>
    <x v="0"/>
    <x v="1"/>
  </r>
  <r>
    <n v="802"/>
    <n v="56"/>
    <x v="0"/>
    <x v="1"/>
    <n v="10.6"/>
    <n v="6.1"/>
    <x v="1"/>
    <x v="0"/>
    <n v="4.0999999999999996"/>
    <n v="10"/>
    <n v="5.2"/>
    <x v="0"/>
    <n v="7"/>
    <n v="0"/>
    <n v="0"/>
    <n v="0"/>
    <n v="1"/>
    <n v="1"/>
    <n v="0"/>
    <x v="1"/>
    <x v="0"/>
    <x v="0"/>
  </r>
  <r>
    <n v="803"/>
    <n v="27"/>
    <x v="0"/>
    <x v="2"/>
    <n v="10.6"/>
    <n v="1.8"/>
    <x v="2"/>
    <x v="1"/>
    <n v="5.7"/>
    <n v="1"/>
    <n v="11.7"/>
    <x v="0"/>
    <n v="1"/>
    <n v="0"/>
    <n v="0"/>
    <n v="0"/>
    <n v="0"/>
    <n v="0"/>
    <n v="0"/>
    <x v="0"/>
    <x v="2"/>
    <x v="0"/>
  </r>
  <r>
    <n v="804"/>
    <n v="41"/>
    <x v="1"/>
    <x v="0"/>
    <n v="9.6"/>
    <n v="3.8"/>
    <x v="1"/>
    <x v="0"/>
    <n v="3.4"/>
    <n v="5"/>
    <n v="3.5"/>
    <x v="0"/>
    <n v="1"/>
    <n v="1"/>
    <n v="1"/>
    <n v="1"/>
    <n v="1"/>
    <n v="0"/>
    <n v="0"/>
    <x v="1"/>
    <x v="1"/>
    <x v="0"/>
  </r>
  <r>
    <n v="805"/>
    <n v="49"/>
    <x v="0"/>
    <x v="1"/>
    <n v="3.5"/>
    <n v="4.4000000000000004"/>
    <x v="2"/>
    <x v="1"/>
    <n v="5.3"/>
    <n v="7"/>
    <n v="9.4"/>
    <x v="2"/>
    <n v="2"/>
    <n v="3"/>
    <n v="1"/>
    <n v="1"/>
    <n v="1"/>
    <n v="0"/>
    <n v="0"/>
    <x v="0"/>
    <x v="1"/>
    <x v="2"/>
  </r>
  <r>
    <n v="806"/>
    <n v="29"/>
    <x v="1"/>
    <x v="1"/>
    <n v="8.9"/>
    <n v="4.8"/>
    <x v="1"/>
    <x v="0"/>
    <n v="7.4"/>
    <n v="7"/>
    <n v="5.6"/>
    <x v="0"/>
    <n v="2"/>
    <n v="3"/>
    <n v="0"/>
    <n v="1"/>
    <n v="1"/>
    <n v="0"/>
    <n v="0"/>
    <x v="2"/>
    <x v="1"/>
    <x v="0"/>
  </r>
  <r>
    <n v="807"/>
    <n v="41"/>
    <x v="0"/>
    <x v="0"/>
    <n v="11.5"/>
    <n v="6.7"/>
    <x v="2"/>
    <x v="1"/>
    <n v="5.3"/>
    <n v="10"/>
    <n v="7.8"/>
    <x v="2"/>
    <n v="5"/>
    <n v="4"/>
    <n v="1"/>
    <n v="1"/>
    <n v="1"/>
    <n v="1"/>
    <n v="1"/>
    <x v="0"/>
    <x v="0"/>
    <x v="0"/>
  </r>
  <r>
    <n v="808"/>
    <n v="42"/>
    <x v="0"/>
    <x v="2"/>
    <n v="8.8000000000000007"/>
    <n v="2.2000000000000002"/>
    <x v="2"/>
    <x v="1"/>
    <n v="5"/>
    <n v="6"/>
    <n v="3"/>
    <x v="1"/>
    <n v="1"/>
    <n v="1"/>
    <n v="0"/>
    <n v="0"/>
    <n v="0"/>
    <n v="0"/>
    <n v="1"/>
    <x v="0"/>
    <x v="1"/>
    <x v="0"/>
  </r>
  <r>
    <n v="809"/>
    <n v="24"/>
    <x v="1"/>
    <x v="1"/>
    <n v="5.3"/>
    <n v="6.7"/>
    <x v="1"/>
    <x v="0"/>
    <n v="6.6"/>
    <n v="10"/>
    <n v="5.0999999999999996"/>
    <x v="0"/>
    <n v="2"/>
    <n v="2"/>
    <n v="0"/>
    <n v="0"/>
    <n v="0"/>
    <n v="1"/>
    <n v="0"/>
    <x v="0"/>
    <x v="0"/>
    <x v="1"/>
  </r>
  <r>
    <n v="810"/>
    <n v="41"/>
    <x v="0"/>
    <x v="0"/>
    <n v="7"/>
    <n v="5.9"/>
    <x v="1"/>
    <x v="0"/>
    <n v="8.1999999999999993"/>
    <n v="4"/>
    <n v="7"/>
    <x v="2"/>
    <n v="6"/>
    <n v="2"/>
    <n v="0"/>
    <n v="0"/>
    <n v="1"/>
    <n v="1"/>
    <n v="0"/>
    <x v="2"/>
    <x v="1"/>
    <x v="1"/>
  </r>
  <r>
    <n v="811"/>
    <n v="37"/>
    <x v="0"/>
    <x v="2"/>
    <n v="8.5"/>
    <n v="4.9000000000000004"/>
    <x v="1"/>
    <x v="0"/>
    <n v="3.3"/>
    <n v="3"/>
    <n v="4.3"/>
    <x v="0"/>
    <n v="3"/>
    <n v="2"/>
    <n v="0"/>
    <n v="1"/>
    <n v="0"/>
    <n v="1"/>
    <n v="0"/>
    <x v="1"/>
    <x v="2"/>
    <x v="0"/>
  </r>
  <r>
    <n v="812"/>
    <n v="45"/>
    <x v="1"/>
    <x v="1"/>
    <n v="7.1"/>
    <n v="5.9"/>
    <x v="1"/>
    <x v="0"/>
    <n v="5.3"/>
    <n v="9"/>
    <n v="7.4"/>
    <x v="1"/>
    <n v="4"/>
    <n v="0"/>
    <n v="0"/>
    <n v="1"/>
    <n v="0"/>
    <n v="1"/>
    <n v="0"/>
    <x v="0"/>
    <x v="0"/>
    <x v="1"/>
  </r>
  <r>
    <n v="813"/>
    <n v="58"/>
    <x v="1"/>
    <x v="1"/>
    <n v="3.2"/>
    <n v="3.9"/>
    <x v="1"/>
    <x v="0"/>
    <n v="3.9"/>
    <n v="10"/>
    <n v="4.2"/>
    <x v="0"/>
    <n v="1"/>
    <n v="2"/>
    <n v="1"/>
    <n v="0"/>
    <n v="1"/>
    <n v="1"/>
    <n v="1"/>
    <x v="1"/>
    <x v="0"/>
    <x v="2"/>
  </r>
  <r>
    <n v="814"/>
    <n v="32"/>
    <x v="1"/>
    <x v="2"/>
    <n v="5.0999999999999996"/>
    <n v="2"/>
    <x v="2"/>
    <x v="1"/>
    <n v="7.2"/>
    <n v="4"/>
    <n v="8.5"/>
    <x v="1"/>
    <n v="5"/>
    <n v="4"/>
    <n v="1"/>
    <n v="0"/>
    <n v="0"/>
    <n v="1"/>
    <n v="0"/>
    <x v="2"/>
    <x v="1"/>
    <x v="1"/>
  </r>
  <r>
    <n v="815"/>
    <n v="41"/>
    <x v="1"/>
    <x v="2"/>
    <n v="10"/>
    <n v="5.7"/>
    <x v="1"/>
    <x v="0"/>
    <n v="3.6"/>
    <n v="8"/>
    <n v="11"/>
    <x v="0"/>
    <n v="4"/>
    <n v="0"/>
    <n v="0"/>
    <n v="0"/>
    <n v="1"/>
    <n v="1"/>
    <n v="1"/>
    <x v="1"/>
    <x v="0"/>
    <x v="0"/>
  </r>
  <r>
    <n v="816"/>
    <n v="51"/>
    <x v="1"/>
    <x v="0"/>
    <n v="10.6"/>
    <n v="4.7"/>
    <x v="1"/>
    <x v="0"/>
    <n v="7"/>
    <n v="1"/>
    <n v="2.9"/>
    <x v="2"/>
    <n v="8"/>
    <n v="0"/>
    <n v="1"/>
    <n v="1"/>
    <n v="0"/>
    <n v="0"/>
    <n v="0"/>
    <x v="2"/>
    <x v="2"/>
    <x v="0"/>
  </r>
  <r>
    <n v="817"/>
    <n v="16"/>
    <x v="0"/>
    <x v="0"/>
    <n v="3.4"/>
    <n v="5.5"/>
    <x v="2"/>
    <x v="1"/>
    <n v="4.7"/>
    <n v="7"/>
    <n v="4.2"/>
    <x v="1"/>
    <n v="3"/>
    <n v="2"/>
    <n v="0"/>
    <n v="1"/>
    <n v="0"/>
    <n v="1"/>
    <n v="1"/>
    <x v="1"/>
    <x v="1"/>
    <x v="2"/>
  </r>
  <r>
    <n v="818"/>
    <n v="23"/>
    <x v="1"/>
    <x v="1"/>
    <n v="11.5"/>
    <n v="3.4"/>
    <x v="1"/>
    <x v="0"/>
    <n v="4.2"/>
    <n v="6"/>
    <n v="10.4"/>
    <x v="0"/>
    <n v="10"/>
    <n v="0"/>
    <n v="1"/>
    <n v="1"/>
    <n v="0"/>
    <n v="1"/>
    <n v="1"/>
    <x v="1"/>
    <x v="1"/>
    <x v="0"/>
  </r>
  <r>
    <n v="819"/>
    <n v="50"/>
    <x v="0"/>
    <x v="2"/>
    <n v="5.3"/>
    <n v="7.3"/>
    <x v="1"/>
    <x v="0"/>
    <n v="8.6"/>
    <n v="1"/>
    <n v="8.3000000000000007"/>
    <x v="1"/>
    <n v="1"/>
    <n v="1"/>
    <n v="1"/>
    <n v="0"/>
    <n v="0"/>
    <n v="1"/>
    <n v="0"/>
    <x v="2"/>
    <x v="2"/>
    <x v="1"/>
  </r>
  <r>
    <n v="820"/>
    <n v="30"/>
    <x v="0"/>
    <x v="2"/>
    <n v="8.6"/>
    <n v="5.0999999999999996"/>
    <x v="1"/>
    <x v="0"/>
    <n v="3.1"/>
    <n v="4"/>
    <n v="2.8"/>
    <x v="1"/>
    <n v="10"/>
    <n v="1"/>
    <n v="1"/>
    <n v="0"/>
    <n v="0"/>
    <n v="0"/>
    <n v="1"/>
    <x v="1"/>
    <x v="1"/>
    <x v="0"/>
  </r>
  <r>
    <n v="821"/>
    <n v="37"/>
    <x v="0"/>
    <x v="2"/>
    <n v="9.5"/>
    <n v="1.6"/>
    <x v="2"/>
    <x v="1"/>
    <n v="5.6"/>
    <n v="5"/>
    <n v="6.9"/>
    <x v="2"/>
    <n v="5"/>
    <n v="2"/>
    <n v="1"/>
    <n v="0"/>
    <n v="1"/>
    <n v="1"/>
    <n v="1"/>
    <x v="0"/>
    <x v="1"/>
    <x v="0"/>
  </r>
  <r>
    <n v="822"/>
    <n v="29"/>
    <x v="1"/>
    <x v="1"/>
    <n v="10.1"/>
    <n v="4.0999999999999996"/>
    <x v="1"/>
    <x v="0"/>
    <n v="3.1"/>
    <n v="8"/>
    <n v="4.0999999999999996"/>
    <x v="2"/>
    <n v="1"/>
    <n v="4"/>
    <n v="0"/>
    <n v="0"/>
    <n v="1"/>
    <n v="0"/>
    <n v="1"/>
    <x v="1"/>
    <x v="0"/>
    <x v="0"/>
  </r>
  <r>
    <n v="823"/>
    <n v="41"/>
    <x v="1"/>
    <x v="2"/>
    <n v="11.5"/>
    <n v="6.3"/>
    <x v="2"/>
    <x v="1"/>
    <n v="5.9"/>
    <n v="4"/>
    <n v="4"/>
    <x v="2"/>
    <n v="5"/>
    <n v="0"/>
    <n v="1"/>
    <n v="0"/>
    <n v="0"/>
    <n v="1"/>
    <n v="0"/>
    <x v="0"/>
    <x v="1"/>
    <x v="0"/>
  </r>
  <r>
    <n v="824"/>
    <n v="43"/>
    <x v="0"/>
    <x v="2"/>
    <n v="5.0999999999999996"/>
    <n v="6.6"/>
    <x v="2"/>
    <x v="1"/>
    <n v="6"/>
    <n v="3"/>
    <n v="11.4"/>
    <x v="2"/>
    <n v="9"/>
    <n v="3"/>
    <n v="1"/>
    <n v="0"/>
    <n v="0"/>
    <n v="0"/>
    <n v="1"/>
    <x v="0"/>
    <x v="2"/>
    <x v="1"/>
  </r>
  <r>
    <n v="825"/>
    <n v="38"/>
    <x v="1"/>
    <x v="1"/>
    <n v="10.6"/>
    <n v="4.5"/>
    <x v="1"/>
    <x v="0"/>
    <n v="4.9000000000000004"/>
    <n v="2"/>
    <n v="9.6"/>
    <x v="1"/>
    <n v="5"/>
    <n v="2"/>
    <n v="1"/>
    <n v="1"/>
    <n v="1"/>
    <n v="0"/>
    <n v="0"/>
    <x v="1"/>
    <x v="2"/>
    <x v="0"/>
  </r>
  <r>
    <n v="826"/>
    <n v="29"/>
    <x v="1"/>
    <x v="0"/>
    <n v="3.3"/>
    <n v="7.3"/>
    <x v="2"/>
    <x v="1"/>
    <n v="3.8"/>
    <n v="4"/>
    <n v="9"/>
    <x v="1"/>
    <n v="2"/>
    <n v="0"/>
    <n v="1"/>
    <n v="0"/>
    <n v="0"/>
    <n v="0"/>
    <n v="0"/>
    <x v="1"/>
    <x v="1"/>
    <x v="2"/>
  </r>
  <r>
    <n v="827"/>
    <n v="39"/>
    <x v="1"/>
    <x v="0"/>
    <n v="9.1"/>
    <n v="2.9"/>
    <x v="1"/>
    <x v="0"/>
    <n v="5.3"/>
    <n v="10"/>
    <n v="4.4000000000000004"/>
    <x v="0"/>
    <n v="2"/>
    <n v="2"/>
    <n v="1"/>
    <n v="0"/>
    <n v="1"/>
    <n v="1"/>
    <n v="1"/>
    <x v="0"/>
    <x v="0"/>
    <x v="0"/>
  </r>
  <r>
    <n v="828"/>
    <n v="17"/>
    <x v="1"/>
    <x v="1"/>
    <n v="9.4"/>
    <n v="3.9"/>
    <x v="1"/>
    <x v="0"/>
    <n v="7"/>
    <n v="4"/>
    <n v="3.2"/>
    <x v="0"/>
    <n v="10"/>
    <n v="2"/>
    <n v="1"/>
    <n v="1"/>
    <n v="1"/>
    <n v="1"/>
    <n v="0"/>
    <x v="2"/>
    <x v="1"/>
    <x v="0"/>
  </r>
  <r>
    <n v="829"/>
    <n v="41"/>
    <x v="0"/>
    <x v="2"/>
    <n v="8.8000000000000007"/>
    <n v="7.3"/>
    <x v="1"/>
    <x v="0"/>
    <n v="7.7"/>
    <n v="10"/>
    <n v="10.7"/>
    <x v="0"/>
    <n v="9"/>
    <n v="4"/>
    <n v="1"/>
    <n v="1"/>
    <n v="0"/>
    <n v="1"/>
    <n v="0"/>
    <x v="2"/>
    <x v="0"/>
    <x v="0"/>
  </r>
  <r>
    <n v="830"/>
    <n v="29"/>
    <x v="0"/>
    <x v="1"/>
    <n v="4.5"/>
    <n v="7.3"/>
    <x v="1"/>
    <x v="0"/>
    <n v="6.2"/>
    <n v="5"/>
    <n v="2.1"/>
    <x v="2"/>
    <n v="5"/>
    <n v="3"/>
    <n v="1"/>
    <n v="1"/>
    <n v="0"/>
    <n v="0"/>
    <n v="1"/>
    <x v="0"/>
    <x v="1"/>
    <x v="1"/>
  </r>
  <r>
    <n v="831"/>
    <n v="22"/>
    <x v="1"/>
    <x v="0"/>
    <n v="10.7"/>
    <n v="5.8"/>
    <x v="1"/>
    <x v="0"/>
    <n v="6.5"/>
    <n v="7"/>
    <n v="5.9"/>
    <x v="1"/>
    <n v="8"/>
    <n v="0"/>
    <n v="0"/>
    <n v="1"/>
    <n v="1"/>
    <n v="0"/>
    <n v="1"/>
    <x v="0"/>
    <x v="1"/>
    <x v="0"/>
  </r>
  <r>
    <n v="832"/>
    <n v="18"/>
    <x v="0"/>
    <x v="0"/>
    <n v="3.7"/>
    <n v="7"/>
    <x v="2"/>
    <x v="1"/>
    <n v="4.2"/>
    <n v="9"/>
    <n v="4.8"/>
    <x v="1"/>
    <n v="10"/>
    <n v="2"/>
    <n v="0"/>
    <n v="1"/>
    <n v="0"/>
    <n v="0"/>
    <n v="1"/>
    <x v="1"/>
    <x v="0"/>
    <x v="2"/>
  </r>
  <r>
    <n v="833"/>
    <n v="38"/>
    <x v="1"/>
    <x v="1"/>
    <n v="2.5"/>
    <n v="1.6"/>
    <x v="2"/>
    <x v="1"/>
    <n v="4.7"/>
    <n v="2"/>
    <n v="7.7"/>
    <x v="0"/>
    <n v="4"/>
    <n v="2"/>
    <n v="0"/>
    <n v="1"/>
    <n v="0"/>
    <n v="0"/>
    <n v="0"/>
    <x v="1"/>
    <x v="2"/>
    <x v="2"/>
  </r>
  <r>
    <n v="834"/>
    <n v="58"/>
    <x v="1"/>
    <x v="1"/>
    <n v="9.1999999999999993"/>
    <n v="7.1"/>
    <x v="2"/>
    <x v="1"/>
    <n v="4"/>
    <n v="5"/>
    <n v="4.5"/>
    <x v="0"/>
    <n v="2"/>
    <n v="0"/>
    <n v="1"/>
    <n v="0"/>
    <n v="1"/>
    <n v="1"/>
    <n v="0"/>
    <x v="1"/>
    <x v="1"/>
    <x v="0"/>
  </r>
  <r>
    <n v="835"/>
    <n v="33"/>
    <x v="0"/>
    <x v="0"/>
    <n v="6.8"/>
    <n v="3.2"/>
    <x v="2"/>
    <x v="1"/>
    <n v="4.5"/>
    <n v="10"/>
    <n v="5.0999999999999996"/>
    <x v="1"/>
    <n v="4"/>
    <n v="2"/>
    <n v="0"/>
    <n v="0"/>
    <n v="1"/>
    <n v="1"/>
    <n v="1"/>
    <x v="1"/>
    <x v="0"/>
    <x v="1"/>
  </r>
  <r>
    <n v="836"/>
    <n v="53"/>
    <x v="0"/>
    <x v="1"/>
    <n v="10.5"/>
    <n v="2.2000000000000002"/>
    <x v="1"/>
    <x v="0"/>
    <n v="4.3"/>
    <n v="9"/>
    <n v="10.5"/>
    <x v="2"/>
    <n v="4"/>
    <n v="2"/>
    <n v="0"/>
    <n v="0"/>
    <n v="0"/>
    <n v="1"/>
    <n v="1"/>
    <x v="1"/>
    <x v="0"/>
    <x v="0"/>
  </r>
  <r>
    <n v="837"/>
    <n v="50"/>
    <x v="0"/>
    <x v="0"/>
    <n v="5.8"/>
    <n v="2.7"/>
    <x v="1"/>
    <x v="0"/>
    <n v="6.1"/>
    <n v="3"/>
    <n v="8"/>
    <x v="0"/>
    <n v="9"/>
    <n v="2"/>
    <n v="0"/>
    <n v="0"/>
    <n v="0"/>
    <n v="0"/>
    <n v="0"/>
    <x v="0"/>
    <x v="2"/>
    <x v="1"/>
  </r>
  <r>
    <n v="838"/>
    <n v="30"/>
    <x v="1"/>
    <x v="1"/>
    <n v="3.7"/>
    <n v="3.9"/>
    <x v="2"/>
    <x v="1"/>
    <n v="6.4"/>
    <n v="1"/>
    <n v="3.5"/>
    <x v="0"/>
    <n v="10"/>
    <n v="1"/>
    <n v="1"/>
    <n v="1"/>
    <n v="0"/>
    <n v="0"/>
    <n v="1"/>
    <x v="0"/>
    <x v="2"/>
    <x v="2"/>
  </r>
  <r>
    <n v="839"/>
    <n v="40"/>
    <x v="0"/>
    <x v="1"/>
    <n v="10.4"/>
    <n v="2.8"/>
    <x v="1"/>
    <x v="0"/>
    <n v="8.6999999999999993"/>
    <n v="2"/>
    <n v="9.3000000000000007"/>
    <x v="1"/>
    <n v="6"/>
    <n v="1"/>
    <n v="0"/>
    <n v="1"/>
    <n v="1"/>
    <n v="0"/>
    <n v="1"/>
    <x v="2"/>
    <x v="2"/>
    <x v="0"/>
  </r>
  <r>
    <n v="840"/>
    <n v="52"/>
    <x v="1"/>
    <x v="1"/>
    <n v="7.5"/>
    <n v="3.2"/>
    <x v="2"/>
    <x v="1"/>
    <n v="4.2"/>
    <n v="6"/>
    <n v="4.0999999999999996"/>
    <x v="1"/>
    <n v="10"/>
    <n v="3"/>
    <n v="0"/>
    <n v="0"/>
    <n v="0"/>
    <n v="1"/>
    <n v="0"/>
    <x v="1"/>
    <x v="1"/>
    <x v="1"/>
  </r>
  <r>
    <n v="841"/>
    <n v="43"/>
    <x v="0"/>
    <x v="0"/>
    <n v="3.9"/>
    <n v="1.9"/>
    <x v="2"/>
    <x v="1"/>
    <n v="6.9"/>
    <n v="5"/>
    <n v="6.3"/>
    <x v="0"/>
    <n v="6"/>
    <n v="4"/>
    <n v="0"/>
    <n v="1"/>
    <n v="0"/>
    <n v="1"/>
    <n v="1"/>
    <x v="0"/>
    <x v="1"/>
    <x v="2"/>
  </r>
  <r>
    <n v="842"/>
    <n v="25"/>
    <x v="0"/>
    <x v="1"/>
    <n v="9.1999999999999993"/>
    <n v="3.1"/>
    <x v="2"/>
    <x v="1"/>
    <n v="7.9"/>
    <n v="1"/>
    <n v="8.5"/>
    <x v="0"/>
    <n v="5"/>
    <n v="0"/>
    <n v="0"/>
    <n v="1"/>
    <n v="1"/>
    <n v="0"/>
    <n v="1"/>
    <x v="2"/>
    <x v="2"/>
    <x v="0"/>
  </r>
  <r>
    <n v="843"/>
    <n v="54"/>
    <x v="1"/>
    <x v="0"/>
    <n v="7.1"/>
    <n v="5"/>
    <x v="2"/>
    <x v="1"/>
    <n v="6.4"/>
    <n v="1"/>
    <n v="4.7"/>
    <x v="2"/>
    <n v="6"/>
    <n v="4"/>
    <n v="0"/>
    <n v="0"/>
    <n v="0"/>
    <n v="0"/>
    <n v="1"/>
    <x v="0"/>
    <x v="2"/>
    <x v="1"/>
  </r>
  <r>
    <n v="844"/>
    <n v="32"/>
    <x v="1"/>
    <x v="0"/>
    <n v="8"/>
    <n v="4.0999999999999996"/>
    <x v="1"/>
    <x v="0"/>
    <n v="4.5"/>
    <n v="4"/>
    <n v="5.8"/>
    <x v="2"/>
    <n v="1"/>
    <n v="4"/>
    <n v="0"/>
    <n v="0"/>
    <n v="0"/>
    <n v="0"/>
    <n v="1"/>
    <x v="1"/>
    <x v="1"/>
    <x v="1"/>
  </r>
  <r>
    <n v="845"/>
    <n v="54"/>
    <x v="1"/>
    <x v="1"/>
    <n v="6.6"/>
    <n v="3.4"/>
    <x v="1"/>
    <x v="0"/>
    <n v="4.5999999999999996"/>
    <n v="4"/>
    <n v="9.3000000000000007"/>
    <x v="2"/>
    <n v="5"/>
    <n v="1"/>
    <n v="0"/>
    <n v="0"/>
    <n v="0"/>
    <n v="1"/>
    <n v="1"/>
    <x v="1"/>
    <x v="1"/>
    <x v="1"/>
  </r>
  <r>
    <n v="846"/>
    <n v="37"/>
    <x v="1"/>
    <x v="1"/>
    <n v="10.3"/>
    <n v="6.2"/>
    <x v="2"/>
    <x v="1"/>
    <n v="3.2"/>
    <n v="6"/>
    <n v="11.4"/>
    <x v="2"/>
    <n v="6"/>
    <n v="3"/>
    <n v="1"/>
    <n v="0"/>
    <n v="1"/>
    <n v="1"/>
    <n v="1"/>
    <x v="1"/>
    <x v="1"/>
    <x v="0"/>
  </r>
  <r>
    <n v="847"/>
    <n v="41"/>
    <x v="1"/>
    <x v="0"/>
    <n v="10.3"/>
    <n v="7.3"/>
    <x v="2"/>
    <x v="1"/>
    <n v="4.8"/>
    <n v="6"/>
    <n v="7.3"/>
    <x v="0"/>
    <n v="8"/>
    <n v="4"/>
    <n v="0"/>
    <n v="0"/>
    <n v="0"/>
    <n v="1"/>
    <n v="1"/>
    <x v="1"/>
    <x v="1"/>
    <x v="0"/>
  </r>
  <r>
    <n v="848"/>
    <n v="59"/>
    <x v="1"/>
    <x v="0"/>
    <n v="9.1"/>
    <n v="6.3"/>
    <x v="2"/>
    <x v="1"/>
    <n v="7.5"/>
    <n v="10"/>
    <n v="2.1"/>
    <x v="0"/>
    <n v="4"/>
    <n v="4"/>
    <n v="0"/>
    <n v="0"/>
    <n v="1"/>
    <n v="1"/>
    <n v="0"/>
    <x v="2"/>
    <x v="0"/>
    <x v="0"/>
  </r>
  <r>
    <n v="849"/>
    <n v="40"/>
    <x v="1"/>
    <x v="2"/>
    <n v="3.1"/>
    <n v="3.3"/>
    <x v="2"/>
    <x v="1"/>
    <n v="3.3"/>
    <n v="6"/>
    <n v="5.4"/>
    <x v="0"/>
    <n v="5"/>
    <n v="2"/>
    <n v="1"/>
    <n v="0"/>
    <n v="1"/>
    <n v="1"/>
    <n v="1"/>
    <x v="1"/>
    <x v="1"/>
    <x v="2"/>
  </r>
  <r>
    <n v="850"/>
    <n v="32"/>
    <x v="1"/>
    <x v="0"/>
    <n v="10.4"/>
    <n v="6.2"/>
    <x v="2"/>
    <x v="1"/>
    <n v="4.3"/>
    <n v="1"/>
    <n v="6"/>
    <x v="2"/>
    <n v="4"/>
    <n v="0"/>
    <n v="1"/>
    <n v="0"/>
    <n v="0"/>
    <n v="0"/>
    <n v="0"/>
    <x v="1"/>
    <x v="2"/>
    <x v="0"/>
  </r>
  <r>
    <n v="851"/>
    <n v="28"/>
    <x v="0"/>
    <x v="2"/>
    <n v="8.6999999999999993"/>
    <n v="2.1"/>
    <x v="1"/>
    <x v="0"/>
    <n v="7.2"/>
    <n v="10"/>
    <n v="5.4"/>
    <x v="0"/>
    <n v="7"/>
    <n v="3"/>
    <n v="1"/>
    <n v="1"/>
    <n v="1"/>
    <n v="1"/>
    <n v="0"/>
    <x v="2"/>
    <x v="0"/>
    <x v="0"/>
  </r>
  <r>
    <n v="852"/>
    <n v="35"/>
    <x v="1"/>
    <x v="2"/>
    <n v="9"/>
    <n v="1.9"/>
    <x v="2"/>
    <x v="1"/>
    <n v="7.7"/>
    <n v="9"/>
    <n v="6.4"/>
    <x v="1"/>
    <n v="10"/>
    <n v="0"/>
    <n v="1"/>
    <n v="0"/>
    <n v="1"/>
    <n v="1"/>
    <n v="0"/>
    <x v="2"/>
    <x v="0"/>
    <x v="0"/>
  </r>
  <r>
    <n v="853"/>
    <n v="40"/>
    <x v="1"/>
    <x v="2"/>
    <n v="5.6"/>
    <n v="3.4"/>
    <x v="2"/>
    <x v="1"/>
    <n v="5.7"/>
    <n v="7"/>
    <n v="8.3000000000000007"/>
    <x v="2"/>
    <n v="6"/>
    <n v="1"/>
    <n v="1"/>
    <n v="1"/>
    <n v="0"/>
    <n v="1"/>
    <n v="1"/>
    <x v="0"/>
    <x v="1"/>
    <x v="1"/>
  </r>
  <r>
    <n v="854"/>
    <n v="19"/>
    <x v="0"/>
    <x v="1"/>
    <n v="10.8"/>
    <n v="6.7"/>
    <x v="1"/>
    <x v="0"/>
    <n v="7.2"/>
    <n v="7"/>
    <n v="3.2"/>
    <x v="1"/>
    <n v="4"/>
    <n v="4"/>
    <n v="0"/>
    <n v="0"/>
    <n v="0"/>
    <n v="0"/>
    <n v="1"/>
    <x v="2"/>
    <x v="1"/>
    <x v="0"/>
  </r>
  <r>
    <n v="855"/>
    <n v="25"/>
    <x v="1"/>
    <x v="1"/>
    <n v="9.3000000000000007"/>
    <n v="2.7"/>
    <x v="1"/>
    <x v="0"/>
    <n v="5.3"/>
    <n v="7"/>
    <n v="4.7"/>
    <x v="2"/>
    <n v="6"/>
    <n v="4"/>
    <n v="0"/>
    <n v="1"/>
    <n v="0"/>
    <n v="1"/>
    <n v="0"/>
    <x v="0"/>
    <x v="1"/>
    <x v="0"/>
  </r>
  <r>
    <n v="856"/>
    <n v="18"/>
    <x v="0"/>
    <x v="0"/>
    <n v="3.1"/>
    <n v="1.4"/>
    <x v="1"/>
    <x v="0"/>
    <n v="4"/>
    <n v="2"/>
    <n v="7.1"/>
    <x v="0"/>
    <n v="4"/>
    <n v="0"/>
    <n v="0"/>
    <n v="0"/>
    <n v="1"/>
    <n v="0"/>
    <n v="0"/>
    <x v="1"/>
    <x v="2"/>
    <x v="2"/>
  </r>
  <r>
    <n v="857"/>
    <n v="56"/>
    <x v="0"/>
    <x v="2"/>
    <n v="6.1"/>
    <n v="1.9"/>
    <x v="1"/>
    <x v="0"/>
    <n v="5.4"/>
    <n v="2"/>
    <n v="5.2"/>
    <x v="2"/>
    <n v="8"/>
    <n v="1"/>
    <n v="1"/>
    <n v="0"/>
    <n v="0"/>
    <n v="0"/>
    <n v="1"/>
    <x v="0"/>
    <x v="2"/>
    <x v="1"/>
  </r>
  <r>
    <n v="858"/>
    <n v="33"/>
    <x v="1"/>
    <x v="1"/>
    <n v="10.9"/>
    <n v="7"/>
    <x v="1"/>
    <x v="0"/>
    <n v="6.5"/>
    <n v="6"/>
    <n v="11.9"/>
    <x v="1"/>
    <n v="3"/>
    <n v="2"/>
    <n v="0"/>
    <n v="0"/>
    <n v="1"/>
    <n v="0"/>
    <n v="1"/>
    <x v="0"/>
    <x v="1"/>
    <x v="0"/>
  </r>
  <r>
    <n v="859"/>
    <n v="51"/>
    <x v="0"/>
    <x v="1"/>
    <n v="2.5"/>
    <n v="5.4"/>
    <x v="1"/>
    <x v="0"/>
    <n v="8.6999999999999993"/>
    <n v="7"/>
    <n v="6.3"/>
    <x v="2"/>
    <n v="8"/>
    <n v="2"/>
    <n v="0"/>
    <n v="0"/>
    <n v="0"/>
    <n v="0"/>
    <n v="0"/>
    <x v="2"/>
    <x v="1"/>
    <x v="2"/>
  </r>
  <r>
    <n v="860"/>
    <n v="37"/>
    <x v="1"/>
    <x v="1"/>
    <n v="11.6"/>
    <n v="2.8"/>
    <x v="1"/>
    <x v="0"/>
    <n v="3.4"/>
    <n v="3"/>
    <n v="10.7"/>
    <x v="1"/>
    <n v="2"/>
    <n v="4"/>
    <n v="1"/>
    <n v="0"/>
    <n v="0"/>
    <n v="1"/>
    <n v="1"/>
    <x v="1"/>
    <x v="2"/>
    <x v="0"/>
  </r>
  <r>
    <n v="861"/>
    <n v="49"/>
    <x v="0"/>
    <x v="1"/>
    <n v="8.8000000000000007"/>
    <n v="4.9000000000000004"/>
    <x v="1"/>
    <x v="0"/>
    <n v="6"/>
    <n v="4"/>
    <n v="11"/>
    <x v="0"/>
    <n v="6"/>
    <n v="4"/>
    <n v="1"/>
    <n v="1"/>
    <n v="1"/>
    <n v="1"/>
    <n v="0"/>
    <x v="0"/>
    <x v="1"/>
    <x v="0"/>
  </r>
  <r>
    <n v="862"/>
    <n v="23"/>
    <x v="0"/>
    <x v="1"/>
    <n v="8.3000000000000007"/>
    <n v="4.7"/>
    <x v="1"/>
    <x v="0"/>
    <n v="5"/>
    <n v="3"/>
    <n v="10.4"/>
    <x v="1"/>
    <n v="8"/>
    <n v="3"/>
    <n v="0"/>
    <n v="0"/>
    <n v="0"/>
    <n v="1"/>
    <n v="0"/>
    <x v="0"/>
    <x v="2"/>
    <x v="0"/>
  </r>
  <r>
    <n v="863"/>
    <n v="55"/>
    <x v="0"/>
    <x v="2"/>
    <n v="4.7"/>
    <n v="5.6"/>
    <x v="2"/>
    <x v="1"/>
    <n v="6"/>
    <n v="7"/>
    <n v="2.5"/>
    <x v="0"/>
    <n v="1"/>
    <n v="0"/>
    <n v="1"/>
    <n v="0"/>
    <n v="0"/>
    <n v="1"/>
    <n v="1"/>
    <x v="0"/>
    <x v="1"/>
    <x v="1"/>
  </r>
  <r>
    <n v="864"/>
    <n v="59"/>
    <x v="1"/>
    <x v="2"/>
    <n v="4.5"/>
    <n v="2.6"/>
    <x v="1"/>
    <x v="0"/>
    <n v="3.1"/>
    <n v="7"/>
    <n v="11.5"/>
    <x v="1"/>
    <n v="6"/>
    <n v="4"/>
    <n v="0"/>
    <n v="0"/>
    <n v="1"/>
    <n v="0"/>
    <n v="1"/>
    <x v="1"/>
    <x v="1"/>
    <x v="1"/>
  </r>
  <r>
    <n v="865"/>
    <n v="34"/>
    <x v="1"/>
    <x v="2"/>
    <n v="11.4"/>
    <n v="7.1"/>
    <x v="2"/>
    <x v="1"/>
    <n v="4.9000000000000004"/>
    <n v="4"/>
    <n v="3.3"/>
    <x v="0"/>
    <n v="9"/>
    <n v="1"/>
    <n v="1"/>
    <n v="1"/>
    <n v="0"/>
    <n v="1"/>
    <n v="0"/>
    <x v="1"/>
    <x v="1"/>
    <x v="0"/>
  </r>
  <r>
    <n v="866"/>
    <n v="57"/>
    <x v="0"/>
    <x v="2"/>
    <n v="5"/>
    <n v="3.2"/>
    <x v="2"/>
    <x v="1"/>
    <n v="7.9"/>
    <n v="7"/>
    <n v="2.2999999999999998"/>
    <x v="1"/>
    <n v="10"/>
    <n v="0"/>
    <n v="0"/>
    <n v="1"/>
    <n v="1"/>
    <n v="1"/>
    <n v="0"/>
    <x v="2"/>
    <x v="1"/>
    <x v="1"/>
  </r>
  <r>
    <n v="867"/>
    <n v="56"/>
    <x v="0"/>
    <x v="0"/>
    <n v="9.8000000000000007"/>
    <n v="5.9"/>
    <x v="2"/>
    <x v="1"/>
    <n v="6.3"/>
    <n v="5"/>
    <n v="6.1"/>
    <x v="0"/>
    <n v="10"/>
    <n v="3"/>
    <n v="0"/>
    <n v="1"/>
    <n v="0"/>
    <n v="0"/>
    <n v="0"/>
    <x v="0"/>
    <x v="1"/>
    <x v="0"/>
  </r>
  <r>
    <n v="868"/>
    <n v="52"/>
    <x v="1"/>
    <x v="2"/>
    <n v="5.9"/>
    <n v="1.1000000000000001"/>
    <x v="2"/>
    <x v="1"/>
    <n v="5.7"/>
    <n v="1"/>
    <n v="3.9"/>
    <x v="0"/>
    <n v="2"/>
    <n v="2"/>
    <n v="0"/>
    <n v="1"/>
    <n v="1"/>
    <n v="0"/>
    <n v="0"/>
    <x v="0"/>
    <x v="2"/>
    <x v="1"/>
  </r>
  <r>
    <n v="869"/>
    <n v="21"/>
    <x v="1"/>
    <x v="1"/>
    <n v="3.4"/>
    <n v="3.6"/>
    <x v="2"/>
    <x v="1"/>
    <n v="4.7"/>
    <n v="10"/>
    <n v="3.8"/>
    <x v="0"/>
    <n v="1"/>
    <n v="3"/>
    <n v="1"/>
    <n v="1"/>
    <n v="1"/>
    <n v="1"/>
    <n v="1"/>
    <x v="1"/>
    <x v="0"/>
    <x v="2"/>
  </r>
  <r>
    <n v="870"/>
    <n v="41"/>
    <x v="0"/>
    <x v="2"/>
    <n v="2.1"/>
    <n v="3.5"/>
    <x v="2"/>
    <x v="1"/>
    <n v="4.8"/>
    <n v="4"/>
    <n v="4.9000000000000004"/>
    <x v="1"/>
    <n v="2"/>
    <n v="0"/>
    <n v="1"/>
    <n v="1"/>
    <n v="0"/>
    <n v="0"/>
    <n v="0"/>
    <x v="1"/>
    <x v="1"/>
    <x v="2"/>
  </r>
  <r>
    <n v="871"/>
    <n v="49"/>
    <x v="0"/>
    <x v="0"/>
    <n v="7.4"/>
    <n v="4.8"/>
    <x v="2"/>
    <x v="1"/>
    <n v="5.3"/>
    <n v="7"/>
    <n v="4.5"/>
    <x v="1"/>
    <n v="5"/>
    <n v="2"/>
    <n v="1"/>
    <n v="0"/>
    <n v="0"/>
    <n v="0"/>
    <n v="1"/>
    <x v="0"/>
    <x v="1"/>
    <x v="1"/>
  </r>
  <r>
    <n v="872"/>
    <n v="21"/>
    <x v="1"/>
    <x v="1"/>
    <n v="11.8"/>
    <n v="1.5"/>
    <x v="2"/>
    <x v="1"/>
    <n v="8"/>
    <n v="2"/>
    <n v="8.8000000000000007"/>
    <x v="0"/>
    <n v="6"/>
    <n v="1"/>
    <n v="1"/>
    <n v="0"/>
    <n v="1"/>
    <n v="1"/>
    <n v="0"/>
    <x v="2"/>
    <x v="2"/>
    <x v="0"/>
  </r>
  <r>
    <n v="873"/>
    <n v="52"/>
    <x v="1"/>
    <x v="2"/>
    <n v="5.7"/>
    <n v="6.5"/>
    <x v="1"/>
    <x v="0"/>
    <n v="8.8000000000000007"/>
    <n v="2"/>
    <n v="3.9"/>
    <x v="2"/>
    <n v="1"/>
    <n v="2"/>
    <n v="0"/>
    <n v="0"/>
    <n v="0"/>
    <n v="0"/>
    <n v="0"/>
    <x v="2"/>
    <x v="2"/>
    <x v="1"/>
  </r>
  <r>
    <n v="874"/>
    <n v="48"/>
    <x v="1"/>
    <x v="2"/>
    <n v="5.6"/>
    <n v="2.5"/>
    <x v="2"/>
    <x v="1"/>
    <n v="5.6"/>
    <n v="1"/>
    <n v="7.4"/>
    <x v="0"/>
    <n v="7"/>
    <n v="2"/>
    <n v="0"/>
    <n v="1"/>
    <n v="0"/>
    <n v="0"/>
    <n v="0"/>
    <x v="0"/>
    <x v="2"/>
    <x v="1"/>
  </r>
  <r>
    <n v="875"/>
    <n v="37"/>
    <x v="1"/>
    <x v="2"/>
    <n v="5.4"/>
    <n v="5.7"/>
    <x v="2"/>
    <x v="1"/>
    <n v="5.4"/>
    <n v="2"/>
    <n v="11.9"/>
    <x v="2"/>
    <n v="4"/>
    <n v="1"/>
    <n v="0"/>
    <n v="0"/>
    <n v="0"/>
    <n v="0"/>
    <n v="0"/>
    <x v="0"/>
    <x v="2"/>
    <x v="1"/>
  </r>
  <r>
    <n v="876"/>
    <n v="36"/>
    <x v="1"/>
    <x v="1"/>
    <n v="7.2"/>
    <n v="6.6"/>
    <x v="2"/>
    <x v="1"/>
    <n v="8.1"/>
    <n v="10"/>
    <n v="6.3"/>
    <x v="0"/>
    <n v="9"/>
    <n v="4"/>
    <n v="0"/>
    <n v="0"/>
    <n v="1"/>
    <n v="1"/>
    <n v="1"/>
    <x v="2"/>
    <x v="0"/>
    <x v="1"/>
  </r>
  <r>
    <n v="877"/>
    <n v="21"/>
    <x v="0"/>
    <x v="1"/>
    <n v="6.4"/>
    <n v="4.9000000000000004"/>
    <x v="2"/>
    <x v="1"/>
    <n v="5.6"/>
    <n v="8"/>
    <n v="8.4"/>
    <x v="1"/>
    <n v="6"/>
    <n v="4"/>
    <n v="1"/>
    <n v="1"/>
    <n v="0"/>
    <n v="0"/>
    <n v="0"/>
    <x v="0"/>
    <x v="0"/>
    <x v="1"/>
  </r>
  <r>
    <n v="878"/>
    <n v="21"/>
    <x v="1"/>
    <x v="0"/>
    <n v="10.8"/>
    <n v="6.2"/>
    <x v="1"/>
    <x v="0"/>
    <n v="6.3"/>
    <n v="8"/>
    <n v="11.7"/>
    <x v="2"/>
    <n v="9"/>
    <n v="2"/>
    <n v="1"/>
    <n v="0"/>
    <n v="1"/>
    <n v="0"/>
    <n v="1"/>
    <x v="0"/>
    <x v="0"/>
    <x v="0"/>
  </r>
  <r>
    <n v="879"/>
    <n v="19"/>
    <x v="0"/>
    <x v="1"/>
    <n v="7.1"/>
    <n v="5.6"/>
    <x v="2"/>
    <x v="1"/>
    <n v="4.4000000000000004"/>
    <n v="8"/>
    <n v="3.4"/>
    <x v="1"/>
    <n v="1"/>
    <n v="2"/>
    <n v="1"/>
    <n v="0"/>
    <n v="0"/>
    <n v="1"/>
    <n v="1"/>
    <x v="1"/>
    <x v="0"/>
    <x v="1"/>
  </r>
  <r>
    <n v="880"/>
    <n v="45"/>
    <x v="1"/>
    <x v="1"/>
    <n v="7.1"/>
    <n v="3.5"/>
    <x v="1"/>
    <x v="0"/>
    <n v="7.5"/>
    <n v="1"/>
    <n v="6.2"/>
    <x v="2"/>
    <n v="4"/>
    <n v="3"/>
    <n v="1"/>
    <n v="0"/>
    <n v="0"/>
    <n v="0"/>
    <n v="0"/>
    <x v="2"/>
    <x v="2"/>
    <x v="1"/>
  </r>
  <r>
    <n v="881"/>
    <n v="26"/>
    <x v="0"/>
    <x v="2"/>
    <n v="3.4"/>
    <n v="6.7"/>
    <x v="1"/>
    <x v="0"/>
    <n v="6.2"/>
    <n v="1"/>
    <n v="10.5"/>
    <x v="2"/>
    <n v="2"/>
    <n v="4"/>
    <n v="0"/>
    <n v="1"/>
    <n v="0"/>
    <n v="0"/>
    <n v="0"/>
    <x v="0"/>
    <x v="2"/>
    <x v="2"/>
  </r>
  <r>
    <n v="882"/>
    <n v="45"/>
    <x v="1"/>
    <x v="1"/>
    <n v="11.8"/>
    <n v="3.1"/>
    <x v="2"/>
    <x v="1"/>
    <n v="7.9"/>
    <n v="10"/>
    <n v="11.3"/>
    <x v="2"/>
    <n v="6"/>
    <n v="1"/>
    <n v="1"/>
    <n v="1"/>
    <n v="1"/>
    <n v="1"/>
    <n v="1"/>
    <x v="2"/>
    <x v="0"/>
    <x v="0"/>
  </r>
  <r>
    <n v="883"/>
    <n v="46"/>
    <x v="1"/>
    <x v="2"/>
    <n v="4.5"/>
    <n v="5"/>
    <x v="2"/>
    <x v="1"/>
    <n v="7.7"/>
    <n v="4"/>
    <n v="8"/>
    <x v="2"/>
    <n v="4"/>
    <n v="2"/>
    <n v="1"/>
    <n v="0"/>
    <n v="0"/>
    <n v="1"/>
    <n v="1"/>
    <x v="2"/>
    <x v="1"/>
    <x v="1"/>
  </r>
  <r>
    <n v="884"/>
    <n v="39"/>
    <x v="0"/>
    <x v="2"/>
    <n v="2.7"/>
    <n v="6.2"/>
    <x v="1"/>
    <x v="0"/>
    <n v="4.3"/>
    <n v="6"/>
    <n v="3.4"/>
    <x v="1"/>
    <n v="9"/>
    <n v="2"/>
    <n v="1"/>
    <n v="0"/>
    <n v="1"/>
    <n v="1"/>
    <n v="0"/>
    <x v="1"/>
    <x v="1"/>
    <x v="2"/>
  </r>
  <r>
    <n v="885"/>
    <n v="24"/>
    <x v="0"/>
    <x v="1"/>
    <n v="8.6"/>
    <n v="3.7"/>
    <x v="2"/>
    <x v="1"/>
    <n v="7.3"/>
    <n v="8"/>
    <n v="11"/>
    <x v="2"/>
    <n v="3"/>
    <n v="3"/>
    <n v="0"/>
    <n v="1"/>
    <n v="0"/>
    <n v="1"/>
    <n v="0"/>
    <x v="2"/>
    <x v="0"/>
    <x v="0"/>
  </r>
  <r>
    <n v="886"/>
    <n v="18"/>
    <x v="1"/>
    <x v="0"/>
    <n v="8"/>
    <n v="3.1"/>
    <x v="2"/>
    <x v="1"/>
    <n v="7.8"/>
    <n v="2"/>
    <n v="3.7"/>
    <x v="0"/>
    <n v="1"/>
    <n v="3"/>
    <n v="0"/>
    <n v="1"/>
    <n v="0"/>
    <n v="1"/>
    <n v="0"/>
    <x v="2"/>
    <x v="2"/>
    <x v="1"/>
  </r>
  <r>
    <n v="887"/>
    <n v="46"/>
    <x v="1"/>
    <x v="0"/>
    <n v="6.2"/>
    <n v="4.2"/>
    <x v="1"/>
    <x v="0"/>
    <n v="5.0999999999999996"/>
    <n v="3"/>
    <n v="5.5"/>
    <x v="0"/>
    <n v="1"/>
    <n v="3"/>
    <n v="0"/>
    <n v="1"/>
    <n v="0"/>
    <n v="1"/>
    <n v="1"/>
    <x v="0"/>
    <x v="2"/>
    <x v="1"/>
  </r>
  <r>
    <n v="888"/>
    <n v="55"/>
    <x v="1"/>
    <x v="1"/>
    <n v="6.2"/>
    <n v="6.7"/>
    <x v="1"/>
    <x v="0"/>
    <n v="4"/>
    <n v="6"/>
    <n v="5.8"/>
    <x v="2"/>
    <n v="9"/>
    <n v="0"/>
    <n v="1"/>
    <n v="1"/>
    <n v="1"/>
    <n v="0"/>
    <n v="0"/>
    <x v="1"/>
    <x v="1"/>
    <x v="1"/>
  </r>
  <r>
    <n v="889"/>
    <n v="52"/>
    <x v="1"/>
    <x v="0"/>
    <n v="9.9"/>
    <n v="7.5"/>
    <x v="2"/>
    <x v="1"/>
    <n v="3"/>
    <n v="10"/>
    <n v="6.5"/>
    <x v="1"/>
    <n v="9"/>
    <n v="1"/>
    <n v="0"/>
    <n v="0"/>
    <n v="1"/>
    <n v="0"/>
    <n v="1"/>
    <x v="1"/>
    <x v="0"/>
    <x v="0"/>
  </r>
  <r>
    <n v="890"/>
    <n v="51"/>
    <x v="1"/>
    <x v="2"/>
    <n v="4"/>
    <n v="4.8"/>
    <x v="2"/>
    <x v="1"/>
    <n v="5.7"/>
    <n v="4"/>
    <n v="9.9"/>
    <x v="1"/>
    <n v="5"/>
    <n v="0"/>
    <n v="0"/>
    <n v="1"/>
    <n v="0"/>
    <n v="0"/>
    <n v="0"/>
    <x v="0"/>
    <x v="1"/>
    <x v="2"/>
  </r>
  <r>
    <n v="891"/>
    <n v="39"/>
    <x v="0"/>
    <x v="2"/>
    <n v="10.199999999999999"/>
    <n v="5.6"/>
    <x v="2"/>
    <x v="1"/>
    <n v="5.0999999999999996"/>
    <n v="2"/>
    <n v="10"/>
    <x v="2"/>
    <n v="2"/>
    <n v="2"/>
    <n v="0"/>
    <n v="0"/>
    <n v="0"/>
    <n v="0"/>
    <n v="1"/>
    <x v="0"/>
    <x v="2"/>
    <x v="0"/>
  </r>
  <r>
    <n v="892"/>
    <n v="46"/>
    <x v="0"/>
    <x v="1"/>
    <n v="8.5"/>
    <n v="7.3"/>
    <x v="1"/>
    <x v="0"/>
    <n v="6.3"/>
    <n v="7"/>
    <n v="9.1999999999999993"/>
    <x v="1"/>
    <n v="9"/>
    <n v="3"/>
    <n v="0"/>
    <n v="1"/>
    <n v="0"/>
    <n v="0"/>
    <n v="0"/>
    <x v="0"/>
    <x v="1"/>
    <x v="0"/>
  </r>
  <r>
    <n v="893"/>
    <n v="21"/>
    <x v="1"/>
    <x v="0"/>
    <n v="6.2"/>
    <n v="1.7"/>
    <x v="2"/>
    <x v="1"/>
    <n v="4.0999999999999996"/>
    <n v="4"/>
    <n v="2.2000000000000002"/>
    <x v="1"/>
    <n v="8"/>
    <n v="3"/>
    <n v="0"/>
    <n v="0"/>
    <n v="1"/>
    <n v="0"/>
    <n v="1"/>
    <x v="1"/>
    <x v="1"/>
    <x v="1"/>
  </r>
  <r>
    <n v="894"/>
    <n v="17"/>
    <x v="0"/>
    <x v="0"/>
    <n v="6.6"/>
    <n v="2.6"/>
    <x v="1"/>
    <x v="0"/>
    <n v="8.1999999999999993"/>
    <n v="8"/>
    <n v="7.6"/>
    <x v="1"/>
    <n v="10"/>
    <n v="3"/>
    <n v="0"/>
    <n v="1"/>
    <n v="1"/>
    <n v="0"/>
    <n v="1"/>
    <x v="2"/>
    <x v="0"/>
    <x v="1"/>
  </r>
  <r>
    <n v="895"/>
    <n v="35"/>
    <x v="0"/>
    <x v="2"/>
    <n v="4.5999999999999996"/>
    <n v="6"/>
    <x v="1"/>
    <x v="0"/>
    <n v="4.5"/>
    <n v="8"/>
    <n v="9.5"/>
    <x v="2"/>
    <n v="10"/>
    <n v="4"/>
    <n v="1"/>
    <n v="1"/>
    <n v="0"/>
    <n v="1"/>
    <n v="1"/>
    <x v="1"/>
    <x v="0"/>
    <x v="1"/>
  </r>
  <r>
    <n v="896"/>
    <n v="43"/>
    <x v="0"/>
    <x v="1"/>
    <n v="9.5"/>
    <n v="6.8"/>
    <x v="2"/>
    <x v="1"/>
    <n v="4.4000000000000004"/>
    <n v="7"/>
    <n v="6.4"/>
    <x v="0"/>
    <n v="6"/>
    <n v="1"/>
    <n v="1"/>
    <n v="1"/>
    <n v="0"/>
    <n v="1"/>
    <n v="1"/>
    <x v="1"/>
    <x v="1"/>
    <x v="0"/>
  </r>
  <r>
    <n v="897"/>
    <n v="26"/>
    <x v="1"/>
    <x v="0"/>
    <n v="7.1"/>
    <n v="7"/>
    <x v="1"/>
    <x v="0"/>
    <n v="5.9"/>
    <n v="10"/>
    <n v="11.4"/>
    <x v="0"/>
    <n v="7"/>
    <n v="0"/>
    <n v="0"/>
    <n v="0"/>
    <n v="1"/>
    <n v="1"/>
    <n v="1"/>
    <x v="0"/>
    <x v="0"/>
    <x v="1"/>
  </r>
  <r>
    <n v="898"/>
    <n v="19"/>
    <x v="0"/>
    <x v="1"/>
    <n v="5.2"/>
    <n v="3.9"/>
    <x v="2"/>
    <x v="1"/>
    <n v="6"/>
    <n v="9"/>
    <n v="10.199999999999999"/>
    <x v="0"/>
    <n v="6"/>
    <n v="1"/>
    <n v="1"/>
    <n v="0"/>
    <n v="0"/>
    <n v="1"/>
    <n v="1"/>
    <x v="0"/>
    <x v="0"/>
    <x v="1"/>
  </r>
  <r>
    <n v="899"/>
    <n v="30"/>
    <x v="1"/>
    <x v="0"/>
    <n v="8"/>
    <n v="1.6"/>
    <x v="2"/>
    <x v="1"/>
    <n v="4.3"/>
    <n v="4"/>
    <n v="8.4"/>
    <x v="0"/>
    <n v="5"/>
    <n v="3"/>
    <n v="0"/>
    <n v="0"/>
    <n v="0"/>
    <n v="0"/>
    <n v="0"/>
    <x v="1"/>
    <x v="1"/>
    <x v="1"/>
  </r>
  <r>
    <n v="900"/>
    <n v="21"/>
    <x v="0"/>
    <x v="2"/>
    <n v="12"/>
    <n v="4.0999999999999996"/>
    <x v="1"/>
    <x v="0"/>
    <n v="4.5999999999999996"/>
    <n v="7"/>
    <n v="2.6"/>
    <x v="0"/>
    <n v="4"/>
    <n v="2"/>
    <n v="1"/>
    <n v="0"/>
    <n v="0"/>
    <n v="1"/>
    <n v="1"/>
    <x v="1"/>
    <x v="1"/>
    <x v="0"/>
  </r>
  <r>
    <n v="901"/>
    <n v="45"/>
    <x v="1"/>
    <x v="2"/>
    <n v="6.4"/>
    <n v="2.6"/>
    <x v="2"/>
    <x v="1"/>
    <n v="4"/>
    <n v="10"/>
    <n v="8.5"/>
    <x v="1"/>
    <n v="7"/>
    <n v="4"/>
    <n v="0"/>
    <n v="1"/>
    <n v="1"/>
    <n v="1"/>
    <n v="1"/>
    <x v="1"/>
    <x v="0"/>
    <x v="1"/>
  </r>
  <r>
    <n v="902"/>
    <n v="53"/>
    <x v="0"/>
    <x v="1"/>
    <n v="11.2"/>
    <n v="3"/>
    <x v="1"/>
    <x v="0"/>
    <n v="7.3"/>
    <n v="10"/>
    <n v="11.1"/>
    <x v="1"/>
    <n v="4"/>
    <n v="1"/>
    <n v="1"/>
    <n v="1"/>
    <n v="0"/>
    <n v="1"/>
    <n v="1"/>
    <x v="2"/>
    <x v="0"/>
    <x v="0"/>
  </r>
  <r>
    <n v="903"/>
    <n v="17"/>
    <x v="1"/>
    <x v="2"/>
    <n v="5.5"/>
    <n v="6.4"/>
    <x v="1"/>
    <x v="0"/>
    <n v="7.6"/>
    <n v="1"/>
    <n v="5.8"/>
    <x v="1"/>
    <n v="10"/>
    <n v="2"/>
    <n v="0"/>
    <n v="1"/>
    <n v="0"/>
    <n v="0"/>
    <n v="0"/>
    <x v="2"/>
    <x v="2"/>
    <x v="1"/>
  </r>
  <r>
    <n v="904"/>
    <n v="30"/>
    <x v="1"/>
    <x v="0"/>
    <n v="2.5"/>
    <n v="1.5"/>
    <x v="2"/>
    <x v="1"/>
    <n v="5.8"/>
    <n v="4"/>
    <n v="10.4"/>
    <x v="2"/>
    <n v="10"/>
    <n v="3"/>
    <n v="0"/>
    <n v="0"/>
    <n v="0"/>
    <n v="0"/>
    <n v="1"/>
    <x v="0"/>
    <x v="1"/>
    <x v="2"/>
  </r>
  <r>
    <n v="905"/>
    <n v="26"/>
    <x v="0"/>
    <x v="2"/>
    <n v="4"/>
    <n v="6.8"/>
    <x v="2"/>
    <x v="1"/>
    <n v="7.3"/>
    <n v="2"/>
    <n v="5.0999999999999996"/>
    <x v="1"/>
    <n v="10"/>
    <n v="3"/>
    <n v="1"/>
    <n v="1"/>
    <n v="0"/>
    <n v="0"/>
    <n v="0"/>
    <x v="2"/>
    <x v="2"/>
    <x v="2"/>
  </r>
  <r>
    <n v="906"/>
    <n v="23"/>
    <x v="1"/>
    <x v="1"/>
    <n v="6.2"/>
    <n v="4"/>
    <x v="2"/>
    <x v="1"/>
    <n v="7.4"/>
    <n v="9"/>
    <n v="7.7"/>
    <x v="0"/>
    <n v="9"/>
    <n v="3"/>
    <n v="0"/>
    <n v="1"/>
    <n v="0"/>
    <n v="1"/>
    <n v="1"/>
    <x v="2"/>
    <x v="0"/>
    <x v="1"/>
  </r>
  <r>
    <n v="907"/>
    <n v="41"/>
    <x v="1"/>
    <x v="1"/>
    <n v="4.2"/>
    <n v="5.2"/>
    <x v="2"/>
    <x v="1"/>
    <n v="3.8"/>
    <n v="5"/>
    <n v="8.5"/>
    <x v="1"/>
    <n v="5"/>
    <n v="3"/>
    <n v="1"/>
    <n v="1"/>
    <n v="0"/>
    <n v="0"/>
    <n v="1"/>
    <x v="1"/>
    <x v="1"/>
    <x v="1"/>
  </r>
  <r>
    <n v="908"/>
    <n v="59"/>
    <x v="1"/>
    <x v="1"/>
    <n v="2"/>
    <n v="1.6"/>
    <x v="1"/>
    <x v="0"/>
    <n v="8.8000000000000007"/>
    <n v="3"/>
    <n v="8.8000000000000007"/>
    <x v="0"/>
    <n v="8"/>
    <n v="4"/>
    <n v="0"/>
    <n v="0"/>
    <n v="0"/>
    <n v="0"/>
    <n v="0"/>
    <x v="2"/>
    <x v="2"/>
    <x v="2"/>
  </r>
  <r>
    <n v="909"/>
    <n v="20"/>
    <x v="1"/>
    <x v="0"/>
    <n v="11.2"/>
    <n v="3.4"/>
    <x v="1"/>
    <x v="0"/>
    <n v="7.9"/>
    <n v="4"/>
    <n v="10.8"/>
    <x v="1"/>
    <n v="6"/>
    <n v="4"/>
    <n v="0"/>
    <n v="0"/>
    <n v="0"/>
    <n v="0"/>
    <n v="0"/>
    <x v="2"/>
    <x v="1"/>
    <x v="0"/>
  </r>
  <r>
    <n v="910"/>
    <n v="21"/>
    <x v="1"/>
    <x v="0"/>
    <n v="10.4"/>
    <n v="1.6"/>
    <x v="1"/>
    <x v="0"/>
    <n v="4.2"/>
    <n v="6"/>
    <n v="4.3"/>
    <x v="0"/>
    <n v="4"/>
    <n v="1"/>
    <n v="0"/>
    <n v="1"/>
    <n v="0"/>
    <n v="1"/>
    <n v="1"/>
    <x v="1"/>
    <x v="1"/>
    <x v="0"/>
  </r>
  <r>
    <n v="911"/>
    <n v="41"/>
    <x v="1"/>
    <x v="0"/>
    <n v="9.4"/>
    <n v="7.7"/>
    <x v="2"/>
    <x v="1"/>
    <n v="4.0999999999999996"/>
    <n v="10"/>
    <n v="4.5999999999999996"/>
    <x v="1"/>
    <n v="3"/>
    <n v="3"/>
    <n v="0"/>
    <n v="0"/>
    <n v="1"/>
    <n v="1"/>
    <n v="1"/>
    <x v="1"/>
    <x v="0"/>
    <x v="0"/>
  </r>
  <r>
    <n v="912"/>
    <n v="19"/>
    <x v="1"/>
    <x v="0"/>
    <n v="3.7"/>
    <n v="6.7"/>
    <x v="1"/>
    <x v="0"/>
    <n v="3.8"/>
    <n v="1"/>
    <n v="9"/>
    <x v="0"/>
    <n v="6"/>
    <n v="4"/>
    <n v="1"/>
    <n v="0"/>
    <n v="1"/>
    <n v="1"/>
    <n v="0"/>
    <x v="1"/>
    <x v="2"/>
    <x v="2"/>
  </r>
  <r>
    <n v="913"/>
    <n v="34"/>
    <x v="1"/>
    <x v="0"/>
    <n v="3.2"/>
    <n v="4.2"/>
    <x v="1"/>
    <x v="0"/>
    <n v="3.8"/>
    <n v="7"/>
    <n v="3.8"/>
    <x v="0"/>
    <n v="1"/>
    <n v="2"/>
    <n v="1"/>
    <n v="1"/>
    <n v="1"/>
    <n v="0"/>
    <n v="0"/>
    <x v="1"/>
    <x v="1"/>
    <x v="2"/>
  </r>
  <r>
    <n v="914"/>
    <n v="35"/>
    <x v="0"/>
    <x v="2"/>
    <n v="2.7"/>
    <n v="2.6"/>
    <x v="2"/>
    <x v="1"/>
    <n v="7.5"/>
    <n v="8"/>
    <n v="6.6"/>
    <x v="2"/>
    <n v="2"/>
    <n v="4"/>
    <n v="1"/>
    <n v="1"/>
    <n v="0"/>
    <n v="1"/>
    <n v="1"/>
    <x v="2"/>
    <x v="0"/>
    <x v="2"/>
  </r>
  <r>
    <n v="915"/>
    <n v="48"/>
    <x v="0"/>
    <x v="0"/>
    <n v="9.1999999999999993"/>
    <n v="7.5"/>
    <x v="2"/>
    <x v="1"/>
    <n v="5.8"/>
    <n v="7"/>
    <n v="2.2000000000000002"/>
    <x v="1"/>
    <n v="7"/>
    <n v="4"/>
    <n v="1"/>
    <n v="0"/>
    <n v="0"/>
    <n v="1"/>
    <n v="0"/>
    <x v="0"/>
    <x v="1"/>
    <x v="0"/>
  </r>
  <r>
    <n v="916"/>
    <n v="35"/>
    <x v="1"/>
    <x v="0"/>
    <n v="11.3"/>
    <n v="3.4"/>
    <x v="2"/>
    <x v="1"/>
    <n v="7.7"/>
    <n v="7"/>
    <n v="3.4"/>
    <x v="0"/>
    <n v="4"/>
    <n v="1"/>
    <n v="1"/>
    <n v="0"/>
    <n v="0"/>
    <n v="1"/>
    <n v="1"/>
    <x v="2"/>
    <x v="1"/>
    <x v="0"/>
  </r>
  <r>
    <n v="917"/>
    <n v="27"/>
    <x v="1"/>
    <x v="2"/>
    <n v="6.3"/>
    <n v="2.1"/>
    <x v="1"/>
    <x v="0"/>
    <n v="7.5"/>
    <n v="9"/>
    <n v="8.8000000000000007"/>
    <x v="1"/>
    <n v="5"/>
    <n v="4"/>
    <n v="0"/>
    <n v="1"/>
    <n v="1"/>
    <n v="0"/>
    <n v="0"/>
    <x v="2"/>
    <x v="0"/>
    <x v="1"/>
  </r>
  <r>
    <n v="918"/>
    <n v="16"/>
    <x v="0"/>
    <x v="0"/>
    <n v="3.2"/>
    <n v="4.9000000000000004"/>
    <x v="2"/>
    <x v="1"/>
    <n v="6.6"/>
    <n v="4"/>
    <n v="9.5"/>
    <x v="0"/>
    <n v="10"/>
    <n v="2"/>
    <n v="0"/>
    <n v="1"/>
    <n v="0"/>
    <n v="0"/>
    <n v="1"/>
    <x v="0"/>
    <x v="1"/>
    <x v="2"/>
  </r>
  <r>
    <n v="919"/>
    <n v="41"/>
    <x v="0"/>
    <x v="1"/>
    <n v="7.1"/>
    <n v="7.6"/>
    <x v="1"/>
    <x v="0"/>
    <n v="7.1"/>
    <n v="7"/>
    <n v="3.2"/>
    <x v="2"/>
    <n v="1"/>
    <n v="3"/>
    <n v="1"/>
    <n v="1"/>
    <n v="1"/>
    <n v="1"/>
    <n v="0"/>
    <x v="2"/>
    <x v="1"/>
    <x v="1"/>
  </r>
  <r>
    <n v="920"/>
    <n v="29"/>
    <x v="0"/>
    <x v="0"/>
    <n v="5.5"/>
    <n v="1"/>
    <x v="1"/>
    <x v="0"/>
    <n v="3.1"/>
    <n v="9"/>
    <n v="4.3"/>
    <x v="2"/>
    <n v="2"/>
    <n v="0"/>
    <n v="0"/>
    <n v="1"/>
    <n v="0"/>
    <n v="0"/>
    <n v="0"/>
    <x v="1"/>
    <x v="0"/>
    <x v="1"/>
  </r>
  <r>
    <n v="921"/>
    <n v="53"/>
    <x v="1"/>
    <x v="0"/>
    <n v="5.7"/>
    <n v="2.7"/>
    <x v="1"/>
    <x v="0"/>
    <n v="4.9000000000000004"/>
    <n v="5"/>
    <n v="3"/>
    <x v="2"/>
    <n v="4"/>
    <n v="1"/>
    <n v="1"/>
    <n v="1"/>
    <n v="1"/>
    <n v="1"/>
    <n v="0"/>
    <x v="1"/>
    <x v="1"/>
    <x v="1"/>
  </r>
  <r>
    <n v="922"/>
    <n v="52"/>
    <x v="0"/>
    <x v="1"/>
    <n v="8.1999999999999993"/>
    <n v="7.6"/>
    <x v="1"/>
    <x v="0"/>
    <n v="6.8"/>
    <n v="2"/>
    <n v="6.3"/>
    <x v="2"/>
    <n v="8"/>
    <n v="2"/>
    <n v="0"/>
    <n v="1"/>
    <n v="0"/>
    <n v="0"/>
    <n v="0"/>
    <x v="0"/>
    <x v="2"/>
    <x v="0"/>
  </r>
  <r>
    <n v="923"/>
    <n v="26"/>
    <x v="1"/>
    <x v="1"/>
    <n v="9.1999999999999993"/>
    <n v="2.2000000000000002"/>
    <x v="1"/>
    <x v="0"/>
    <n v="3.1"/>
    <n v="5"/>
    <n v="3.3"/>
    <x v="0"/>
    <n v="10"/>
    <n v="1"/>
    <n v="1"/>
    <n v="1"/>
    <n v="0"/>
    <n v="1"/>
    <n v="1"/>
    <x v="1"/>
    <x v="1"/>
    <x v="0"/>
  </r>
  <r>
    <n v="924"/>
    <n v="51"/>
    <x v="1"/>
    <x v="1"/>
    <n v="3.1"/>
    <n v="1.8"/>
    <x v="2"/>
    <x v="1"/>
    <n v="3.2"/>
    <n v="4"/>
    <n v="6.4"/>
    <x v="1"/>
    <n v="4"/>
    <n v="3"/>
    <n v="0"/>
    <n v="0"/>
    <n v="0"/>
    <n v="1"/>
    <n v="1"/>
    <x v="1"/>
    <x v="1"/>
    <x v="2"/>
  </r>
  <r>
    <n v="925"/>
    <n v="28"/>
    <x v="0"/>
    <x v="1"/>
    <n v="2.4"/>
    <n v="5"/>
    <x v="1"/>
    <x v="0"/>
    <n v="8.1"/>
    <n v="8"/>
    <n v="9.3000000000000007"/>
    <x v="2"/>
    <n v="3"/>
    <n v="4"/>
    <n v="0"/>
    <n v="0"/>
    <n v="1"/>
    <n v="0"/>
    <n v="0"/>
    <x v="2"/>
    <x v="0"/>
    <x v="2"/>
  </r>
  <r>
    <n v="926"/>
    <n v="58"/>
    <x v="1"/>
    <x v="0"/>
    <n v="11.9"/>
    <n v="7"/>
    <x v="2"/>
    <x v="1"/>
    <n v="7.1"/>
    <n v="5"/>
    <n v="8.8000000000000007"/>
    <x v="2"/>
    <n v="3"/>
    <n v="4"/>
    <n v="1"/>
    <n v="1"/>
    <n v="1"/>
    <n v="1"/>
    <n v="1"/>
    <x v="2"/>
    <x v="1"/>
    <x v="0"/>
  </r>
  <r>
    <n v="927"/>
    <n v="18"/>
    <x v="1"/>
    <x v="1"/>
    <n v="4.3"/>
    <n v="4.3"/>
    <x v="1"/>
    <x v="0"/>
    <n v="4.5999999999999996"/>
    <n v="9"/>
    <n v="4.8"/>
    <x v="2"/>
    <n v="5"/>
    <n v="2"/>
    <n v="0"/>
    <n v="0"/>
    <n v="1"/>
    <n v="0"/>
    <n v="1"/>
    <x v="1"/>
    <x v="0"/>
    <x v="1"/>
  </r>
  <r>
    <n v="928"/>
    <n v="48"/>
    <x v="1"/>
    <x v="1"/>
    <n v="2.5"/>
    <n v="8"/>
    <x v="1"/>
    <x v="0"/>
    <n v="7.1"/>
    <n v="9"/>
    <n v="8.6999999999999993"/>
    <x v="1"/>
    <n v="3"/>
    <n v="3"/>
    <n v="1"/>
    <n v="0"/>
    <n v="0"/>
    <n v="1"/>
    <n v="1"/>
    <x v="2"/>
    <x v="0"/>
    <x v="2"/>
  </r>
  <r>
    <n v="929"/>
    <n v="21"/>
    <x v="1"/>
    <x v="2"/>
    <n v="3.9"/>
    <n v="5.8"/>
    <x v="2"/>
    <x v="1"/>
    <n v="7.8"/>
    <n v="3"/>
    <n v="11.3"/>
    <x v="0"/>
    <n v="8"/>
    <n v="0"/>
    <n v="0"/>
    <n v="1"/>
    <n v="1"/>
    <n v="1"/>
    <n v="0"/>
    <x v="2"/>
    <x v="2"/>
    <x v="2"/>
  </r>
  <r>
    <n v="930"/>
    <n v="25"/>
    <x v="0"/>
    <x v="1"/>
    <n v="2.4"/>
    <n v="1.5"/>
    <x v="1"/>
    <x v="0"/>
    <n v="4.8"/>
    <n v="10"/>
    <n v="5.5"/>
    <x v="0"/>
    <n v="5"/>
    <n v="0"/>
    <n v="1"/>
    <n v="1"/>
    <n v="0"/>
    <n v="1"/>
    <n v="0"/>
    <x v="1"/>
    <x v="0"/>
    <x v="2"/>
  </r>
  <r>
    <n v="931"/>
    <n v="20"/>
    <x v="0"/>
    <x v="1"/>
    <n v="5.9"/>
    <n v="7.9"/>
    <x v="1"/>
    <x v="0"/>
    <n v="3.2"/>
    <n v="6"/>
    <n v="5.3"/>
    <x v="0"/>
    <n v="7"/>
    <n v="4"/>
    <n v="0"/>
    <n v="1"/>
    <n v="1"/>
    <n v="0"/>
    <n v="1"/>
    <x v="1"/>
    <x v="1"/>
    <x v="1"/>
  </r>
  <r>
    <n v="932"/>
    <n v="38"/>
    <x v="1"/>
    <x v="2"/>
    <n v="10"/>
    <n v="3.9"/>
    <x v="2"/>
    <x v="1"/>
    <n v="8.6"/>
    <n v="6"/>
    <n v="7.7"/>
    <x v="0"/>
    <n v="8"/>
    <n v="3"/>
    <n v="1"/>
    <n v="0"/>
    <n v="0"/>
    <n v="1"/>
    <n v="1"/>
    <x v="2"/>
    <x v="1"/>
    <x v="0"/>
  </r>
  <r>
    <n v="933"/>
    <n v="25"/>
    <x v="1"/>
    <x v="2"/>
    <n v="5.4"/>
    <n v="3"/>
    <x v="2"/>
    <x v="1"/>
    <n v="5.0999999999999996"/>
    <n v="4"/>
    <n v="4.5"/>
    <x v="1"/>
    <n v="5"/>
    <n v="3"/>
    <n v="0"/>
    <n v="1"/>
    <n v="1"/>
    <n v="1"/>
    <n v="0"/>
    <x v="0"/>
    <x v="1"/>
    <x v="1"/>
  </r>
  <r>
    <n v="934"/>
    <n v="59"/>
    <x v="0"/>
    <x v="0"/>
    <n v="6.4"/>
    <n v="4.9000000000000004"/>
    <x v="1"/>
    <x v="0"/>
    <n v="3.6"/>
    <n v="10"/>
    <n v="8.5"/>
    <x v="1"/>
    <n v="8"/>
    <n v="2"/>
    <n v="0"/>
    <n v="1"/>
    <n v="1"/>
    <n v="0"/>
    <n v="0"/>
    <x v="1"/>
    <x v="0"/>
    <x v="1"/>
  </r>
  <r>
    <n v="935"/>
    <n v="17"/>
    <x v="1"/>
    <x v="2"/>
    <n v="8.8000000000000007"/>
    <n v="3.1"/>
    <x v="1"/>
    <x v="0"/>
    <n v="6"/>
    <n v="3"/>
    <n v="10.3"/>
    <x v="1"/>
    <n v="3"/>
    <n v="0"/>
    <n v="1"/>
    <n v="0"/>
    <n v="0"/>
    <n v="0"/>
    <n v="0"/>
    <x v="0"/>
    <x v="2"/>
    <x v="0"/>
  </r>
  <r>
    <n v="936"/>
    <n v="28"/>
    <x v="0"/>
    <x v="0"/>
    <n v="7.1"/>
    <n v="1.6"/>
    <x v="1"/>
    <x v="0"/>
    <n v="7.6"/>
    <n v="1"/>
    <n v="6.6"/>
    <x v="2"/>
    <n v="7"/>
    <n v="2"/>
    <n v="1"/>
    <n v="1"/>
    <n v="0"/>
    <n v="1"/>
    <n v="0"/>
    <x v="2"/>
    <x v="2"/>
    <x v="1"/>
  </r>
  <r>
    <n v="937"/>
    <n v="55"/>
    <x v="1"/>
    <x v="2"/>
    <n v="10.6"/>
    <n v="1"/>
    <x v="2"/>
    <x v="1"/>
    <n v="4.3"/>
    <n v="7"/>
    <n v="8.8000000000000007"/>
    <x v="1"/>
    <n v="8"/>
    <n v="1"/>
    <n v="1"/>
    <n v="0"/>
    <n v="0"/>
    <n v="1"/>
    <n v="0"/>
    <x v="1"/>
    <x v="1"/>
    <x v="0"/>
  </r>
  <r>
    <n v="938"/>
    <n v="17"/>
    <x v="1"/>
    <x v="2"/>
    <n v="10.7"/>
    <n v="4.0999999999999996"/>
    <x v="1"/>
    <x v="0"/>
    <n v="4.5999999999999996"/>
    <n v="5"/>
    <n v="8.5"/>
    <x v="0"/>
    <n v="7"/>
    <n v="3"/>
    <n v="1"/>
    <n v="0"/>
    <n v="0"/>
    <n v="1"/>
    <n v="0"/>
    <x v="1"/>
    <x v="1"/>
    <x v="0"/>
  </r>
  <r>
    <n v="939"/>
    <n v="35"/>
    <x v="0"/>
    <x v="0"/>
    <n v="2.1"/>
    <n v="6.9"/>
    <x v="2"/>
    <x v="1"/>
    <n v="4.5"/>
    <n v="10"/>
    <n v="2.4"/>
    <x v="1"/>
    <n v="2"/>
    <n v="0"/>
    <n v="0"/>
    <n v="1"/>
    <n v="1"/>
    <n v="0"/>
    <n v="0"/>
    <x v="1"/>
    <x v="0"/>
    <x v="2"/>
  </r>
  <r>
    <n v="940"/>
    <n v="16"/>
    <x v="0"/>
    <x v="2"/>
    <n v="9.8000000000000007"/>
    <n v="5"/>
    <x v="2"/>
    <x v="1"/>
    <n v="9"/>
    <n v="7"/>
    <n v="3.8"/>
    <x v="2"/>
    <n v="8"/>
    <n v="2"/>
    <n v="0"/>
    <n v="1"/>
    <n v="1"/>
    <n v="1"/>
    <n v="0"/>
    <x v="2"/>
    <x v="1"/>
    <x v="0"/>
  </r>
  <r>
    <n v="941"/>
    <n v="52"/>
    <x v="0"/>
    <x v="0"/>
    <n v="6.6"/>
    <n v="8"/>
    <x v="1"/>
    <x v="0"/>
    <n v="4.2"/>
    <n v="1"/>
    <n v="10.9"/>
    <x v="0"/>
    <n v="6"/>
    <n v="4"/>
    <n v="0"/>
    <n v="1"/>
    <n v="1"/>
    <n v="0"/>
    <n v="0"/>
    <x v="1"/>
    <x v="2"/>
    <x v="1"/>
  </r>
  <r>
    <n v="942"/>
    <n v="24"/>
    <x v="0"/>
    <x v="2"/>
    <n v="11.9"/>
    <n v="3"/>
    <x v="2"/>
    <x v="1"/>
    <n v="6.5"/>
    <n v="8"/>
    <n v="11.4"/>
    <x v="1"/>
    <n v="10"/>
    <n v="1"/>
    <n v="0"/>
    <n v="0"/>
    <n v="0"/>
    <n v="1"/>
    <n v="1"/>
    <x v="0"/>
    <x v="0"/>
    <x v="0"/>
  </r>
  <r>
    <n v="943"/>
    <n v="32"/>
    <x v="1"/>
    <x v="1"/>
    <n v="6.8"/>
    <n v="3"/>
    <x v="1"/>
    <x v="0"/>
    <n v="8.6"/>
    <n v="3"/>
    <n v="9.8000000000000007"/>
    <x v="0"/>
    <n v="3"/>
    <n v="2"/>
    <n v="0"/>
    <n v="1"/>
    <n v="0"/>
    <n v="1"/>
    <n v="1"/>
    <x v="2"/>
    <x v="2"/>
    <x v="1"/>
  </r>
  <r>
    <n v="944"/>
    <n v="24"/>
    <x v="0"/>
    <x v="2"/>
    <n v="11.9"/>
    <n v="2.1"/>
    <x v="1"/>
    <x v="0"/>
    <n v="3.9"/>
    <n v="7"/>
    <n v="11.2"/>
    <x v="0"/>
    <n v="4"/>
    <n v="4"/>
    <n v="1"/>
    <n v="0"/>
    <n v="1"/>
    <n v="1"/>
    <n v="0"/>
    <x v="1"/>
    <x v="1"/>
    <x v="0"/>
  </r>
  <r>
    <n v="945"/>
    <n v="26"/>
    <x v="1"/>
    <x v="0"/>
    <n v="9.5"/>
    <n v="2.1"/>
    <x v="2"/>
    <x v="1"/>
    <n v="8.8000000000000007"/>
    <n v="3"/>
    <n v="5.0999999999999996"/>
    <x v="1"/>
    <n v="7"/>
    <n v="0"/>
    <n v="1"/>
    <n v="1"/>
    <n v="1"/>
    <n v="1"/>
    <n v="1"/>
    <x v="2"/>
    <x v="2"/>
    <x v="0"/>
  </r>
  <r>
    <n v="946"/>
    <n v="30"/>
    <x v="0"/>
    <x v="2"/>
    <n v="4.5"/>
    <n v="3"/>
    <x v="2"/>
    <x v="1"/>
    <n v="8.6999999999999993"/>
    <n v="3"/>
    <n v="4.5"/>
    <x v="1"/>
    <n v="3"/>
    <n v="0"/>
    <n v="1"/>
    <n v="1"/>
    <n v="0"/>
    <n v="1"/>
    <n v="0"/>
    <x v="2"/>
    <x v="2"/>
    <x v="1"/>
  </r>
  <r>
    <n v="947"/>
    <n v="39"/>
    <x v="0"/>
    <x v="0"/>
    <n v="7.4"/>
    <n v="6.5"/>
    <x v="2"/>
    <x v="1"/>
    <n v="8.3000000000000007"/>
    <n v="10"/>
    <n v="5.8"/>
    <x v="2"/>
    <n v="1"/>
    <n v="1"/>
    <n v="1"/>
    <n v="1"/>
    <n v="0"/>
    <n v="1"/>
    <n v="0"/>
    <x v="2"/>
    <x v="0"/>
    <x v="1"/>
  </r>
  <r>
    <n v="948"/>
    <n v="53"/>
    <x v="1"/>
    <x v="0"/>
    <n v="11.9"/>
    <n v="7.3"/>
    <x v="2"/>
    <x v="1"/>
    <n v="4.3"/>
    <n v="9"/>
    <n v="2.6"/>
    <x v="1"/>
    <n v="6"/>
    <n v="4"/>
    <n v="1"/>
    <n v="1"/>
    <n v="0"/>
    <n v="1"/>
    <n v="0"/>
    <x v="1"/>
    <x v="0"/>
    <x v="0"/>
  </r>
  <r>
    <n v="949"/>
    <n v="50"/>
    <x v="0"/>
    <x v="1"/>
    <n v="10.6"/>
    <n v="7.8"/>
    <x v="2"/>
    <x v="1"/>
    <n v="6.8"/>
    <n v="2"/>
    <n v="10.1"/>
    <x v="1"/>
    <n v="3"/>
    <n v="3"/>
    <n v="0"/>
    <n v="0"/>
    <n v="1"/>
    <n v="0"/>
    <n v="1"/>
    <x v="0"/>
    <x v="2"/>
    <x v="0"/>
  </r>
  <r>
    <n v="950"/>
    <n v="45"/>
    <x v="0"/>
    <x v="1"/>
    <n v="3"/>
    <n v="2.6"/>
    <x v="2"/>
    <x v="1"/>
    <n v="7.6"/>
    <n v="4"/>
    <n v="11.8"/>
    <x v="1"/>
    <n v="10"/>
    <n v="0"/>
    <n v="0"/>
    <n v="1"/>
    <n v="0"/>
    <n v="1"/>
    <n v="1"/>
    <x v="2"/>
    <x v="1"/>
    <x v="2"/>
  </r>
  <r>
    <n v="951"/>
    <n v="46"/>
    <x v="0"/>
    <x v="0"/>
    <n v="9.1"/>
    <n v="7.2"/>
    <x v="1"/>
    <x v="0"/>
    <n v="8.9"/>
    <n v="6"/>
    <n v="10.199999999999999"/>
    <x v="0"/>
    <n v="6"/>
    <n v="3"/>
    <n v="1"/>
    <n v="1"/>
    <n v="1"/>
    <n v="0"/>
    <n v="1"/>
    <x v="2"/>
    <x v="1"/>
    <x v="0"/>
  </r>
  <r>
    <n v="952"/>
    <n v="20"/>
    <x v="0"/>
    <x v="2"/>
    <n v="5.5"/>
    <n v="3.3"/>
    <x v="1"/>
    <x v="0"/>
    <n v="4.0999999999999996"/>
    <n v="3"/>
    <n v="7.5"/>
    <x v="2"/>
    <n v="10"/>
    <n v="3"/>
    <n v="1"/>
    <n v="1"/>
    <n v="1"/>
    <n v="1"/>
    <n v="1"/>
    <x v="1"/>
    <x v="2"/>
    <x v="1"/>
  </r>
  <r>
    <n v="953"/>
    <n v="59"/>
    <x v="1"/>
    <x v="0"/>
    <n v="2.1"/>
    <n v="1.8"/>
    <x v="1"/>
    <x v="0"/>
    <n v="7.6"/>
    <n v="10"/>
    <n v="5"/>
    <x v="0"/>
    <n v="3"/>
    <n v="2"/>
    <n v="1"/>
    <n v="1"/>
    <n v="1"/>
    <n v="0"/>
    <n v="0"/>
    <x v="2"/>
    <x v="0"/>
    <x v="2"/>
  </r>
  <r>
    <n v="954"/>
    <n v="29"/>
    <x v="1"/>
    <x v="0"/>
    <n v="6"/>
    <n v="7.1"/>
    <x v="2"/>
    <x v="1"/>
    <n v="5"/>
    <n v="10"/>
    <n v="4"/>
    <x v="1"/>
    <n v="6"/>
    <n v="2"/>
    <n v="0"/>
    <n v="0"/>
    <n v="1"/>
    <n v="0"/>
    <n v="1"/>
    <x v="0"/>
    <x v="0"/>
    <x v="1"/>
  </r>
  <r>
    <n v="955"/>
    <n v="26"/>
    <x v="0"/>
    <x v="2"/>
    <n v="4.3"/>
    <n v="5.5"/>
    <x v="2"/>
    <x v="1"/>
    <n v="4.0999999999999996"/>
    <n v="7"/>
    <n v="5.6"/>
    <x v="2"/>
    <n v="4"/>
    <n v="0"/>
    <n v="1"/>
    <n v="0"/>
    <n v="0"/>
    <n v="0"/>
    <n v="0"/>
    <x v="1"/>
    <x v="1"/>
    <x v="1"/>
  </r>
  <r>
    <n v="956"/>
    <n v="24"/>
    <x v="0"/>
    <x v="2"/>
    <n v="10.199999999999999"/>
    <n v="2.2000000000000002"/>
    <x v="2"/>
    <x v="1"/>
    <n v="5.5"/>
    <n v="7"/>
    <n v="8.6999999999999993"/>
    <x v="1"/>
    <n v="4"/>
    <n v="3"/>
    <n v="1"/>
    <n v="1"/>
    <n v="0"/>
    <n v="1"/>
    <n v="1"/>
    <x v="0"/>
    <x v="1"/>
    <x v="0"/>
  </r>
  <r>
    <n v="957"/>
    <n v="49"/>
    <x v="0"/>
    <x v="2"/>
    <n v="5.4"/>
    <n v="4"/>
    <x v="1"/>
    <x v="0"/>
    <n v="7.8"/>
    <n v="5"/>
    <n v="6.5"/>
    <x v="0"/>
    <n v="10"/>
    <n v="2"/>
    <n v="1"/>
    <n v="0"/>
    <n v="1"/>
    <n v="0"/>
    <n v="1"/>
    <x v="2"/>
    <x v="1"/>
    <x v="1"/>
  </r>
  <r>
    <n v="958"/>
    <n v="27"/>
    <x v="1"/>
    <x v="2"/>
    <n v="10.3"/>
    <n v="3"/>
    <x v="1"/>
    <x v="0"/>
    <n v="5.8"/>
    <n v="3"/>
    <n v="11.3"/>
    <x v="0"/>
    <n v="10"/>
    <n v="4"/>
    <n v="0"/>
    <n v="1"/>
    <n v="0"/>
    <n v="0"/>
    <n v="0"/>
    <x v="0"/>
    <x v="2"/>
    <x v="0"/>
  </r>
  <r>
    <n v="959"/>
    <n v="50"/>
    <x v="1"/>
    <x v="0"/>
    <n v="2"/>
    <n v="6.2"/>
    <x v="2"/>
    <x v="1"/>
    <n v="6.2"/>
    <n v="2"/>
    <n v="10.5"/>
    <x v="1"/>
    <n v="2"/>
    <n v="4"/>
    <n v="1"/>
    <n v="0"/>
    <n v="0"/>
    <n v="1"/>
    <n v="1"/>
    <x v="0"/>
    <x v="2"/>
    <x v="2"/>
  </r>
  <r>
    <n v="960"/>
    <n v="50"/>
    <x v="1"/>
    <x v="0"/>
    <n v="5.0999999999999996"/>
    <n v="4.2"/>
    <x v="2"/>
    <x v="1"/>
    <n v="9"/>
    <n v="4"/>
    <n v="3"/>
    <x v="2"/>
    <n v="4"/>
    <n v="4"/>
    <n v="0"/>
    <n v="1"/>
    <n v="0"/>
    <n v="0"/>
    <n v="1"/>
    <x v="2"/>
    <x v="1"/>
    <x v="1"/>
  </r>
  <r>
    <n v="961"/>
    <n v="16"/>
    <x v="1"/>
    <x v="1"/>
    <n v="4.4000000000000004"/>
    <n v="7.9"/>
    <x v="2"/>
    <x v="1"/>
    <n v="5.4"/>
    <n v="4"/>
    <n v="3.3"/>
    <x v="0"/>
    <n v="4"/>
    <n v="4"/>
    <n v="1"/>
    <n v="0"/>
    <n v="1"/>
    <n v="0"/>
    <n v="0"/>
    <x v="0"/>
    <x v="1"/>
    <x v="1"/>
  </r>
  <r>
    <n v="962"/>
    <n v="55"/>
    <x v="0"/>
    <x v="0"/>
    <n v="4.3"/>
    <n v="1.4"/>
    <x v="2"/>
    <x v="1"/>
    <n v="6.7"/>
    <n v="8"/>
    <n v="8.8000000000000007"/>
    <x v="1"/>
    <n v="7"/>
    <n v="3"/>
    <n v="1"/>
    <n v="0"/>
    <n v="1"/>
    <n v="1"/>
    <n v="0"/>
    <x v="0"/>
    <x v="0"/>
    <x v="1"/>
  </r>
  <r>
    <n v="963"/>
    <n v="37"/>
    <x v="0"/>
    <x v="2"/>
    <n v="2.7"/>
    <n v="3.5"/>
    <x v="1"/>
    <x v="0"/>
    <n v="5.2"/>
    <n v="8"/>
    <n v="4.3"/>
    <x v="1"/>
    <n v="5"/>
    <n v="4"/>
    <n v="0"/>
    <n v="0"/>
    <n v="1"/>
    <n v="1"/>
    <n v="0"/>
    <x v="0"/>
    <x v="0"/>
    <x v="2"/>
  </r>
  <r>
    <n v="964"/>
    <n v="44"/>
    <x v="0"/>
    <x v="1"/>
    <n v="3.9"/>
    <n v="4.4000000000000004"/>
    <x v="1"/>
    <x v="0"/>
    <n v="5.4"/>
    <n v="5"/>
    <n v="9.9"/>
    <x v="1"/>
    <n v="8"/>
    <n v="3"/>
    <n v="0"/>
    <n v="0"/>
    <n v="0"/>
    <n v="0"/>
    <n v="0"/>
    <x v="0"/>
    <x v="1"/>
    <x v="2"/>
  </r>
  <r>
    <n v="965"/>
    <n v="23"/>
    <x v="1"/>
    <x v="2"/>
    <n v="7.6"/>
    <n v="4.5"/>
    <x v="1"/>
    <x v="0"/>
    <n v="7.2"/>
    <n v="6"/>
    <n v="7.9"/>
    <x v="2"/>
    <n v="7"/>
    <n v="0"/>
    <n v="1"/>
    <n v="0"/>
    <n v="0"/>
    <n v="1"/>
    <n v="1"/>
    <x v="2"/>
    <x v="1"/>
    <x v="1"/>
  </r>
  <r>
    <n v="966"/>
    <n v="26"/>
    <x v="0"/>
    <x v="0"/>
    <n v="4.9000000000000004"/>
    <n v="3.2"/>
    <x v="2"/>
    <x v="1"/>
    <n v="8.6"/>
    <n v="8"/>
    <n v="4.3"/>
    <x v="1"/>
    <n v="10"/>
    <n v="0"/>
    <n v="1"/>
    <n v="1"/>
    <n v="0"/>
    <n v="1"/>
    <n v="0"/>
    <x v="2"/>
    <x v="0"/>
    <x v="1"/>
  </r>
  <r>
    <n v="967"/>
    <n v="56"/>
    <x v="1"/>
    <x v="1"/>
    <n v="6.2"/>
    <n v="6.1"/>
    <x v="1"/>
    <x v="0"/>
    <n v="6.3"/>
    <n v="1"/>
    <n v="6.8"/>
    <x v="1"/>
    <n v="9"/>
    <n v="4"/>
    <n v="0"/>
    <n v="0"/>
    <n v="0"/>
    <n v="1"/>
    <n v="0"/>
    <x v="0"/>
    <x v="2"/>
    <x v="1"/>
  </r>
  <r>
    <n v="968"/>
    <n v="52"/>
    <x v="1"/>
    <x v="2"/>
    <n v="5.8"/>
    <n v="7.1"/>
    <x v="2"/>
    <x v="1"/>
    <n v="7.6"/>
    <n v="5"/>
    <n v="6.1"/>
    <x v="0"/>
    <n v="8"/>
    <n v="4"/>
    <n v="0"/>
    <n v="1"/>
    <n v="0"/>
    <n v="1"/>
    <n v="1"/>
    <x v="2"/>
    <x v="1"/>
    <x v="1"/>
  </r>
  <r>
    <n v="969"/>
    <n v="29"/>
    <x v="0"/>
    <x v="1"/>
    <n v="10.8"/>
    <n v="7.6"/>
    <x v="2"/>
    <x v="1"/>
    <n v="3.5"/>
    <n v="4"/>
    <n v="10.7"/>
    <x v="1"/>
    <n v="9"/>
    <n v="4"/>
    <n v="1"/>
    <n v="1"/>
    <n v="0"/>
    <n v="1"/>
    <n v="1"/>
    <x v="1"/>
    <x v="1"/>
    <x v="0"/>
  </r>
  <r>
    <n v="970"/>
    <n v="45"/>
    <x v="0"/>
    <x v="1"/>
    <n v="11.1"/>
    <n v="6.6"/>
    <x v="2"/>
    <x v="1"/>
    <n v="4.3"/>
    <n v="4"/>
    <n v="2.2999999999999998"/>
    <x v="2"/>
    <n v="1"/>
    <n v="0"/>
    <n v="0"/>
    <n v="1"/>
    <n v="0"/>
    <n v="1"/>
    <n v="0"/>
    <x v="1"/>
    <x v="1"/>
    <x v="0"/>
  </r>
  <r>
    <n v="971"/>
    <n v="50"/>
    <x v="0"/>
    <x v="0"/>
    <n v="6.9"/>
    <n v="7"/>
    <x v="1"/>
    <x v="0"/>
    <n v="6"/>
    <n v="2"/>
    <n v="11"/>
    <x v="1"/>
    <n v="10"/>
    <n v="2"/>
    <n v="0"/>
    <n v="1"/>
    <n v="0"/>
    <n v="1"/>
    <n v="1"/>
    <x v="0"/>
    <x v="2"/>
    <x v="1"/>
  </r>
  <r>
    <n v="972"/>
    <n v="36"/>
    <x v="1"/>
    <x v="2"/>
    <n v="5.3"/>
    <n v="4.9000000000000004"/>
    <x v="1"/>
    <x v="0"/>
    <n v="3.1"/>
    <n v="10"/>
    <n v="8.5"/>
    <x v="2"/>
    <n v="3"/>
    <n v="0"/>
    <n v="1"/>
    <n v="1"/>
    <n v="0"/>
    <n v="0"/>
    <n v="0"/>
    <x v="1"/>
    <x v="0"/>
    <x v="1"/>
  </r>
  <r>
    <n v="973"/>
    <n v="52"/>
    <x v="1"/>
    <x v="1"/>
    <n v="3.1"/>
    <n v="6.8"/>
    <x v="2"/>
    <x v="1"/>
    <n v="4.5"/>
    <n v="1"/>
    <n v="9.4"/>
    <x v="1"/>
    <n v="5"/>
    <n v="4"/>
    <n v="1"/>
    <n v="1"/>
    <n v="0"/>
    <n v="0"/>
    <n v="0"/>
    <x v="1"/>
    <x v="2"/>
    <x v="2"/>
  </r>
  <r>
    <n v="974"/>
    <n v="20"/>
    <x v="0"/>
    <x v="1"/>
    <n v="11.5"/>
    <n v="3.1"/>
    <x v="1"/>
    <x v="0"/>
    <n v="6.1"/>
    <n v="6"/>
    <n v="2"/>
    <x v="1"/>
    <n v="9"/>
    <n v="2"/>
    <n v="1"/>
    <n v="1"/>
    <n v="0"/>
    <n v="1"/>
    <n v="0"/>
    <x v="0"/>
    <x v="1"/>
    <x v="0"/>
  </r>
  <r>
    <n v="975"/>
    <n v="34"/>
    <x v="0"/>
    <x v="2"/>
    <n v="2.6"/>
    <n v="3.8"/>
    <x v="2"/>
    <x v="1"/>
    <n v="3.1"/>
    <n v="7"/>
    <n v="8.3000000000000007"/>
    <x v="1"/>
    <n v="8"/>
    <n v="2"/>
    <n v="0"/>
    <n v="1"/>
    <n v="1"/>
    <n v="1"/>
    <n v="0"/>
    <x v="1"/>
    <x v="1"/>
    <x v="2"/>
  </r>
  <r>
    <n v="976"/>
    <n v="29"/>
    <x v="1"/>
    <x v="1"/>
    <n v="5"/>
    <n v="3.2"/>
    <x v="2"/>
    <x v="1"/>
    <n v="4.5999999999999996"/>
    <n v="5"/>
    <n v="7.9"/>
    <x v="2"/>
    <n v="10"/>
    <n v="1"/>
    <n v="1"/>
    <n v="1"/>
    <n v="0"/>
    <n v="1"/>
    <n v="1"/>
    <x v="1"/>
    <x v="1"/>
    <x v="1"/>
  </r>
  <r>
    <n v="977"/>
    <n v="41"/>
    <x v="0"/>
    <x v="1"/>
    <n v="5"/>
    <n v="4.3"/>
    <x v="2"/>
    <x v="1"/>
    <n v="6.1"/>
    <n v="8"/>
    <n v="7.4"/>
    <x v="0"/>
    <n v="7"/>
    <n v="3"/>
    <n v="1"/>
    <n v="1"/>
    <n v="1"/>
    <n v="1"/>
    <n v="1"/>
    <x v="0"/>
    <x v="0"/>
    <x v="1"/>
  </r>
  <r>
    <n v="978"/>
    <n v="19"/>
    <x v="1"/>
    <x v="1"/>
    <n v="5.2"/>
    <n v="3"/>
    <x v="1"/>
    <x v="0"/>
    <n v="6.4"/>
    <n v="9"/>
    <n v="9.9"/>
    <x v="2"/>
    <n v="2"/>
    <n v="4"/>
    <n v="0"/>
    <n v="1"/>
    <n v="1"/>
    <n v="1"/>
    <n v="0"/>
    <x v="0"/>
    <x v="0"/>
    <x v="1"/>
  </r>
  <r>
    <n v="979"/>
    <n v="40"/>
    <x v="1"/>
    <x v="2"/>
    <n v="3.6"/>
    <n v="7.7"/>
    <x v="1"/>
    <x v="0"/>
    <n v="8.6"/>
    <n v="2"/>
    <n v="7.6"/>
    <x v="0"/>
    <n v="6"/>
    <n v="3"/>
    <n v="1"/>
    <n v="0"/>
    <n v="0"/>
    <n v="0"/>
    <n v="0"/>
    <x v="2"/>
    <x v="2"/>
    <x v="2"/>
  </r>
  <r>
    <n v="980"/>
    <n v="57"/>
    <x v="0"/>
    <x v="2"/>
    <n v="9.8000000000000007"/>
    <n v="3.2"/>
    <x v="2"/>
    <x v="1"/>
    <n v="6.9"/>
    <n v="4"/>
    <n v="10.6"/>
    <x v="2"/>
    <n v="4"/>
    <n v="1"/>
    <n v="0"/>
    <n v="1"/>
    <n v="0"/>
    <n v="1"/>
    <n v="1"/>
    <x v="0"/>
    <x v="1"/>
    <x v="0"/>
  </r>
  <r>
    <n v="981"/>
    <n v="40"/>
    <x v="0"/>
    <x v="2"/>
    <n v="3.2"/>
    <n v="1.7"/>
    <x v="1"/>
    <x v="0"/>
    <n v="5.5"/>
    <n v="9"/>
    <n v="4.3"/>
    <x v="1"/>
    <n v="5"/>
    <n v="3"/>
    <n v="0"/>
    <n v="1"/>
    <n v="1"/>
    <n v="1"/>
    <n v="1"/>
    <x v="0"/>
    <x v="0"/>
    <x v="2"/>
  </r>
  <r>
    <n v="982"/>
    <n v="33"/>
    <x v="0"/>
    <x v="2"/>
    <n v="8.3000000000000007"/>
    <n v="4.7"/>
    <x v="1"/>
    <x v="0"/>
    <n v="8.6"/>
    <n v="5"/>
    <n v="10.1"/>
    <x v="1"/>
    <n v="5"/>
    <n v="4"/>
    <n v="1"/>
    <n v="1"/>
    <n v="1"/>
    <n v="0"/>
    <n v="1"/>
    <x v="2"/>
    <x v="1"/>
    <x v="0"/>
  </r>
  <r>
    <n v="983"/>
    <n v="55"/>
    <x v="0"/>
    <x v="0"/>
    <n v="3.2"/>
    <n v="1.4"/>
    <x v="1"/>
    <x v="0"/>
    <n v="7.7"/>
    <n v="3"/>
    <n v="3.8"/>
    <x v="0"/>
    <n v="4"/>
    <n v="1"/>
    <n v="1"/>
    <n v="0"/>
    <n v="0"/>
    <n v="0"/>
    <n v="0"/>
    <x v="2"/>
    <x v="2"/>
    <x v="2"/>
  </r>
  <r>
    <n v="984"/>
    <n v="23"/>
    <x v="1"/>
    <x v="1"/>
    <n v="2.7"/>
    <n v="1.8"/>
    <x v="1"/>
    <x v="0"/>
    <n v="4.2"/>
    <n v="6"/>
    <n v="10.1"/>
    <x v="0"/>
    <n v="4"/>
    <n v="3"/>
    <n v="0"/>
    <n v="0"/>
    <n v="1"/>
    <n v="0"/>
    <n v="0"/>
    <x v="1"/>
    <x v="1"/>
    <x v="2"/>
  </r>
  <r>
    <n v="985"/>
    <n v="54"/>
    <x v="1"/>
    <x v="2"/>
    <n v="11.1"/>
    <n v="2.5"/>
    <x v="2"/>
    <x v="1"/>
    <n v="3.8"/>
    <n v="3"/>
    <n v="11.4"/>
    <x v="2"/>
    <n v="4"/>
    <n v="0"/>
    <n v="1"/>
    <n v="1"/>
    <n v="1"/>
    <n v="0"/>
    <n v="1"/>
    <x v="1"/>
    <x v="2"/>
    <x v="0"/>
  </r>
  <r>
    <n v="986"/>
    <n v="55"/>
    <x v="1"/>
    <x v="1"/>
    <n v="3.9"/>
    <n v="4.3"/>
    <x v="1"/>
    <x v="0"/>
    <n v="7.1"/>
    <n v="5"/>
    <n v="5.4"/>
    <x v="2"/>
    <n v="2"/>
    <n v="2"/>
    <n v="0"/>
    <n v="0"/>
    <n v="0"/>
    <n v="1"/>
    <n v="1"/>
    <x v="2"/>
    <x v="1"/>
    <x v="2"/>
  </r>
  <r>
    <n v="987"/>
    <n v="29"/>
    <x v="0"/>
    <x v="1"/>
    <n v="10.199999999999999"/>
    <n v="4"/>
    <x v="2"/>
    <x v="1"/>
    <n v="6.4"/>
    <n v="3"/>
    <n v="7.3"/>
    <x v="0"/>
    <n v="1"/>
    <n v="1"/>
    <n v="0"/>
    <n v="0"/>
    <n v="1"/>
    <n v="0"/>
    <n v="1"/>
    <x v="0"/>
    <x v="2"/>
    <x v="0"/>
  </r>
  <r>
    <n v="988"/>
    <n v="47"/>
    <x v="1"/>
    <x v="0"/>
    <n v="7.4"/>
    <n v="6.6"/>
    <x v="2"/>
    <x v="1"/>
    <n v="7.7"/>
    <n v="6"/>
    <n v="8.6"/>
    <x v="0"/>
    <n v="2"/>
    <n v="0"/>
    <n v="1"/>
    <n v="1"/>
    <n v="0"/>
    <n v="0"/>
    <n v="1"/>
    <x v="2"/>
    <x v="1"/>
    <x v="1"/>
  </r>
  <r>
    <n v="989"/>
    <n v="53"/>
    <x v="0"/>
    <x v="2"/>
    <n v="2.8"/>
    <n v="6.2"/>
    <x v="1"/>
    <x v="0"/>
    <n v="7.4"/>
    <n v="10"/>
    <n v="2.8"/>
    <x v="2"/>
    <n v="7"/>
    <n v="4"/>
    <n v="1"/>
    <n v="1"/>
    <n v="1"/>
    <n v="1"/>
    <n v="0"/>
    <x v="2"/>
    <x v="0"/>
    <x v="2"/>
  </r>
  <r>
    <n v="990"/>
    <n v="48"/>
    <x v="0"/>
    <x v="2"/>
    <n v="11.6"/>
    <n v="4"/>
    <x v="2"/>
    <x v="1"/>
    <n v="6.8"/>
    <n v="5"/>
    <n v="6.9"/>
    <x v="0"/>
    <n v="1"/>
    <n v="2"/>
    <n v="0"/>
    <n v="0"/>
    <n v="0"/>
    <n v="0"/>
    <n v="0"/>
    <x v="0"/>
    <x v="1"/>
    <x v="0"/>
  </r>
  <r>
    <n v="991"/>
    <n v="38"/>
    <x v="0"/>
    <x v="1"/>
    <n v="4.5"/>
    <n v="3.3"/>
    <x v="2"/>
    <x v="1"/>
    <n v="8.9"/>
    <n v="9"/>
    <n v="5.6"/>
    <x v="0"/>
    <n v="6"/>
    <n v="1"/>
    <n v="0"/>
    <n v="0"/>
    <n v="0"/>
    <n v="0"/>
    <n v="1"/>
    <x v="2"/>
    <x v="0"/>
    <x v="1"/>
  </r>
  <r>
    <n v="992"/>
    <n v="30"/>
    <x v="0"/>
    <x v="2"/>
    <n v="10.6"/>
    <n v="3.2"/>
    <x v="1"/>
    <x v="0"/>
    <n v="6.2"/>
    <n v="3"/>
    <n v="10.7"/>
    <x v="0"/>
    <n v="4"/>
    <n v="2"/>
    <n v="1"/>
    <n v="1"/>
    <n v="1"/>
    <n v="0"/>
    <n v="1"/>
    <x v="0"/>
    <x v="2"/>
    <x v="0"/>
  </r>
  <r>
    <n v="993"/>
    <n v="48"/>
    <x v="0"/>
    <x v="1"/>
    <n v="3.7"/>
    <n v="6.4"/>
    <x v="2"/>
    <x v="1"/>
    <n v="3.7"/>
    <n v="6"/>
    <n v="10.8"/>
    <x v="0"/>
    <n v="2"/>
    <n v="1"/>
    <n v="0"/>
    <n v="1"/>
    <n v="0"/>
    <n v="0"/>
    <n v="0"/>
    <x v="1"/>
    <x v="1"/>
    <x v="2"/>
  </r>
  <r>
    <n v="994"/>
    <n v="40"/>
    <x v="0"/>
    <x v="1"/>
    <n v="10.5"/>
    <n v="1.4"/>
    <x v="2"/>
    <x v="1"/>
    <n v="8"/>
    <n v="8"/>
    <n v="9"/>
    <x v="1"/>
    <n v="3"/>
    <n v="1"/>
    <n v="0"/>
    <n v="1"/>
    <n v="1"/>
    <n v="1"/>
    <n v="1"/>
    <x v="2"/>
    <x v="0"/>
    <x v="0"/>
  </r>
  <r>
    <n v="995"/>
    <n v="32"/>
    <x v="1"/>
    <x v="0"/>
    <n v="2.1"/>
    <n v="1.1000000000000001"/>
    <x v="1"/>
    <x v="0"/>
    <n v="4.5"/>
    <n v="7"/>
    <n v="8.6"/>
    <x v="1"/>
    <n v="7"/>
    <n v="3"/>
    <n v="0"/>
    <n v="1"/>
    <n v="1"/>
    <n v="1"/>
    <n v="1"/>
    <x v="1"/>
    <x v="1"/>
    <x v="2"/>
  </r>
  <r>
    <n v="996"/>
    <n v="48"/>
    <x v="0"/>
    <x v="0"/>
    <n v="7.1"/>
    <n v="6.6"/>
    <x v="1"/>
    <x v="0"/>
    <n v="7.7"/>
    <n v="6"/>
    <n v="9.3000000000000007"/>
    <x v="0"/>
    <n v="6"/>
    <n v="2"/>
    <n v="1"/>
    <n v="1"/>
    <n v="1"/>
    <n v="1"/>
    <n v="1"/>
    <x v="2"/>
    <x v="1"/>
    <x v="1"/>
  </r>
  <r>
    <n v="997"/>
    <n v="17"/>
    <x v="1"/>
    <x v="0"/>
    <n v="9.6999999999999993"/>
    <n v="4.3"/>
    <x v="1"/>
    <x v="0"/>
    <n v="8.6999999999999993"/>
    <n v="2"/>
    <n v="5.7"/>
    <x v="2"/>
    <n v="6"/>
    <n v="2"/>
    <n v="0"/>
    <n v="1"/>
    <n v="0"/>
    <n v="1"/>
    <n v="0"/>
    <x v="2"/>
    <x v="2"/>
    <x v="0"/>
  </r>
  <r>
    <n v="998"/>
    <n v="29"/>
    <x v="1"/>
    <x v="1"/>
    <n v="11.3"/>
    <n v="1.9"/>
    <x v="1"/>
    <x v="0"/>
    <n v="7.2"/>
    <n v="7"/>
    <n v="6"/>
    <x v="1"/>
    <n v="8"/>
    <n v="0"/>
    <n v="0"/>
    <n v="0"/>
    <n v="0"/>
    <n v="1"/>
    <n v="1"/>
    <x v="2"/>
    <x v="1"/>
    <x v="0"/>
  </r>
  <r>
    <n v="999"/>
    <n v="55"/>
    <x v="0"/>
    <x v="2"/>
    <n v="11.1"/>
    <n v="2.6"/>
    <x v="1"/>
    <x v="0"/>
    <n v="6.6"/>
    <n v="8"/>
    <n v="7.5"/>
    <x v="2"/>
    <n v="8"/>
    <n v="4"/>
    <n v="1"/>
    <n v="1"/>
    <n v="1"/>
    <n v="0"/>
    <n v="0"/>
    <x v="0"/>
    <x v="0"/>
    <x v="0"/>
  </r>
  <r>
    <n v="1000"/>
    <n v="55"/>
    <x v="0"/>
    <x v="0"/>
    <n v="10.199999999999999"/>
    <n v="7.5"/>
    <x v="2"/>
    <x v="1"/>
    <n v="5.8"/>
    <n v="1"/>
    <n v="11.4"/>
    <x v="2"/>
    <n v="6"/>
    <n v="0"/>
    <n v="0"/>
    <n v="1"/>
    <n v="1"/>
    <n v="1"/>
    <n v="1"/>
    <x v="0"/>
    <x v="2"/>
    <x v="0"/>
  </r>
  <r>
    <n v="1001"/>
    <n v="54"/>
    <x v="0"/>
    <x v="2"/>
    <n v="10.9"/>
    <n v="7"/>
    <x v="2"/>
    <x v="1"/>
    <n v="5.2"/>
    <n v="9"/>
    <n v="9.1999999999999993"/>
    <x v="1"/>
    <n v="1"/>
    <n v="3"/>
    <n v="0"/>
    <n v="0"/>
    <n v="1"/>
    <n v="1"/>
    <n v="0"/>
    <x v="0"/>
    <x v="0"/>
    <x v="0"/>
  </r>
  <r>
    <n v="1002"/>
    <n v="21"/>
    <x v="1"/>
    <x v="0"/>
    <n v="4"/>
    <n v="6"/>
    <x v="1"/>
    <x v="0"/>
    <n v="5.0999999999999996"/>
    <n v="4"/>
    <n v="7.5"/>
    <x v="2"/>
    <n v="10"/>
    <n v="1"/>
    <n v="1"/>
    <n v="1"/>
    <n v="0"/>
    <n v="1"/>
    <n v="0"/>
    <x v="0"/>
    <x v="1"/>
    <x v="2"/>
  </r>
  <r>
    <n v="1003"/>
    <n v="21"/>
    <x v="0"/>
    <x v="0"/>
    <n v="4.8"/>
    <n v="4.4000000000000004"/>
    <x v="1"/>
    <x v="0"/>
    <n v="6.8"/>
    <n v="8"/>
    <n v="9.6999999999999993"/>
    <x v="2"/>
    <n v="7"/>
    <n v="3"/>
    <n v="1"/>
    <n v="1"/>
    <n v="0"/>
    <n v="1"/>
    <n v="1"/>
    <x v="0"/>
    <x v="0"/>
    <x v="1"/>
  </r>
  <r>
    <n v="1004"/>
    <n v="18"/>
    <x v="1"/>
    <x v="1"/>
    <n v="4.9000000000000004"/>
    <n v="4.5999999999999996"/>
    <x v="2"/>
    <x v="1"/>
    <n v="7.5"/>
    <n v="10"/>
    <n v="5.7"/>
    <x v="0"/>
    <n v="8"/>
    <n v="3"/>
    <n v="1"/>
    <n v="0"/>
    <n v="1"/>
    <n v="1"/>
    <n v="0"/>
    <x v="2"/>
    <x v="0"/>
    <x v="1"/>
  </r>
  <r>
    <n v="1005"/>
    <n v="22"/>
    <x v="0"/>
    <x v="0"/>
    <n v="5.8"/>
    <n v="7.8"/>
    <x v="1"/>
    <x v="0"/>
    <n v="7.1"/>
    <n v="7"/>
    <n v="9.3000000000000007"/>
    <x v="0"/>
    <n v="5"/>
    <n v="0"/>
    <n v="1"/>
    <n v="0"/>
    <n v="1"/>
    <n v="1"/>
    <n v="1"/>
    <x v="2"/>
    <x v="1"/>
    <x v="1"/>
  </r>
  <r>
    <n v="1006"/>
    <n v="23"/>
    <x v="0"/>
    <x v="0"/>
    <n v="5.9"/>
    <n v="7.8"/>
    <x v="1"/>
    <x v="0"/>
    <n v="4.2"/>
    <n v="10"/>
    <n v="6.1"/>
    <x v="0"/>
    <n v="4"/>
    <n v="1"/>
    <n v="1"/>
    <n v="1"/>
    <n v="1"/>
    <n v="0"/>
    <n v="0"/>
    <x v="1"/>
    <x v="0"/>
    <x v="1"/>
  </r>
  <r>
    <n v="1007"/>
    <n v="57"/>
    <x v="1"/>
    <x v="1"/>
    <n v="7.4"/>
    <n v="2.5"/>
    <x v="2"/>
    <x v="1"/>
    <n v="6"/>
    <n v="7"/>
    <n v="4.8"/>
    <x v="1"/>
    <n v="7"/>
    <n v="4"/>
    <n v="0"/>
    <n v="0"/>
    <n v="1"/>
    <n v="1"/>
    <n v="0"/>
    <x v="0"/>
    <x v="1"/>
    <x v="1"/>
  </r>
  <r>
    <n v="1008"/>
    <n v="30"/>
    <x v="1"/>
    <x v="2"/>
    <n v="3.6"/>
    <n v="6.7"/>
    <x v="2"/>
    <x v="1"/>
    <n v="7.7"/>
    <n v="2"/>
    <n v="8.1"/>
    <x v="0"/>
    <n v="6"/>
    <n v="3"/>
    <n v="0"/>
    <n v="1"/>
    <n v="1"/>
    <n v="1"/>
    <n v="0"/>
    <x v="2"/>
    <x v="2"/>
    <x v="2"/>
  </r>
  <r>
    <n v="1009"/>
    <n v="44"/>
    <x v="0"/>
    <x v="0"/>
    <n v="8.9"/>
    <n v="2.4"/>
    <x v="2"/>
    <x v="1"/>
    <n v="5.9"/>
    <n v="1"/>
    <n v="8.9"/>
    <x v="2"/>
    <n v="6"/>
    <n v="4"/>
    <n v="1"/>
    <n v="1"/>
    <n v="0"/>
    <n v="1"/>
    <n v="1"/>
    <x v="0"/>
    <x v="2"/>
    <x v="0"/>
  </r>
  <r>
    <n v="1010"/>
    <n v="48"/>
    <x v="1"/>
    <x v="1"/>
    <n v="3.7"/>
    <n v="2.5"/>
    <x v="1"/>
    <x v="0"/>
    <n v="6.2"/>
    <n v="4"/>
    <n v="6.6"/>
    <x v="2"/>
    <n v="3"/>
    <n v="1"/>
    <n v="0"/>
    <n v="0"/>
    <n v="1"/>
    <n v="0"/>
    <n v="1"/>
    <x v="0"/>
    <x v="1"/>
    <x v="2"/>
  </r>
  <r>
    <n v="1011"/>
    <n v="45"/>
    <x v="1"/>
    <x v="0"/>
    <n v="5.0999999999999996"/>
    <n v="5.7"/>
    <x v="2"/>
    <x v="1"/>
    <n v="7.6"/>
    <n v="2"/>
    <n v="7.7"/>
    <x v="2"/>
    <n v="10"/>
    <n v="1"/>
    <n v="1"/>
    <n v="1"/>
    <n v="0"/>
    <n v="1"/>
    <n v="0"/>
    <x v="2"/>
    <x v="2"/>
    <x v="1"/>
  </r>
  <r>
    <n v="1012"/>
    <n v="54"/>
    <x v="1"/>
    <x v="1"/>
    <n v="7"/>
    <n v="3.8"/>
    <x v="1"/>
    <x v="0"/>
    <n v="7"/>
    <n v="8"/>
    <n v="8.9"/>
    <x v="2"/>
    <n v="4"/>
    <n v="0"/>
    <n v="0"/>
    <n v="1"/>
    <n v="1"/>
    <n v="1"/>
    <n v="1"/>
    <x v="2"/>
    <x v="0"/>
    <x v="1"/>
  </r>
  <r>
    <n v="1013"/>
    <n v="42"/>
    <x v="1"/>
    <x v="2"/>
    <n v="10"/>
    <n v="7.5"/>
    <x v="2"/>
    <x v="1"/>
    <n v="5.5"/>
    <n v="10"/>
    <n v="9.6999999999999993"/>
    <x v="2"/>
    <n v="5"/>
    <n v="2"/>
    <n v="0"/>
    <n v="1"/>
    <n v="0"/>
    <n v="1"/>
    <n v="1"/>
    <x v="0"/>
    <x v="0"/>
    <x v="0"/>
  </r>
  <r>
    <n v="1014"/>
    <n v="51"/>
    <x v="1"/>
    <x v="2"/>
    <n v="9.4"/>
    <n v="1.6"/>
    <x v="1"/>
    <x v="0"/>
    <n v="8.4"/>
    <n v="7"/>
    <n v="11"/>
    <x v="1"/>
    <n v="9"/>
    <n v="0"/>
    <n v="0"/>
    <n v="1"/>
    <n v="0"/>
    <n v="1"/>
    <n v="1"/>
    <x v="2"/>
    <x v="1"/>
    <x v="0"/>
  </r>
  <r>
    <n v="1015"/>
    <n v="44"/>
    <x v="0"/>
    <x v="1"/>
    <n v="8.5"/>
    <n v="4.5999999999999996"/>
    <x v="1"/>
    <x v="0"/>
    <n v="4"/>
    <n v="8"/>
    <n v="5.5"/>
    <x v="2"/>
    <n v="8"/>
    <n v="4"/>
    <n v="1"/>
    <n v="0"/>
    <n v="0"/>
    <n v="1"/>
    <n v="1"/>
    <x v="1"/>
    <x v="0"/>
    <x v="0"/>
  </r>
  <r>
    <n v="1016"/>
    <n v="53"/>
    <x v="0"/>
    <x v="1"/>
    <n v="3.6"/>
    <n v="7.4"/>
    <x v="1"/>
    <x v="0"/>
    <n v="9"/>
    <n v="6"/>
    <n v="11.5"/>
    <x v="1"/>
    <n v="3"/>
    <n v="0"/>
    <n v="1"/>
    <n v="0"/>
    <n v="1"/>
    <n v="0"/>
    <n v="1"/>
    <x v="2"/>
    <x v="1"/>
    <x v="2"/>
  </r>
  <r>
    <n v="1017"/>
    <n v="48"/>
    <x v="1"/>
    <x v="1"/>
    <n v="7.5"/>
    <n v="7.3"/>
    <x v="2"/>
    <x v="1"/>
    <n v="3.7"/>
    <n v="1"/>
    <n v="8.4"/>
    <x v="2"/>
    <n v="6"/>
    <n v="1"/>
    <n v="1"/>
    <n v="1"/>
    <n v="0"/>
    <n v="0"/>
    <n v="0"/>
    <x v="1"/>
    <x v="2"/>
    <x v="1"/>
  </r>
  <r>
    <n v="1018"/>
    <n v="52"/>
    <x v="0"/>
    <x v="2"/>
    <n v="2.9"/>
    <n v="2.1"/>
    <x v="2"/>
    <x v="1"/>
    <n v="3.1"/>
    <n v="9"/>
    <n v="9.9"/>
    <x v="1"/>
    <n v="10"/>
    <n v="3"/>
    <n v="0"/>
    <n v="1"/>
    <n v="0"/>
    <n v="1"/>
    <n v="1"/>
    <x v="1"/>
    <x v="0"/>
    <x v="2"/>
  </r>
  <r>
    <n v="1019"/>
    <n v="42"/>
    <x v="0"/>
    <x v="0"/>
    <n v="5.8"/>
    <n v="3.6"/>
    <x v="2"/>
    <x v="1"/>
    <n v="8.3000000000000007"/>
    <n v="6"/>
    <n v="9"/>
    <x v="1"/>
    <n v="1"/>
    <n v="2"/>
    <n v="1"/>
    <n v="1"/>
    <n v="0"/>
    <n v="0"/>
    <n v="1"/>
    <x v="2"/>
    <x v="1"/>
    <x v="1"/>
  </r>
  <r>
    <n v="1020"/>
    <n v="48"/>
    <x v="1"/>
    <x v="2"/>
    <n v="6.1"/>
    <n v="5.3"/>
    <x v="1"/>
    <x v="0"/>
    <n v="4.5"/>
    <n v="10"/>
    <n v="4.0999999999999996"/>
    <x v="2"/>
    <n v="3"/>
    <n v="1"/>
    <n v="0"/>
    <n v="1"/>
    <n v="1"/>
    <n v="0"/>
    <n v="0"/>
    <x v="1"/>
    <x v="0"/>
    <x v="1"/>
  </r>
  <r>
    <n v="1021"/>
    <n v="19"/>
    <x v="0"/>
    <x v="1"/>
    <n v="2.4"/>
    <n v="2.1"/>
    <x v="2"/>
    <x v="1"/>
    <n v="7.4"/>
    <n v="1"/>
    <n v="2.7"/>
    <x v="2"/>
    <n v="10"/>
    <n v="3"/>
    <n v="0"/>
    <n v="1"/>
    <n v="0"/>
    <n v="0"/>
    <n v="0"/>
    <x v="2"/>
    <x v="2"/>
    <x v="2"/>
  </r>
  <r>
    <n v="1022"/>
    <n v="37"/>
    <x v="1"/>
    <x v="1"/>
    <n v="4.7"/>
    <n v="7.8"/>
    <x v="2"/>
    <x v="1"/>
    <n v="7.9"/>
    <n v="1"/>
    <n v="9.3000000000000007"/>
    <x v="2"/>
    <n v="7"/>
    <n v="4"/>
    <n v="1"/>
    <n v="0"/>
    <n v="0"/>
    <n v="0"/>
    <n v="1"/>
    <x v="2"/>
    <x v="2"/>
    <x v="1"/>
  </r>
  <r>
    <n v="1023"/>
    <n v="17"/>
    <x v="1"/>
    <x v="2"/>
    <n v="11.6"/>
    <n v="7.4"/>
    <x v="1"/>
    <x v="0"/>
    <n v="8.1999999999999993"/>
    <n v="8"/>
    <n v="7.1"/>
    <x v="2"/>
    <n v="7"/>
    <n v="4"/>
    <n v="0"/>
    <n v="0"/>
    <n v="1"/>
    <n v="1"/>
    <n v="1"/>
    <x v="2"/>
    <x v="0"/>
    <x v="0"/>
  </r>
  <r>
    <n v="1024"/>
    <n v="25"/>
    <x v="0"/>
    <x v="1"/>
    <n v="11.5"/>
    <n v="2.2000000000000002"/>
    <x v="1"/>
    <x v="0"/>
    <n v="8.9"/>
    <n v="6"/>
    <n v="9"/>
    <x v="0"/>
    <n v="2"/>
    <n v="4"/>
    <n v="0"/>
    <n v="0"/>
    <n v="1"/>
    <n v="1"/>
    <n v="0"/>
    <x v="2"/>
    <x v="1"/>
    <x v="0"/>
  </r>
  <r>
    <n v="1025"/>
    <n v="20"/>
    <x v="1"/>
    <x v="2"/>
    <n v="5.5"/>
    <n v="1.8"/>
    <x v="2"/>
    <x v="1"/>
    <n v="4.8"/>
    <n v="8"/>
    <n v="6.8"/>
    <x v="0"/>
    <n v="3"/>
    <n v="0"/>
    <n v="0"/>
    <n v="1"/>
    <n v="1"/>
    <n v="1"/>
    <n v="1"/>
    <x v="1"/>
    <x v="0"/>
    <x v="1"/>
  </r>
  <r>
    <n v="1026"/>
    <n v="25"/>
    <x v="1"/>
    <x v="1"/>
    <n v="2.4"/>
    <n v="1.6"/>
    <x v="2"/>
    <x v="1"/>
    <n v="7.3"/>
    <n v="8"/>
    <n v="5.0999999999999996"/>
    <x v="1"/>
    <n v="7"/>
    <n v="4"/>
    <n v="1"/>
    <n v="1"/>
    <n v="0"/>
    <n v="0"/>
    <n v="1"/>
    <x v="2"/>
    <x v="0"/>
    <x v="2"/>
  </r>
  <r>
    <n v="1027"/>
    <n v="48"/>
    <x v="1"/>
    <x v="0"/>
    <n v="3.8"/>
    <n v="7.4"/>
    <x v="2"/>
    <x v="1"/>
    <n v="3.7"/>
    <n v="8"/>
    <n v="4.9000000000000004"/>
    <x v="1"/>
    <n v="6"/>
    <n v="4"/>
    <n v="1"/>
    <n v="1"/>
    <n v="1"/>
    <n v="1"/>
    <n v="0"/>
    <x v="1"/>
    <x v="0"/>
    <x v="2"/>
  </r>
  <r>
    <n v="1028"/>
    <n v="53"/>
    <x v="1"/>
    <x v="0"/>
    <n v="5.9"/>
    <n v="2.4"/>
    <x v="1"/>
    <x v="0"/>
    <n v="5.4"/>
    <n v="10"/>
    <n v="9.3000000000000007"/>
    <x v="0"/>
    <n v="7"/>
    <n v="0"/>
    <n v="1"/>
    <n v="0"/>
    <n v="0"/>
    <n v="1"/>
    <n v="1"/>
    <x v="0"/>
    <x v="0"/>
    <x v="1"/>
  </r>
  <r>
    <n v="1029"/>
    <n v="28"/>
    <x v="1"/>
    <x v="1"/>
    <n v="11.5"/>
    <n v="3.9"/>
    <x v="2"/>
    <x v="1"/>
    <n v="8.1"/>
    <n v="7"/>
    <n v="4.8"/>
    <x v="1"/>
    <n v="10"/>
    <n v="3"/>
    <n v="0"/>
    <n v="1"/>
    <n v="1"/>
    <n v="1"/>
    <n v="0"/>
    <x v="2"/>
    <x v="1"/>
    <x v="0"/>
  </r>
  <r>
    <n v="1030"/>
    <n v="46"/>
    <x v="0"/>
    <x v="2"/>
    <n v="3.4"/>
    <n v="4.0999999999999996"/>
    <x v="1"/>
    <x v="0"/>
    <n v="5.2"/>
    <n v="7"/>
    <n v="9.1"/>
    <x v="2"/>
    <n v="9"/>
    <n v="1"/>
    <n v="0"/>
    <n v="0"/>
    <n v="1"/>
    <n v="0"/>
    <n v="1"/>
    <x v="0"/>
    <x v="1"/>
    <x v="2"/>
  </r>
  <r>
    <n v="1031"/>
    <n v="51"/>
    <x v="0"/>
    <x v="0"/>
    <n v="9.6"/>
    <n v="5.2"/>
    <x v="1"/>
    <x v="0"/>
    <n v="6.5"/>
    <n v="10"/>
    <n v="5.8"/>
    <x v="1"/>
    <n v="8"/>
    <n v="2"/>
    <n v="1"/>
    <n v="1"/>
    <n v="1"/>
    <n v="1"/>
    <n v="0"/>
    <x v="0"/>
    <x v="0"/>
    <x v="0"/>
  </r>
  <r>
    <n v="1032"/>
    <n v="39"/>
    <x v="1"/>
    <x v="2"/>
    <n v="3.1"/>
    <n v="1.5"/>
    <x v="2"/>
    <x v="1"/>
    <n v="6"/>
    <n v="4"/>
    <n v="9.6999999999999993"/>
    <x v="1"/>
    <n v="6"/>
    <n v="4"/>
    <n v="0"/>
    <n v="1"/>
    <n v="0"/>
    <n v="1"/>
    <n v="0"/>
    <x v="0"/>
    <x v="1"/>
    <x v="2"/>
  </r>
  <r>
    <n v="1033"/>
    <n v="30"/>
    <x v="1"/>
    <x v="1"/>
    <n v="11.8"/>
    <n v="2.6"/>
    <x v="2"/>
    <x v="1"/>
    <n v="6.9"/>
    <n v="9"/>
    <n v="3.4"/>
    <x v="1"/>
    <n v="4"/>
    <n v="4"/>
    <n v="1"/>
    <n v="1"/>
    <n v="1"/>
    <n v="1"/>
    <n v="0"/>
    <x v="0"/>
    <x v="0"/>
    <x v="0"/>
  </r>
  <r>
    <n v="1034"/>
    <n v="44"/>
    <x v="0"/>
    <x v="2"/>
    <n v="5.8"/>
    <n v="7.5"/>
    <x v="1"/>
    <x v="0"/>
    <n v="8.8000000000000007"/>
    <n v="2"/>
    <n v="4"/>
    <x v="0"/>
    <n v="10"/>
    <n v="4"/>
    <n v="1"/>
    <n v="1"/>
    <n v="0"/>
    <n v="1"/>
    <n v="0"/>
    <x v="2"/>
    <x v="2"/>
    <x v="1"/>
  </r>
  <r>
    <n v="1035"/>
    <n v="23"/>
    <x v="1"/>
    <x v="0"/>
    <n v="9.8000000000000007"/>
    <n v="7.4"/>
    <x v="1"/>
    <x v="0"/>
    <n v="3.3"/>
    <n v="9"/>
    <n v="8.9"/>
    <x v="0"/>
    <n v="9"/>
    <n v="0"/>
    <n v="1"/>
    <n v="0"/>
    <n v="1"/>
    <n v="1"/>
    <n v="0"/>
    <x v="1"/>
    <x v="0"/>
    <x v="0"/>
  </r>
  <r>
    <n v="1036"/>
    <n v="20"/>
    <x v="0"/>
    <x v="2"/>
    <n v="5.4"/>
    <n v="6.5"/>
    <x v="2"/>
    <x v="1"/>
    <n v="6.4"/>
    <n v="10"/>
    <n v="7.6"/>
    <x v="1"/>
    <n v="7"/>
    <n v="0"/>
    <n v="1"/>
    <n v="1"/>
    <n v="1"/>
    <n v="0"/>
    <n v="1"/>
    <x v="0"/>
    <x v="0"/>
    <x v="1"/>
  </r>
  <r>
    <n v="1037"/>
    <n v="44"/>
    <x v="1"/>
    <x v="2"/>
    <n v="8.3000000000000007"/>
    <n v="1.1000000000000001"/>
    <x v="2"/>
    <x v="1"/>
    <n v="8.1999999999999993"/>
    <n v="3"/>
    <n v="4"/>
    <x v="2"/>
    <n v="5"/>
    <n v="0"/>
    <n v="0"/>
    <n v="1"/>
    <n v="0"/>
    <n v="0"/>
    <n v="0"/>
    <x v="2"/>
    <x v="2"/>
    <x v="0"/>
  </r>
  <r>
    <n v="1038"/>
    <n v="19"/>
    <x v="1"/>
    <x v="1"/>
    <n v="3.9"/>
    <n v="3.3"/>
    <x v="2"/>
    <x v="1"/>
    <n v="5.9"/>
    <n v="2"/>
    <n v="11"/>
    <x v="1"/>
    <n v="2"/>
    <n v="2"/>
    <n v="0"/>
    <n v="0"/>
    <n v="0"/>
    <n v="0"/>
    <n v="0"/>
    <x v="0"/>
    <x v="2"/>
    <x v="2"/>
  </r>
  <r>
    <n v="1039"/>
    <n v="27"/>
    <x v="1"/>
    <x v="1"/>
    <n v="3.5"/>
    <n v="5.4"/>
    <x v="1"/>
    <x v="0"/>
    <n v="3.5"/>
    <n v="4"/>
    <n v="4.8"/>
    <x v="0"/>
    <n v="9"/>
    <n v="1"/>
    <n v="0"/>
    <n v="0"/>
    <n v="1"/>
    <n v="0"/>
    <n v="1"/>
    <x v="1"/>
    <x v="1"/>
    <x v="2"/>
  </r>
  <r>
    <n v="1040"/>
    <n v="17"/>
    <x v="1"/>
    <x v="1"/>
    <n v="11.4"/>
    <n v="2.9"/>
    <x v="1"/>
    <x v="0"/>
    <n v="6.4"/>
    <n v="5"/>
    <n v="6.2"/>
    <x v="2"/>
    <n v="7"/>
    <n v="4"/>
    <n v="1"/>
    <n v="0"/>
    <n v="1"/>
    <n v="1"/>
    <n v="0"/>
    <x v="0"/>
    <x v="1"/>
    <x v="0"/>
  </r>
  <r>
    <n v="1041"/>
    <n v="42"/>
    <x v="1"/>
    <x v="0"/>
    <n v="11.2"/>
    <n v="7.4"/>
    <x v="2"/>
    <x v="1"/>
    <n v="5"/>
    <n v="2"/>
    <n v="4"/>
    <x v="1"/>
    <n v="9"/>
    <n v="3"/>
    <n v="0"/>
    <n v="1"/>
    <n v="1"/>
    <n v="1"/>
    <n v="0"/>
    <x v="0"/>
    <x v="2"/>
    <x v="0"/>
  </r>
  <r>
    <n v="1042"/>
    <n v="46"/>
    <x v="1"/>
    <x v="0"/>
    <n v="10.9"/>
    <n v="5.4"/>
    <x v="1"/>
    <x v="0"/>
    <n v="3.9"/>
    <n v="1"/>
    <n v="5.9"/>
    <x v="0"/>
    <n v="9"/>
    <n v="4"/>
    <n v="1"/>
    <n v="1"/>
    <n v="0"/>
    <n v="1"/>
    <n v="1"/>
    <x v="1"/>
    <x v="2"/>
    <x v="0"/>
  </r>
  <r>
    <n v="1043"/>
    <n v="51"/>
    <x v="1"/>
    <x v="1"/>
    <n v="8.3000000000000007"/>
    <n v="1.5"/>
    <x v="1"/>
    <x v="0"/>
    <n v="8.1"/>
    <n v="10"/>
    <n v="6.9"/>
    <x v="2"/>
    <n v="10"/>
    <n v="4"/>
    <n v="1"/>
    <n v="1"/>
    <n v="1"/>
    <n v="1"/>
    <n v="1"/>
    <x v="2"/>
    <x v="0"/>
    <x v="0"/>
  </r>
  <r>
    <n v="1044"/>
    <n v="51"/>
    <x v="0"/>
    <x v="1"/>
    <n v="10.1"/>
    <n v="7.4"/>
    <x v="2"/>
    <x v="1"/>
    <n v="6.1"/>
    <n v="5"/>
    <n v="5"/>
    <x v="1"/>
    <n v="5"/>
    <n v="4"/>
    <n v="1"/>
    <n v="1"/>
    <n v="1"/>
    <n v="0"/>
    <n v="0"/>
    <x v="0"/>
    <x v="1"/>
    <x v="0"/>
  </r>
  <r>
    <n v="1045"/>
    <n v="41"/>
    <x v="0"/>
    <x v="0"/>
    <n v="2.7"/>
    <n v="7.7"/>
    <x v="1"/>
    <x v="0"/>
    <n v="8.6"/>
    <n v="9"/>
    <n v="9.6999999999999993"/>
    <x v="0"/>
    <n v="7"/>
    <n v="4"/>
    <n v="0"/>
    <n v="0"/>
    <n v="1"/>
    <n v="0"/>
    <n v="1"/>
    <x v="2"/>
    <x v="0"/>
    <x v="2"/>
  </r>
  <r>
    <n v="1046"/>
    <n v="58"/>
    <x v="0"/>
    <x v="0"/>
    <n v="5.3"/>
    <n v="1.5"/>
    <x v="2"/>
    <x v="1"/>
    <n v="7.8"/>
    <n v="5"/>
    <n v="5.9"/>
    <x v="2"/>
    <n v="5"/>
    <n v="1"/>
    <n v="1"/>
    <n v="0"/>
    <n v="0"/>
    <n v="1"/>
    <n v="0"/>
    <x v="2"/>
    <x v="1"/>
    <x v="1"/>
  </r>
  <r>
    <n v="1047"/>
    <n v="42"/>
    <x v="1"/>
    <x v="0"/>
    <n v="5.0999999999999996"/>
    <n v="4.7"/>
    <x v="2"/>
    <x v="1"/>
    <n v="7.2"/>
    <n v="10"/>
    <n v="9.3000000000000007"/>
    <x v="1"/>
    <n v="3"/>
    <n v="3"/>
    <n v="0"/>
    <n v="0"/>
    <n v="1"/>
    <n v="1"/>
    <n v="1"/>
    <x v="2"/>
    <x v="0"/>
    <x v="1"/>
  </r>
  <r>
    <n v="1048"/>
    <n v="20"/>
    <x v="1"/>
    <x v="0"/>
    <n v="8.4"/>
    <n v="3.1"/>
    <x v="1"/>
    <x v="0"/>
    <n v="3"/>
    <n v="9"/>
    <n v="4.0999999999999996"/>
    <x v="2"/>
    <n v="10"/>
    <n v="0"/>
    <n v="0"/>
    <n v="0"/>
    <n v="1"/>
    <n v="1"/>
    <n v="0"/>
    <x v="1"/>
    <x v="0"/>
    <x v="0"/>
  </r>
  <r>
    <n v="1049"/>
    <n v="35"/>
    <x v="1"/>
    <x v="1"/>
    <n v="5.6"/>
    <n v="3.7"/>
    <x v="1"/>
    <x v="0"/>
    <n v="5.6"/>
    <n v="10"/>
    <n v="5.8"/>
    <x v="2"/>
    <n v="8"/>
    <n v="3"/>
    <n v="0"/>
    <n v="0"/>
    <n v="0"/>
    <n v="1"/>
    <n v="0"/>
    <x v="0"/>
    <x v="0"/>
    <x v="1"/>
  </r>
  <r>
    <n v="1050"/>
    <n v="26"/>
    <x v="1"/>
    <x v="0"/>
    <n v="3.5"/>
    <n v="2.2999999999999998"/>
    <x v="2"/>
    <x v="1"/>
    <n v="4.2"/>
    <n v="6"/>
    <n v="2.1"/>
    <x v="2"/>
    <n v="8"/>
    <n v="4"/>
    <n v="0"/>
    <n v="1"/>
    <n v="0"/>
    <n v="0"/>
    <n v="1"/>
    <x v="1"/>
    <x v="1"/>
    <x v="2"/>
  </r>
  <r>
    <n v="1051"/>
    <n v="25"/>
    <x v="1"/>
    <x v="1"/>
    <n v="8"/>
    <n v="5"/>
    <x v="1"/>
    <x v="0"/>
    <n v="8.5"/>
    <n v="3"/>
    <n v="9.6"/>
    <x v="0"/>
    <n v="9"/>
    <n v="3"/>
    <n v="0"/>
    <n v="1"/>
    <n v="1"/>
    <n v="0"/>
    <n v="0"/>
    <x v="2"/>
    <x v="2"/>
    <x v="1"/>
  </r>
  <r>
    <n v="1052"/>
    <n v="55"/>
    <x v="1"/>
    <x v="2"/>
    <n v="10.1"/>
    <n v="7.7"/>
    <x v="2"/>
    <x v="1"/>
    <n v="4"/>
    <n v="4"/>
    <n v="8.3000000000000007"/>
    <x v="1"/>
    <n v="6"/>
    <n v="4"/>
    <n v="0"/>
    <n v="1"/>
    <n v="1"/>
    <n v="0"/>
    <n v="1"/>
    <x v="1"/>
    <x v="1"/>
    <x v="0"/>
  </r>
  <r>
    <n v="1053"/>
    <n v="53"/>
    <x v="1"/>
    <x v="2"/>
    <n v="5.8"/>
    <n v="4.5"/>
    <x v="1"/>
    <x v="0"/>
    <n v="4.7"/>
    <n v="4"/>
    <n v="10.199999999999999"/>
    <x v="2"/>
    <n v="2"/>
    <n v="3"/>
    <n v="0"/>
    <n v="0"/>
    <n v="0"/>
    <n v="0"/>
    <n v="1"/>
    <x v="1"/>
    <x v="1"/>
    <x v="1"/>
  </r>
  <r>
    <n v="1054"/>
    <n v="21"/>
    <x v="0"/>
    <x v="0"/>
    <n v="3.3"/>
    <n v="1.6"/>
    <x v="1"/>
    <x v="0"/>
    <n v="6.1"/>
    <n v="1"/>
    <n v="6.6"/>
    <x v="2"/>
    <n v="3"/>
    <n v="2"/>
    <n v="0"/>
    <n v="0"/>
    <n v="0"/>
    <n v="0"/>
    <n v="0"/>
    <x v="0"/>
    <x v="2"/>
    <x v="2"/>
  </r>
  <r>
    <n v="1055"/>
    <n v="23"/>
    <x v="1"/>
    <x v="2"/>
    <n v="4"/>
    <n v="5.3"/>
    <x v="1"/>
    <x v="0"/>
    <n v="4.5999999999999996"/>
    <n v="3"/>
    <n v="10"/>
    <x v="2"/>
    <n v="10"/>
    <n v="3"/>
    <n v="1"/>
    <n v="1"/>
    <n v="0"/>
    <n v="0"/>
    <n v="1"/>
    <x v="1"/>
    <x v="2"/>
    <x v="2"/>
  </r>
  <r>
    <n v="1056"/>
    <n v="38"/>
    <x v="0"/>
    <x v="2"/>
    <n v="4.4000000000000004"/>
    <n v="3.4"/>
    <x v="2"/>
    <x v="1"/>
    <n v="4.3"/>
    <n v="3"/>
    <n v="8.5"/>
    <x v="0"/>
    <n v="6"/>
    <n v="0"/>
    <n v="1"/>
    <n v="1"/>
    <n v="0"/>
    <n v="0"/>
    <n v="0"/>
    <x v="1"/>
    <x v="2"/>
    <x v="1"/>
  </r>
  <r>
    <n v="1057"/>
    <n v="41"/>
    <x v="0"/>
    <x v="2"/>
    <n v="5"/>
    <n v="7"/>
    <x v="1"/>
    <x v="0"/>
    <n v="6.6"/>
    <n v="1"/>
    <n v="2"/>
    <x v="2"/>
    <n v="1"/>
    <n v="0"/>
    <n v="0"/>
    <n v="1"/>
    <n v="0"/>
    <n v="0"/>
    <n v="0"/>
    <x v="0"/>
    <x v="2"/>
    <x v="1"/>
  </r>
  <r>
    <n v="1058"/>
    <n v="58"/>
    <x v="1"/>
    <x v="0"/>
    <n v="8.4"/>
    <n v="4"/>
    <x v="2"/>
    <x v="1"/>
    <n v="3.5"/>
    <n v="9"/>
    <n v="4.5"/>
    <x v="0"/>
    <n v="2"/>
    <n v="3"/>
    <n v="0"/>
    <n v="1"/>
    <n v="1"/>
    <n v="1"/>
    <n v="1"/>
    <x v="1"/>
    <x v="0"/>
    <x v="0"/>
  </r>
  <r>
    <n v="1059"/>
    <n v="27"/>
    <x v="1"/>
    <x v="0"/>
    <n v="8"/>
    <n v="2.2999999999999998"/>
    <x v="2"/>
    <x v="1"/>
    <n v="3.3"/>
    <n v="1"/>
    <n v="6.9"/>
    <x v="0"/>
    <n v="8"/>
    <n v="3"/>
    <n v="0"/>
    <n v="1"/>
    <n v="0"/>
    <n v="0"/>
    <n v="1"/>
    <x v="1"/>
    <x v="2"/>
    <x v="1"/>
  </r>
  <r>
    <n v="1060"/>
    <n v="41"/>
    <x v="0"/>
    <x v="2"/>
    <n v="9"/>
    <n v="2.2999999999999998"/>
    <x v="2"/>
    <x v="1"/>
    <n v="5.2"/>
    <n v="9"/>
    <n v="8.1999999999999993"/>
    <x v="2"/>
    <n v="8"/>
    <n v="1"/>
    <n v="0"/>
    <n v="1"/>
    <n v="1"/>
    <n v="1"/>
    <n v="0"/>
    <x v="0"/>
    <x v="0"/>
    <x v="0"/>
  </r>
  <r>
    <n v="1061"/>
    <n v="28"/>
    <x v="0"/>
    <x v="1"/>
    <n v="5.6"/>
    <n v="6.4"/>
    <x v="1"/>
    <x v="0"/>
    <n v="7.3"/>
    <n v="1"/>
    <n v="2.7"/>
    <x v="2"/>
    <n v="6"/>
    <n v="3"/>
    <n v="0"/>
    <n v="0"/>
    <n v="0"/>
    <n v="0"/>
    <n v="1"/>
    <x v="2"/>
    <x v="2"/>
    <x v="1"/>
  </r>
  <r>
    <n v="1062"/>
    <n v="55"/>
    <x v="1"/>
    <x v="2"/>
    <n v="10.199999999999999"/>
    <n v="2.9"/>
    <x v="2"/>
    <x v="1"/>
    <n v="6.3"/>
    <n v="2"/>
    <n v="9.1"/>
    <x v="0"/>
    <n v="3"/>
    <n v="0"/>
    <n v="1"/>
    <n v="1"/>
    <n v="1"/>
    <n v="1"/>
    <n v="0"/>
    <x v="0"/>
    <x v="2"/>
    <x v="0"/>
  </r>
  <r>
    <n v="1063"/>
    <n v="33"/>
    <x v="1"/>
    <x v="0"/>
    <n v="4"/>
    <n v="6.4"/>
    <x v="2"/>
    <x v="1"/>
    <n v="5.5"/>
    <n v="2"/>
    <n v="7.4"/>
    <x v="0"/>
    <n v="2"/>
    <n v="2"/>
    <n v="0"/>
    <n v="0"/>
    <n v="1"/>
    <n v="0"/>
    <n v="0"/>
    <x v="0"/>
    <x v="2"/>
    <x v="2"/>
  </r>
  <r>
    <n v="1064"/>
    <n v="40"/>
    <x v="0"/>
    <x v="0"/>
    <n v="6.7"/>
    <n v="2.4"/>
    <x v="1"/>
    <x v="0"/>
    <n v="6.4"/>
    <n v="6"/>
    <n v="7.3"/>
    <x v="2"/>
    <n v="6"/>
    <n v="0"/>
    <n v="0"/>
    <n v="1"/>
    <n v="0"/>
    <n v="0"/>
    <n v="0"/>
    <x v="0"/>
    <x v="1"/>
    <x v="1"/>
  </r>
  <r>
    <n v="1065"/>
    <n v="48"/>
    <x v="1"/>
    <x v="0"/>
    <n v="10"/>
    <n v="3.3"/>
    <x v="2"/>
    <x v="1"/>
    <n v="5.2"/>
    <n v="7"/>
    <n v="4.9000000000000004"/>
    <x v="0"/>
    <n v="1"/>
    <n v="1"/>
    <n v="0"/>
    <n v="0"/>
    <n v="1"/>
    <n v="1"/>
    <n v="1"/>
    <x v="0"/>
    <x v="1"/>
    <x v="0"/>
  </r>
  <r>
    <n v="1066"/>
    <n v="55"/>
    <x v="1"/>
    <x v="2"/>
    <n v="3.8"/>
    <n v="4.3"/>
    <x v="2"/>
    <x v="1"/>
    <n v="8.6"/>
    <n v="1"/>
    <n v="7.9"/>
    <x v="0"/>
    <n v="10"/>
    <n v="3"/>
    <n v="1"/>
    <n v="0"/>
    <n v="1"/>
    <n v="0"/>
    <n v="0"/>
    <x v="2"/>
    <x v="2"/>
    <x v="2"/>
  </r>
  <r>
    <n v="1067"/>
    <n v="58"/>
    <x v="1"/>
    <x v="1"/>
    <n v="3.1"/>
    <n v="7.6"/>
    <x v="1"/>
    <x v="0"/>
    <n v="3.3"/>
    <n v="3"/>
    <n v="2.2999999999999998"/>
    <x v="2"/>
    <n v="6"/>
    <n v="2"/>
    <n v="1"/>
    <n v="0"/>
    <n v="1"/>
    <n v="0"/>
    <n v="1"/>
    <x v="1"/>
    <x v="2"/>
    <x v="2"/>
  </r>
  <r>
    <n v="1068"/>
    <n v="27"/>
    <x v="0"/>
    <x v="0"/>
    <n v="10.8"/>
    <n v="7.5"/>
    <x v="2"/>
    <x v="1"/>
    <n v="7"/>
    <n v="2"/>
    <n v="2.6"/>
    <x v="2"/>
    <n v="9"/>
    <n v="0"/>
    <n v="0"/>
    <n v="1"/>
    <n v="1"/>
    <n v="0"/>
    <n v="1"/>
    <x v="2"/>
    <x v="2"/>
    <x v="0"/>
  </r>
  <r>
    <n v="1069"/>
    <n v="59"/>
    <x v="0"/>
    <x v="0"/>
    <n v="5.4"/>
    <n v="2.4"/>
    <x v="1"/>
    <x v="0"/>
    <n v="8.3000000000000007"/>
    <n v="8"/>
    <n v="9.3000000000000007"/>
    <x v="1"/>
    <n v="7"/>
    <n v="2"/>
    <n v="1"/>
    <n v="1"/>
    <n v="0"/>
    <n v="1"/>
    <n v="0"/>
    <x v="2"/>
    <x v="0"/>
    <x v="1"/>
  </r>
  <r>
    <n v="1070"/>
    <n v="51"/>
    <x v="0"/>
    <x v="2"/>
    <n v="8.8000000000000007"/>
    <n v="3.5"/>
    <x v="2"/>
    <x v="1"/>
    <n v="7.8"/>
    <n v="9"/>
    <n v="5.2"/>
    <x v="2"/>
    <n v="9"/>
    <n v="4"/>
    <n v="1"/>
    <n v="1"/>
    <n v="1"/>
    <n v="1"/>
    <n v="1"/>
    <x v="2"/>
    <x v="0"/>
    <x v="0"/>
  </r>
  <r>
    <n v="1071"/>
    <n v="19"/>
    <x v="1"/>
    <x v="1"/>
    <n v="2.2999999999999998"/>
    <n v="2"/>
    <x v="2"/>
    <x v="1"/>
    <n v="4.0999999999999996"/>
    <n v="2"/>
    <n v="5.5"/>
    <x v="2"/>
    <n v="2"/>
    <n v="0"/>
    <n v="1"/>
    <n v="1"/>
    <n v="1"/>
    <n v="0"/>
    <n v="0"/>
    <x v="1"/>
    <x v="2"/>
    <x v="2"/>
  </r>
  <r>
    <n v="1072"/>
    <n v="20"/>
    <x v="1"/>
    <x v="2"/>
    <n v="8.9"/>
    <n v="4.5999999999999996"/>
    <x v="1"/>
    <x v="0"/>
    <n v="4.8"/>
    <n v="2"/>
    <n v="4.0999999999999996"/>
    <x v="2"/>
    <n v="5"/>
    <n v="4"/>
    <n v="1"/>
    <n v="0"/>
    <n v="0"/>
    <n v="1"/>
    <n v="0"/>
    <x v="1"/>
    <x v="2"/>
    <x v="0"/>
  </r>
  <r>
    <n v="1073"/>
    <n v="52"/>
    <x v="0"/>
    <x v="0"/>
    <n v="5.2"/>
    <n v="4.2"/>
    <x v="2"/>
    <x v="1"/>
    <n v="7.3"/>
    <n v="10"/>
    <n v="6.5"/>
    <x v="1"/>
    <n v="9"/>
    <n v="2"/>
    <n v="1"/>
    <n v="1"/>
    <n v="0"/>
    <n v="0"/>
    <n v="1"/>
    <x v="2"/>
    <x v="0"/>
    <x v="1"/>
  </r>
  <r>
    <n v="1074"/>
    <n v="23"/>
    <x v="0"/>
    <x v="1"/>
    <n v="2.6"/>
    <n v="7.3"/>
    <x v="2"/>
    <x v="1"/>
    <n v="3.5"/>
    <n v="9"/>
    <n v="2.5"/>
    <x v="0"/>
    <n v="7"/>
    <n v="3"/>
    <n v="1"/>
    <n v="1"/>
    <n v="0"/>
    <n v="0"/>
    <n v="1"/>
    <x v="1"/>
    <x v="0"/>
    <x v="2"/>
  </r>
  <r>
    <n v="1075"/>
    <n v="57"/>
    <x v="0"/>
    <x v="1"/>
    <n v="8.1"/>
    <n v="7.5"/>
    <x v="2"/>
    <x v="1"/>
    <n v="7.9"/>
    <n v="4"/>
    <n v="5"/>
    <x v="2"/>
    <n v="9"/>
    <n v="3"/>
    <n v="1"/>
    <n v="1"/>
    <n v="0"/>
    <n v="1"/>
    <n v="0"/>
    <x v="2"/>
    <x v="1"/>
    <x v="0"/>
  </r>
  <r>
    <n v="1076"/>
    <n v="43"/>
    <x v="1"/>
    <x v="0"/>
    <n v="4.4000000000000004"/>
    <n v="3.7"/>
    <x v="1"/>
    <x v="0"/>
    <n v="7.3"/>
    <n v="5"/>
    <n v="7.3"/>
    <x v="2"/>
    <n v="6"/>
    <n v="3"/>
    <n v="1"/>
    <n v="0"/>
    <n v="0"/>
    <n v="1"/>
    <n v="1"/>
    <x v="2"/>
    <x v="1"/>
    <x v="1"/>
  </r>
  <r>
    <n v="1077"/>
    <n v="46"/>
    <x v="0"/>
    <x v="1"/>
    <n v="5.9"/>
    <n v="4.4000000000000004"/>
    <x v="1"/>
    <x v="0"/>
    <n v="7.4"/>
    <n v="9"/>
    <n v="6.7"/>
    <x v="1"/>
    <n v="7"/>
    <n v="4"/>
    <n v="0"/>
    <n v="0"/>
    <n v="1"/>
    <n v="1"/>
    <n v="0"/>
    <x v="2"/>
    <x v="0"/>
    <x v="1"/>
  </r>
  <r>
    <n v="1078"/>
    <n v="24"/>
    <x v="0"/>
    <x v="1"/>
    <n v="2.8"/>
    <n v="7.3"/>
    <x v="1"/>
    <x v="0"/>
    <n v="3.6"/>
    <n v="6"/>
    <n v="12"/>
    <x v="1"/>
    <n v="10"/>
    <n v="3"/>
    <n v="0"/>
    <n v="1"/>
    <n v="0"/>
    <n v="1"/>
    <n v="0"/>
    <x v="1"/>
    <x v="1"/>
    <x v="2"/>
  </r>
  <r>
    <n v="1079"/>
    <n v="44"/>
    <x v="1"/>
    <x v="2"/>
    <n v="3.5"/>
    <n v="6.6"/>
    <x v="1"/>
    <x v="0"/>
    <n v="7.3"/>
    <n v="10"/>
    <n v="5.9"/>
    <x v="1"/>
    <n v="5"/>
    <n v="1"/>
    <n v="1"/>
    <n v="1"/>
    <n v="0"/>
    <n v="1"/>
    <n v="0"/>
    <x v="2"/>
    <x v="0"/>
    <x v="2"/>
  </r>
  <r>
    <n v="1080"/>
    <n v="29"/>
    <x v="1"/>
    <x v="0"/>
    <n v="5"/>
    <n v="1"/>
    <x v="1"/>
    <x v="0"/>
    <n v="7.1"/>
    <n v="9"/>
    <n v="5.9"/>
    <x v="0"/>
    <n v="6"/>
    <n v="0"/>
    <n v="1"/>
    <n v="1"/>
    <n v="1"/>
    <n v="0"/>
    <n v="0"/>
    <x v="2"/>
    <x v="0"/>
    <x v="1"/>
  </r>
  <r>
    <n v="1081"/>
    <n v="55"/>
    <x v="1"/>
    <x v="0"/>
    <n v="2.9"/>
    <n v="3.2"/>
    <x v="2"/>
    <x v="1"/>
    <n v="8"/>
    <n v="9"/>
    <n v="7"/>
    <x v="1"/>
    <n v="1"/>
    <n v="0"/>
    <n v="0"/>
    <n v="1"/>
    <n v="1"/>
    <n v="0"/>
    <n v="0"/>
    <x v="2"/>
    <x v="0"/>
    <x v="2"/>
  </r>
  <r>
    <n v="1082"/>
    <n v="56"/>
    <x v="0"/>
    <x v="0"/>
    <n v="11.1"/>
    <n v="4"/>
    <x v="1"/>
    <x v="0"/>
    <n v="3.2"/>
    <n v="7"/>
    <n v="3.9"/>
    <x v="0"/>
    <n v="1"/>
    <n v="2"/>
    <n v="0"/>
    <n v="0"/>
    <n v="1"/>
    <n v="0"/>
    <n v="0"/>
    <x v="1"/>
    <x v="1"/>
    <x v="0"/>
  </r>
  <r>
    <n v="1083"/>
    <n v="37"/>
    <x v="1"/>
    <x v="0"/>
    <n v="2.1"/>
    <n v="2.6"/>
    <x v="1"/>
    <x v="0"/>
    <n v="3.1"/>
    <n v="10"/>
    <n v="10.8"/>
    <x v="2"/>
    <n v="2"/>
    <n v="4"/>
    <n v="1"/>
    <n v="1"/>
    <n v="0"/>
    <n v="1"/>
    <n v="1"/>
    <x v="1"/>
    <x v="0"/>
    <x v="2"/>
  </r>
  <r>
    <n v="1084"/>
    <n v="26"/>
    <x v="1"/>
    <x v="0"/>
    <n v="6.8"/>
    <n v="2.4"/>
    <x v="1"/>
    <x v="0"/>
    <n v="5.2"/>
    <n v="9"/>
    <n v="7.7"/>
    <x v="2"/>
    <n v="4"/>
    <n v="0"/>
    <n v="0"/>
    <n v="1"/>
    <n v="0"/>
    <n v="1"/>
    <n v="0"/>
    <x v="0"/>
    <x v="0"/>
    <x v="1"/>
  </r>
  <r>
    <n v="1085"/>
    <n v="38"/>
    <x v="0"/>
    <x v="1"/>
    <n v="3.2"/>
    <n v="1.3"/>
    <x v="2"/>
    <x v="1"/>
    <n v="3.9"/>
    <n v="5"/>
    <n v="3.9"/>
    <x v="2"/>
    <n v="9"/>
    <n v="4"/>
    <n v="1"/>
    <n v="0"/>
    <n v="0"/>
    <n v="0"/>
    <n v="1"/>
    <x v="1"/>
    <x v="1"/>
    <x v="2"/>
  </r>
  <r>
    <n v="1086"/>
    <n v="16"/>
    <x v="1"/>
    <x v="2"/>
    <n v="5.0999999999999996"/>
    <n v="5.5"/>
    <x v="2"/>
    <x v="1"/>
    <n v="6.4"/>
    <n v="5"/>
    <n v="9.9"/>
    <x v="1"/>
    <n v="7"/>
    <n v="2"/>
    <n v="0"/>
    <n v="1"/>
    <n v="1"/>
    <n v="1"/>
    <n v="1"/>
    <x v="0"/>
    <x v="1"/>
    <x v="1"/>
  </r>
  <r>
    <n v="1087"/>
    <n v="52"/>
    <x v="0"/>
    <x v="0"/>
    <n v="11.3"/>
    <n v="2.8"/>
    <x v="1"/>
    <x v="0"/>
    <n v="8.5"/>
    <n v="8"/>
    <n v="2.2999999999999998"/>
    <x v="2"/>
    <n v="6"/>
    <n v="3"/>
    <n v="1"/>
    <n v="1"/>
    <n v="1"/>
    <n v="1"/>
    <n v="0"/>
    <x v="2"/>
    <x v="0"/>
    <x v="0"/>
  </r>
  <r>
    <n v="1088"/>
    <n v="36"/>
    <x v="0"/>
    <x v="2"/>
    <n v="3.6"/>
    <n v="1.4"/>
    <x v="2"/>
    <x v="1"/>
    <n v="5.3"/>
    <n v="10"/>
    <n v="11.8"/>
    <x v="1"/>
    <n v="1"/>
    <n v="2"/>
    <n v="0"/>
    <n v="1"/>
    <n v="0"/>
    <n v="1"/>
    <n v="0"/>
    <x v="0"/>
    <x v="0"/>
    <x v="2"/>
  </r>
  <r>
    <n v="1089"/>
    <n v="41"/>
    <x v="1"/>
    <x v="2"/>
    <n v="11.7"/>
    <n v="2.6"/>
    <x v="2"/>
    <x v="1"/>
    <n v="8.1"/>
    <n v="4"/>
    <n v="10.7"/>
    <x v="0"/>
    <n v="5"/>
    <n v="1"/>
    <n v="1"/>
    <n v="0"/>
    <n v="1"/>
    <n v="0"/>
    <n v="0"/>
    <x v="2"/>
    <x v="1"/>
    <x v="0"/>
  </r>
  <r>
    <n v="1090"/>
    <n v="51"/>
    <x v="1"/>
    <x v="1"/>
    <n v="4.0999999999999996"/>
    <n v="6.6"/>
    <x v="2"/>
    <x v="1"/>
    <n v="3"/>
    <n v="9"/>
    <n v="7.8"/>
    <x v="2"/>
    <n v="4"/>
    <n v="3"/>
    <n v="0"/>
    <n v="0"/>
    <n v="1"/>
    <n v="0"/>
    <n v="1"/>
    <x v="1"/>
    <x v="0"/>
    <x v="1"/>
  </r>
  <r>
    <n v="1091"/>
    <n v="38"/>
    <x v="1"/>
    <x v="0"/>
    <n v="9.4"/>
    <n v="7"/>
    <x v="2"/>
    <x v="1"/>
    <n v="4"/>
    <n v="7"/>
    <n v="3.1"/>
    <x v="0"/>
    <n v="5"/>
    <n v="3"/>
    <n v="0"/>
    <n v="1"/>
    <n v="1"/>
    <n v="0"/>
    <n v="1"/>
    <x v="1"/>
    <x v="1"/>
    <x v="0"/>
  </r>
  <r>
    <n v="1092"/>
    <n v="16"/>
    <x v="1"/>
    <x v="1"/>
    <n v="7.5"/>
    <n v="4.4000000000000004"/>
    <x v="1"/>
    <x v="0"/>
    <n v="3.2"/>
    <n v="7"/>
    <n v="4.2"/>
    <x v="1"/>
    <n v="9"/>
    <n v="3"/>
    <n v="1"/>
    <n v="1"/>
    <n v="1"/>
    <n v="1"/>
    <n v="1"/>
    <x v="1"/>
    <x v="1"/>
    <x v="1"/>
  </r>
  <r>
    <n v="1093"/>
    <n v="55"/>
    <x v="1"/>
    <x v="0"/>
    <n v="10.8"/>
    <n v="3.9"/>
    <x v="1"/>
    <x v="0"/>
    <n v="5"/>
    <n v="3"/>
    <n v="4.8"/>
    <x v="1"/>
    <n v="3"/>
    <n v="2"/>
    <n v="1"/>
    <n v="0"/>
    <n v="1"/>
    <n v="0"/>
    <n v="0"/>
    <x v="0"/>
    <x v="2"/>
    <x v="0"/>
  </r>
  <r>
    <n v="1094"/>
    <n v="30"/>
    <x v="1"/>
    <x v="1"/>
    <n v="7.5"/>
    <n v="7.8"/>
    <x v="2"/>
    <x v="1"/>
    <n v="8.4"/>
    <n v="4"/>
    <n v="4.4000000000000004"/>
    <x v="2"/>
    <n v="4"/>
    <n v="1"/>
    <n v="0"/>
    <n v="0"/>
    <n v="0"/>
    <n v="0"/>
    <n v="0"/>
    <x v="2"/>
    <x v="1"/>
    <x v="1"/>
  </r>
  <r>
    <n v="1095"/>
    <n v="36"/>
    <x v="0"/>
    <x v="2"/>
    <n v="7.3"/>
    <n v="2.4"/>
    <x v="2"/>
    <x v="1"/>
    <n v="3.6"/>
    <n v="7"/>
    <n v="7"/>
    <x v="2"/>
    <n v="8"/>
    <n v="4"/>
    <n v="0"/>
    <n v="0"/>
    <n v="1"/>
    <n v="1"/>
    <n v="1"/>
    <x v="1"/>
    <x v="1"/>
    <x v="1"/>
  </r>
  <r>
    <n v="1096"/>
    <n v="24"/>
    <x v="0"/>
    <x v="0"/>
    <n v="4"/>
    <n v="2.5"/>
    <x v="2"/>
    <x v="1"/>
    <n v="6.6"/>
    <n v="5"/>
    <n v="11.4"/>
    <x v="1"/>
    <n v="3"/>
    <n v="2"/>
    <n v="1"/>
    <n v="1"/>
    <n v="0"/>
    <n v="0"/>
    <n v="1"/>
    <x v="0"/>
    <x v="1"/>
    <x v="2"/>
  </r>
  <r>
    <n v="1097"/>
    <n v="24"/>
    <x v="1"/>
    <x v="2"/>
    <n v="3.7"/>
    <n v="3"/>
    <x v="2"/>
    <x v="1"/>
    <n v="5.7"/>
    <n v="3"/>
    <n v="6.4"/>
    <x v="2"/>
    <n v="3"/>
    <n v="0"/>
    <n v="0"/>
    <n v="0"/>
    <n v="0"/>
    <n v="0"/>
    <n v="0"/>
    <x v="0"/>
    <x v="2"/>
    <x v="2"/>
  </r>
  <r>
    <n v="1098"/>
    <n v="25"/>
    <x v="0"/>
    <x v="2"/>
    <n v="11.2"/>
    <n v="2.2000000000000002"/>
    <x v="1"/>
    <x v="0"/>
    <n v="8.6"/>
    <n v="1"/>
    <n v="8.6"/>
    <x v="2"/>
    <n v="9"/>
    <n v="0"/>
    <n v="0"/>
    <n v="0"/>
    <n v="0"/>
    <n v="0"/>
    <n v="0"/>
    <x v="2"/>
    <x v="2"/>
    <x v="0"/>
  </r>
  <r>
    <n v="1099"/>
    <n v="41"/>
    <x v="1"/>
    <x v="1"/>
    <n v="5.3"/>
    <n v="3.7"/>
    <x v="2"/>
    <x v="1"/>
    <n v="3.7"/>
    <n v="7"/>
    <n v="8.9"/>
    <x v="0"/>
    <n v="5"/>
    <n v="2"/>
    <n v="0"/>
    <n v="0"/>
    <n v="1"/>
    <n v="0"/>
    <n v="1"/>
    <x v="1"/>
    <x v="1"/>
    <x v="1"/>
  </r>
  <r>
    <n v="1100"/>
    <n v="56"/>
    <x v="0"/>
    <x v="0"/>
    <n v="5.7"/>
    <n v="7.4"/>
    <x v="1"/>
    <x v="0"/>
    <n v="4.3"/>
    <n v="6"/>
    <n v="10.7"/>
    <x v="1"/>
    <n v="10"/>
    <n v="4"/>
    <n v="0"/>
    <n v="1"/>
    <n v="1"/>
    <n v="1"/>
    <n v="1"/>
    <x v="1"/>
    <x v="1"/>
    <x v="1"/>
  </r>
  <r>
    <n v="1101"/>
    <n v="50"/>
    <x v="0"/>
    <x v="2"/>
    <n v="9.6"/>
    <n v="5.3"/>
    <x v="2"/>
    <x v="1"/>
    <n v="3.2"/>
    <n v="10"/>
    <n v="2.2999999999999998"/>
    <x v="0"/>
    <n v="1"/>
    <n v="0"/>
    <n v="0"/>
    <n v="0"/>
    <n v="0"/>
    <n v="1"/>
    <n v="0"/>
    <x v="1"/>
    <x v="0"/>
    <x v="0"/>
  </r>
  <r>
    <n v="1102"/>
    <n v="40"/>
    <x v="0"/>
    <x v="1"/>
    <n v="5.4"/>
    <n v="3.9"/>
    <x v="1"/>
    <x v="0"/>
    <n v="5.6"/>
    <n v="7"/>
    <n v="6"/>
    <x v="2"/>
    <n v="7"/>
    <n v="4"/>
    <n v="1"/>
    <n v="1"/>
    <n v="1"/>
    <n v="1"/>
    <n v="1"/>
    <x v="0"/>
    <x v="1"/>
    <x v="1"/>
  </r>
  <r>
    <n v="1103"/>
    <n v="41"/>
    <x v="1"/>
    <x v="0"/>
    <n v="11.5"/>
    <n v="7.5"/>
    <x v="2"/>
    <x v="1"/>
    <n v="4.7"/>
    <n v="2"/>
    <n v="9.8000000000000007"/>
    <x v="0"/>
    <n v="7"/>
    <n v="3"/>
    <n v="0"/>
    <n v="1"/>
    <n v="0"/>
    <n v="0"/>
    <n v="1"/>
    <x v="1"/>
    <x v="2"/>
    <x v="0"/>
  </r>
  <r>
    <n v="1104"/>
    <n v="26"/>
    <x v="0"/>
    <x v="0"/>
    <n v="9.4"/>
    <n v="1.3"/>
    <x v="1"/>
    <x v="0"/>
    <n v="8.1999999999999993"/>
    <n v="4"/>
    <n v="10.1"/>
    <x v="1"/>
    <n v="6"/>
    <n v="2"/>
    <n v="0"/>
    <n v="1"/>
    <n v="1"/>
    <n v="0"/>
    <n v="1"/>
    <x v="2"/>
    <x v="1"/>
    <x v="0"/>
  </r>
  <r>
    <n v="1105"/>
    <n v="53"/>
    <x v="1"/>
    <x v="2"/>
    <n v="8"/>
    <n v="2.5"/>
    <x v="1"/>
    <x v="0"/>
    <n v="6.6"/>
    <n v="2"/>
    <n v="11.3"/>
    <x v="0"/>
    <n v="6"/>
    <n v="3"/>
    <n v="1"/>
    <n v="1"/>
    <n v="1"/>
    <n v="0"/>
    <n v="0"/>
    <x v="0"/>
    <x v="2"/>
    <x v="1"/>
  </r>
  <r>
    <n v="1106"/>
    <n v="17"/>
    <x v="0"/>
    <x v="0"/>
    <n v="10.8"/>
    <n v="5"/>
    <x v="1"/>
    <x v="0"/>
    <n v="6.7"/>
    <n v="8"/>
    <n v="9"/>
    <x v="0"/>
    <n v="3"/>
    <n v="0"/>
    <n v="1"/>
    <n v="0"/>
    <n v="1"/>
    <n v="1"/>
    <n v="1"/>
    <x v="0"/>
    <x v="0"/>
    <x v="0"/>
  </r>
  <r>
    <n v="1107"/>
    <n v="22"/>
    <x v="0"/>
    <x v="2"/>
    <n v="2.5"/>
    <n v="5.3"/>
    <x v="2"/>
    <x v="1"/>
    <n v="6.2"/>
    <n v="7"/>
    <n v="4.5"/>
    <x v="2"/>
    <n v="3"/>
    <n v="4"/>
    <n v="1"/>
    <n v="1"/>
    <n v="0"/>
    <n v="0"/>
    <n v="1"/>
    <x v="0"/>
    <x v="1"/>
    <x v="2"/>
  </r>
  <r>
    <n v="1108"/>
    <n v="33"/>
    <x v="0"/>
    <x v="0"/>
    <n v="4.5999999999999996"/>
    <n v="1.3"/>
    <x v="1"/>
    <x v="0"/>
    <n v="3.6"/>
    <n v="1"/>
    <n v="7.1"/>
    <x v="1"/>
    <n v="10"/>
    <n v="3"/>
    <n v="1"/>
    <n v="1"/>
    <n v="0"/>
    <n v="0"/>
    <n v="0"/>
    <x v="1"/>
    <x v="2"/>
    <x v="1"/>
  </r>
  <r>
    <n v="1109"/>
    <n v="42"/>
    <x v="0"/>
    <x v="1"/>
    <n v="6.7"/>
    <n v="3.8"/>
    <x v="2"/>
    <x v="1"/>
    <n v="5.7"/>
    <n v="2"/>
    <n v="2.2999999999999998"/>
    <x v="2"/>
    <n v="9"/>
    <n v="0"/>
    <n v="1"/>
    <n v="1"/>
    <n v="1"/>
    <n v="1"/>
    <n v="1"/>
    <x v="0"/>
    <x v="2"/>
    <x v="1"/>
  </r>
  <r>
    <n v="1110"/>
    <n v="49"/>
    <x v="0"/>
    <x v="2"/>
    <n v="4.3"/>
    <n v="5.5"/>
    <x v="1"/>
    <x v="0"/>
    <n v="9"/>
    <n v="2"/>
    <n v="8.5"/>
    <x v="2"/>
    <n v="1"/>
    <n v="1"/>
    <n v="0"/>
    <n v="0"/>
    <n v="0"/>
    <n v="0"/>
    <n v="0"/>
    <x v="2"/>
    <x v="2"/>
    <x v="1"/>
  </r>
  <r>
    <n v="1111"/>
    <n v="42"/>
    <x v="1"/>
    <x v="2"/>
    <n v="9.4"/>
    <n v="5.9"/>
    <x v="1"/>
    <x v="0"/>
    <n v="8"/>
    <n v="4"/>
    <n v="7.5"/>
    <x v="1"/>
    <n v="7"/>
    <n v="3"/>
    <n v="0"/>
    <n v="0"/>
    <n v="0"/>
    <n v="1"/>
    <n v="0"/>
    <x v="2"/>
    <x v="1"/>
    <x v="0"/>
  </r>
  <r>
    <n v="1112"/>
    <n v="32"/>
    <x v="1"/>
    <x v="0"/>
    <n v="11.2"/>
    <n v="5.5"/>
    <x v="2"/>
    <x v="1"/>
    <n v="8.4"/>
    <n v="3"/>
    <n v="8.6999999999999993"/>
    <x v="0"/>
    <n v="10"/>
    <n v="1"/>
    <n v="0"/>
    <n v="0"/>
    <n v="0"/>
    <n v="1"/>
    <n v="0"/>
    <x v="2"/>
    <x v="2"/>
    <x v="0"/>
  </r>
  <r>
    <n v="1113"/>
    <n v="58"/>
    <x v="0"/>
    <x v="0"/>
    <n v="6.2"/>
    <n v="3.2"/>
    <x v="1"/>
    <x v="0"/>
    <n v="7.9"/>
    <n v="1"/>
    <n v="11.3"/>
    <x v="2"/>
    <n v="7"/>
    <n v="1"/>
    <n v="1"/>
    <n v="0"/>
    <n v="0"/>
    <n v="0"/>
    <n v="0"/>
    <x v="2"/>
    <x v="2"/>
    <x v="1"/>
  </r>
  <r>
    <n v="1114"/>
    <n v="59"/>
    <x v="0"/>
    <x v="2"/>
    <n v="5.4"/>
    <n v="1.7"/>
    <x v="2"/>
    <x v="1"/>
    <n v="3.6"/>
    <n v="2"/>
    <n v="8.9"/>
    <x v="0"/>
    <n v="8"/>
    <n v="0"/>
    <n v="1"/>
    <n v="1"/>
    <n v="1"/>
    <n v="0"/>
    <n v="1"/>
    <x v="1"/>
    <x v="2"/>
    <x v="1"/>
  </r>
  <r>
    <n v="1115"/>
    <n v="39"/>
    <x v="0"/>
    <x v="0"/>
    <n v="11.6"/>
    <n v="4"/>
    <x v="2"/>
    <x v="1"/>
    <n v="4.4000000000000004"/>
    <n v="9"/>
    <n v="5.2"/>
    <x v="1"/>
    <n v="6"/>
    <n v="2"/>
    <n v="1"/>
    <n v="1"/>
    <n v="0"/>
    <n v="1"/>
    <n v="1"/>
    <x v="1"/>
    <x v="0"/>
    <x v="0"/>
  </r>
  <r>
    <n v="1116"/>
    <n v="40"/>
    <x v="0"/>
    <x v="1"/>
    <n v="6.4"/>
    <n v="1.9"/>
    <x v="2"/>
    <x v="1"/>
    <n v="3"/>
    <n v="1"/>
    <n v="4"/>
    <x v="2"/>
    <n v="8"/>
    <n v="4"/>
    <n v="0"/>
    <n v="1"/>
    <n v="0"/>
    <n v="0"/>
    <n v="0"/>
    <x v="1"/>
    <x v="2"/>
    <x v="1"/>
  </r>
  <r>
    <n v="1117"/>
    <n v="22"/>
    <x v="1"/>
    <x v="0"/>
    <n v="6.9"/>
    <n v="7.6"/>
    <x v="2"/>
    <x v="1"/>
    <n v="4.8"/>
    <n v="9"/>
    <n v="10.5"/>
    <x v="0"/>
    <n v="1"/>
    <n v="0"/>
    <n v="0"/>
    <n v="0"/>
    <n v="1"/>
    <n v="0"/>
    <n v="1"/>
    <x v="1"/>
    <x v="0"/>
    <x v="1"/>
  </r>
  <r>
    <n v="1118"/>
    <n v="21"/>
    <x v="0"/>
    <x v="1"/>
    <n v="5.5"/>
    <n v="4.3"/>
    <x v="1"/>
    <x v="0"/>
    <n v="3.7"/>
    <n v="7"/>
    <n v="3.9"/>
    <x v="0"/>
    <n v="1"/>
    <n v="3"/>
    <n v="0"/>
    <n v="0"/>
    <n v="1"/>
    <n v="1"/>
    <n v="1"/>
    <x v="1"/>
    <x v="1"/>
    <x v="1"/>
  </r>
  <r>
    <n v="1119"/>
    <n v="39"/>
    <x v="1"/>
    <x v="1"/>
    <n v="11.1"/>
    <n v="3.2"/>
    <x v="1"/>
    <x v="0"/>
    <n v="5.8"/>
    <n v="2"/>
    <n v="3.6"/>
    <x v="2"/>
    <n v="9"/>
    <n v="4"/>
    <n v="0"/>
    <n v="0"/>
    <n v="1"/>
    <n v="1"/>
    <n v="0"/>
    <x v="0"/>
    <x v="2"/>
    <x v="0"/>
  </r>
  <r>
    <n v="1120"/>
    <n v="48"/>
    <x v="0"/>
    <x v="1"/>
    <n v="7.7"/>
    <n v="6.4"/>
    <x v="2"/>
    <x v="1"/>
    <n v="7.1"/>
    <n v="2"/>
    <n v="4.0999999999999996"/>
    <x v="1"/>
    <n v="4"/>
    <n v="2"/>
    <n v="0"/>
    <n v="1"/>
    <n v="0"/>
    <n v="1"/>
    <n v="1"/>
    <x v="2"/>
    <x v="2"/>
    <x v="1"/>
  </r>
  <r>
    <n v="1121"/>
    <n v="44"/>
    <x v="1"/>
    <x v="1"/>
    <n v="9.6"/>
    <n v="4.5"/>
    <x v="1"/>
    <x v="0"/>
    <n v="8.1999999999999993"/>
    <n v="5"/>
    <n v="7.1"/>
    <x v="0"/>
    <n v="3"/>
    <n v="0"/>
    <n v="0"/>
    <n v="1"/>
    <n v="1"/>
    <n v="0"/>
    <n v="0"/>
    <x v="2"/>
    <x v="1"/>
    <x v="0"/>
  </r>
  <r>
    <n v="1122"/>
    <n v="58"/>
    <x v="0"/>
    <x v="1"/>
    <n v="10.1"/>
    <n v="3.2"/>
    <x v="1"/>
    <x v="0"/>
    <n v="7.5"/>
    <n v="5"/>
    <n v="3.2"/>
    <x v="1"/>
    <n v="6"/>
    <n v="2"/>
    <n v="1"/>
    <n v="1"/>
    <n v="1"/>
    <n v="1"/>
    <n v="0"/>
    <x v="2"/>
    <x v="1"/>
    <x v="0"/>
  </r>
  <r>
    <n v="1123"/>
    <n v="37"/>
    <x v="0"/>
    <x v="0"/>
    <n v="5.4"/>
    <n v="6.7"/>
    <x v="2"/>
    <x v="1"/>
    <n v="8.6"/>
    <n v="4"/>
    <n v="11.4"/>
    <x v="2"/>
    <n v="10"/>
    <n v="3"/>
    <n v="0"/>
    <n v="0"/>
    <n v="0"/>
    <n v="1"/>
    <n v="0"/>
    <x v="2"/>
    <x v="1"/>
    <x v="1"/>
  </r>
  <r>
    <n v="1124"/>
    <n v="41"/>
    <x v="1"/>
    <x v="1"/>
    <n v="6.3"/>
    <n v="7.1"/>
    <x v="1"/>
    <x v="0"/>
    <n v="3.3"/>
    <n v="10"/>
    <n v="11.7"/>
    <x v="0"/>
    <n v="9"/>
    <n v="0"/>
    <n v="0"/>
    <n v="0"/>
    <n v="1"/>
    <n v="1"/>
    <n v="1"/>
    <x v="1"/>
    <x v="0"/>
    <x v="1"/>
  </r>
  <r>
    <n v="1125"/>
    <n v="43"/>
    <x v="0"/>
    <x v="0"/>
    <n v="10.5"/>
    <n v="5.7"/>
    <x v="2"/>
    <x v="1"/>
    <n v="3.1"/>
    <n v="10"/>
    <n v="11.7"/>
    <x v="0"/>
    <n v="10"/>
    <n v="3"/>
    <n v="0"/>
    <n v="1"/>
    <n v="0"/>
    <n v="1"/>
    <n v="1"/>
    <x v="1"/>
    <x v="0"/>
    <x v="0"/>
  </r>
  <r>
    <n v="1126"/>
    <n v="36"/>
    <x v="0"/>
    <x v="1"/>
    <n v="5.6"/>
    <n v="1.3"/>
    <x v="1"/>
    <x v="0"/>
    <n v="7"/>
    <n v="3"/>
    <n v="2.4"/>
    <x v="0"/>
    <n v="4"/>
    <n v="4"/>
    <n v="0"/>
    <n v="0"/>
    <n v="0"/>
    <n v="0"/>
    <n v="0"/>
    <x v="2"/>
    <x v="2"/>
    <x v="1"/>
  </r>
  <r>
    <n v="1127"/>
    <n v="22"/>
    <x v="0"/>
    <x v="2"/>
    <n v="9.9"/>
    <n v="5"/>
    <x v="1"/>
    <x v="0"/>
    <n v="4.7"/>
    <n v="4"/>
    <n v="11.5"/>
    <x v="1"/>
    <n v="9"/>
    <n v="4"/>
    <n v="0"/>
    <n v="1"/>
    <n v="0"/>
    <n v="1"/>
    <n v="1"/>
    <x v="1"/>
    <x v="1"/>
    <x v="0"/>
  </r>
  <r>
    <n v="1128"/>
    <n v="32"/>
    <x v="1"/>
    <x v="1"/>
    <n v="11.4"/>
    <n v="6.3"/>
    <x v="2"/>
    <x v="1"/>
    <n v="4.5"/>
    <n v="10"/>
    <n v="12"/>
    <x v="0"/>
    <n v="5"/>
    <n v="2"/>
    <n v="1"/>
    <n v="1"/>
    <n v="0"/>
    <n v="1"/>
    <n v="1"/>
    <x v="1"/>
    <x v="0"/>
    <x v="0"/>
  </r>
  <r>
    <n v="1129"/>
    <n v="35"/>
    <x v="0"/>
    <x v="2"/>
    <n v="8.1999999999999993"/>
    <n v="2"/>
    <x v="1"/>
    <x v="0"/>
    <n v="5"/>
    <n v="4"/>
    <n v="11.4"/>
    <x v="0"/>
    <n v="7"/>
    <n v="2"/>
    <n v="0"/>
    <n v="0"/>
    <n v="0"/>
    <n v="1"/>
    <n v="0"/>
    <x v="0"/>
    <x v="1"/>
    <x v="0"/>
  </r>
  <r>
    <n v="1130"/>
    <n v="56"/>
    <x v="0"/>
    <x v="1"/>
    <n v="9.4"/>
    <n v="2.6"/>
    <x v="1"/>
    <x v="0"/>
    <n v="4.5999999999999996"/>
    <n v="2"/>
    <n v="8.6999999999999993"/>
    <x v="2"/>
    <n v="3"/>
    <n v="4"/>
    <n v="0"/>
    <n v="1"/>
    <n v="1"/>
    <n v="0"/>
    <n v="0"/>
    <x v="1"/>
    <x v="2"/>
    <x v="0"/>
  </r>
  <r>
    <n v="1131"/>
    <n v="35"/>
    <x v="1"/>
    <x v="1"/>
    <n v="10.1"/>
    <n v="7.2"/>
    <x v="2"/>
    <x v="1"/>
    <n v="6.1"/>
    <n v="5"/>
    <n v="9"/>
    <x v="0"/>
    <n v="3"/>
    <n v="1"/>
    <n v="1"/>
    <n v="1"/>
    <n v="0"/>
    <n v="0"/>
    <n v="1"/>
    <x v="0"/>
    <x v="1"/>
    <x v="0"/>
  </r>
  <r>
    <n v="1132"/>
    <n v="37"/>
    <x v="1"/>
    <x v="1"/>
    <n v="10.5"/>
    <n v="1.1000000000000001"/>
    <x v="1"/>
    <x v="0"/>
    <n v="5.6"/>
    <n v="5"/>
    <n v="3.2"/>
    <x v="1"/>
    <n v="3"/>
    <n v="4"/>
    <n v="1"/>
    <n v="1"/>
    <n v="1"/>
    <n v="1"/>
    <n v="1"/>
    <x v="0"/>
    <x v="1"/>
    <x v="0"/>
  </r>
  <r>
    <n v="1133"/>
    <n v="43"/>
    <x v="1"/>
    <x v="2"/>
    <n v="6"/>
    <n v="6.3"/>
    <x v="2"/>
    <x v="1"/>
    <n v="6.1"/>
    <n v="5"/>
    <n v="10.7"/>
    <x v="2"/>
    <n v="8"/>
    <n v="0"/>
    <n v="0"/>
    <n v="1"/>
    <n v="1"/>
    <n v="1"/>
    <n v="1"/>
    <x v="0"/>
    <x v="1"/>
    <x v="1"/>
  </r>
  <r>
    <n v="1134"/>
    <n v="55"/>
    <x v="0"/>
    <x v="2"/>
    <n v="2.5"/>
    <n v="4.3"/>
    <x v="1"/>
    <x v="0"/>
    <n v="7"/>
    <n v="10"/>
    <n v="2.6"/>
    <x v="2"/>
    <n v="6"/>
    <n v="3"/>
    <n v="0"/>
    <n v="1"/>
    <n v="0"/>
    <n v="0"/>
    <n v="1"/>
    <x v="2"/>
    <x v="0"/>
    <x v="2"/>
  </r>
  <r>
    <n v="1135"/>
    <n v="22"/>
    <x v="0"/>
    <x v="1"/>
    <n v="6"/>
    <n v="4.0999999999999996"/>
    <x v="2"/>
    <x v="1"/>
    <n v="5.3"/>
    <n v="1"/>
    <n v="5.2"/>
    <x v="0"/>
    <n v="9"/>
    <n v="4"/>
    <n v="0"/>
    <n v="0"/>
    <n v="0"/>
    <n v="1"/>
    <n v="0"/>
    <x v="0"/>
    <x v="2"/>
    <x v="1"/>
  </r>
  <r>
    <n v="1136"/>
    <n v="16"/>
    <x v="0"/>
    <x v="0"/>
    <n v="8.6999999999999993"/>
    <n v="1"/>
    <x v="2"/>
    <x v="1"/>
    <n v="4.5"/>
    <n v="6"/>
    <n v="11.9"/>
    <x v="2"/>
    <n v="9"/>
    <n v="4"/>
    <n v="0"/>
    <n v="1"/>
    <n v="0"/>
    <n v="0"/>
    <n v="1"/>
    <x v="1"/>
    <x v="1"/>
    <x v="0"/>
  </r>
  <r>
    <n v="1137"/>
    <n v="47"/>
    <x v="1"/>
    <x v="1"/>
    <n v="6.5"/>
    <n v="6.7"/>
    <x v="2"/>
    <x v="1"/>
    <n v="4"/>
    <n v="2"/>
    <n v="6.2"/>
    <x v="0"/>
    <n v="8"/>
    <n v="3"/>
    <n v="0"/>
    <n v="0"/>
    <n v="1"/>
    <n v="1"/>
    <n v="1"/>
    <x v="1"/>
    <x v="2"/>
    <x v="1"/>
  </r>
  <r>
    <n v="1138"/>
    <n v="28"/>
    <x v="0"/>
    <x v="2"/>
    <n v="9.5"/>
    <n v="3.5"/>
    <x v="2"/>
    <x v="1"/>
    <n v="5.0999999999999996"/>
    <n v="7"/>
    <n v="3.3"/>
    <x v="2"/>
    <n v="1"/>
    <n v="3"/>
    <n v="1"/>
    <n v="1"/>
    <n v="0"/>
    <n v="1"/>
    <n v="0"/>
    <x v="0"/>
    <x v="1"/>
    <x v="0"/>
  </r>
  <r>
    <n v="1139"/>
    <n v="45"/>
    <x v="0"/>
    <x v="1"/>
    <n v="5.6"/>
    <n v="4.8"/>
    <x v="2"/>
    <x v="1"/>
    <n v="7.5"/>
    <n v="4"/>
    <n v="11.7"/>
    <x v="1"/>
    <n v="6"/>
    <n v="0"/>
    <n v="1"/>
    <n v="0"/>
    <n v="0"/>
    <n v="0"/>
    <n v="1"/>
    <x v="2"/>
    <x v="1"/>
    <x v="1"/>
  </r>
  <r>
    <n v="1140"/>
    <n v="38"/>
    <x v="1"/>
    <x v="2"/>
    <n v="8.3000000000000007"/>
    <n v="5.7"/>
    <x v="1"/>
    <x v="0"/>
    <n v="7.5"/>
    <n v="5"/>
    <n v="11.8"/>
    <x v="0"/>
    <n v="4"/>
    <n v="3"/>
    <n v="0"/>
    <n v="0"/>
    <n v="1"/>
    <n v="0"/>
    <n v="0"/>
    <x v="2"/>
    <x v="1"/>
    <x v="0"/>
  </r>
  <r>
    <n v="1141"/>
    <n v="34"/>
    <x v="1"/>
    <x v="2"/>
    <n v="3.9"/>
    <n v="5.9"/>
    <x v="1"/>
    <x v="0"/>
    <n v="7"/>
    <n v="5"/>
    <n v="3.9"/>
    <x v="1"/>
    <n v="4"/>
    <n v="2"/>
    <n v="0"/>
    <n v="0"/>
    <n v="0"/>
    <n v="0"/>
    <n v="1"/>
    <x v="2"/>
    <x v="1"/>
    <x v="2"/>
  </r>
  <r>
    <n v="1142"/>
    <n v="47"/>
    <x v="1"/>
    <x v="2"/>
    <n v="9.5"/>
    <n v="7.7"/>
    <x v="2"/>
    <x v="1"/>
    <n v="4.4000000000000004"/>
    <n v="5"/>
    <n v="10.6"/>
    <x v="0"/>
    <n v="3"/>
    <n v="4"/>
    <n v="1"/>
    <n v="1"/>
    <n v="1"/>
    <n v="0"/>
    <n v="0"/>
    <x v="1"/>
    <x v="1"/>
    <x v="0"/>
  </r>
  <r>
    <n v="1143"/>
    <n v="45"/>
    <x v="1"/>
    <x v="1"/>
    <n v="7.5"/>
    <n v="4.7"/>
    <x v="1"/>
    <x v="0"/>
    <n v="6.5"/>
    <n v="2"/>
    <n v="5.9"/>
    <x v="1"/>
    <n v="9"/>
    <n v="3"/>
    <n v="1"/>
    <n v="0"/>
    <n v="1"/>
    <n v="0"/>
    <n v="0"/>
    <x v="0"/>
    <x v="2"/>
    <x v="1"/>
  </r>
  <r>
    <n v="1144"/>
    <n v="44"/>
    <x v="1"/>
    <x v="2"/>
    <n v="4"/>
    <n v="3.8"/>
    <x v="2"/>
    <x v="1"/>
    <n v="6.4"/>
    <n v="5"/>
    <n v="5.8"/>
    <x v="1"/>
    <n v="2"/>
    <n v="0"/>
    <n v="0"/>
    <n v="1"/>
    <n v="0"/>
    <n v="0"/>
    <n v="0"/>
    <x v="0"/>
    <x v="1"/>
    <x v="2"/>
  </r>
  <r>
    <n v="1145"/>
    <n v="44"/>
    <x v="0"/>
    <x v="2"/>
    <n v="4.9000000000000004"/>
    <n v="7.7"/>
    <x v="1"/>
    <x v="0"/>
    <n v="5.9"/>
    <n v="3"/>
    <n v="4.5999999999999996"/>
    <x v="2"/>
    <n v="1"/>
    <n v="3"/>
    <n v="0"/>
    <n v="1"/>
    <n v="1"/>
    <n v="0"/>
    <n v="1"/>
    <x v="0"/>
    <x v="2"/>
    <x v="1"/>
  </r>
  <r>
    <n v="1146"/>
    <n v="45"/>
    <x v="1"/>
    <x v="1"/>
    <n v="9.5"/>
    <n v="5.5"/>
    <x v="1"/>
    <x v="0"/>
    <n v="6.3"/>
    <n v="4"/>
    <n v="2.4"/>
    <x v="0"/>
    <n v="10"/>
    <n v="4"/>
    <n v="0"/>
    <n v="0"/>
    <n v="1"/>
    <n v="1"/>
    <n v="0"/>
    <x v="0"/>
    <x v="1"/>
    <x v="0"/>
  </r>
  <r>
    <n v="1147"/>
    <n v="31"/>
    <x v="0"/>
    <x v="2"/>
    <n v="6.8"/>
    <n v="3.1"/>
    <x v="2"/>
    <x v="1"/>
    <n v="6"/>
    <n v="2"/>
    <n v="4.7"/>
    <x v="2"/>
    <n v="3"/>
    <n v="1"/>
    <n v="0"/>
    <n v="0"/>
    <n v="1"/>
    <n v="1"/>
    <n v="0"/>
    <x v="0"/>
    <x v="2"/>
    <x v="1"/>
  </r>
  <r>
    <n v="1148"/>
    <n v="55"/>
    <x v="0"/>
    <x v="1"/>
    <n v="4.2"/>
    <n v="1.9"/>
    <x v="2"/>
    <x v="1"/>
    <n v="6.4"/>
    <n v="4"/>
    <n v="2.5"/>
    <x v="1"/>
    <n v="4"/>
    <n v="3"/>
    <n v="0"/>
    <n v="1"/>
    <n v="0"/>
    <n v="1"/>
    <n v="0"/>
    <x v="0"/>
    <x v="1"/>
    <x v="1"/>
  </r>
  <r>
    <n v="1149"/>
    <n v="34"/>
    <x v="1"/>
    <x v="2"/>
    <n v="11.7"/>
    <n v="6.9"/>
    <x v="1"/>
    <x v="0"/>
    <n v="7.3"/>
    <n v="9"/>
    <n v="11.2"/>
    <x v="0"/>
    <n v="4"/>
    <n v="2"/>
    <n v="0"/>
    <n v="1"/>
    <n v="1"/>
    <n v="1"/>
    <n v="0"/>
    <x v="2"/>
    <x v="0"/>
    <x v="0"/>
  </r>
  <r>
    <n v="1150"/>
    <n v="33"/>
    <x v="1"/>
    <x v="0"/>
    <n v="9.1999999999999993"/>
    <n v="3.5"/>
    <x v="1"/>
    <x v="0"/>
    <n v="3.7"/>
    <n v="8"/>
    <n v="8.6"/>
    <x v="1"/>
    <n v="6"/>
    <n v="4"/>
    <n v="1"/>
    <n v="1"/>
    <n v="1"/>
    <n v="0"/>
    <n v="1"/>
    <x v="1"/>
    <x v="0"/>
    <x v="0"/>
  </r>
  <r>
    <n v="1151"/>
    <n v="16"/>
    <x v="1"/>
    <x v="0"/>
    <n v="11.6"/>
    <n v="5.6"/>
    <x v="2"/>
    <x v="1"/>
    <n v="7.5"/>
    <n v="3"/>
    <n v="10.9"/>
    <x v="1"/>
    <n v="1"/>
    <n v="0"/>
    <n v="1"/>
    <n v="0"/>
    <n v="0"/>
    <n v="1"/>
    <n v="1"/>
    <x v="2"/>
    <x v="2"/>
    <x v="0"/>
  </r>
  <r>
    <n v="1152"/>
    <n v="29"/>
    <x v="0"/>
    <x v="2"/>
    <n v="6.3"/>
    <n v="4.3"/>
    <x v="1"/>
    <x v="0"/>
    <n v="3.8"/>
    <n v="1"/>
    <n v="9.1999999999999993"/>
    <x v="1"/>
    <n v="1"/>
    <n v="4"/>
    <n v="1"/>
    <n v="1"/>
    <n v="1"/>
    <n v="1"/>
    <n v="0"/>
    <x v="1"/>
    <x v="2"/>
    <x v="1"/>
  </r>
  <r>
    <n v="1153"/>
    <n v="17"/>
    <x v="1"/>
    <x v="0"/>
    <n v="6.8"/>
    <n v="2.4"/>
    <x v="1"/>
    <x v="0"/>
    <n v="3.4"/>
    <n v="1"/>
    <n v="3.3"/>
    <x v="1"/>
    <n v="2"/>
    <n v="1"/>
    <n v="1"/>
    <n v="1"/>
    <n v="0"/>
    <n v="0"/>
    <n v="1"/>
    <x v="1"/>
    <x v="2"/>
    <x v="1"/>
  </r>
  <r>
    <n v="1154"/>
    <n v="43"/>
    <x v="1"/>
    <x v="1"/>
    <n v="11"/>
    <n v="5.2"/>
    <x v="2"/>
    <x v="1"/>
    <n v="8.9"/>
    <n v="6"/>
    <n v="11.4"/>
    <x v="2"/>
    <n v="4"/>
    <n v="0"/>
    <n v="0"/>
    <n v="1"/>
    <n v="1"/>
    <n v="1"/>
    <n v="1"/>
    <x v="2"/>
    <x v="1"/>
    <x v="0"/>
  </r>
  <r>
    <n v="1155"/>
    <n v="45"/>
    <x v="1"/>
    <x v="0"/>
    <n v="7.3"/>
    <n v="1.4"/>
    <x v="1"/>
    <x v="0"/>
    <n v="8.6999999999999993"/>
    <n v="3"/>
    <n v="11"/>
    <x v="1"/>
    <n v="7"/>
    <n v="1"/>
    <n v="1"/>
    <n v="1"/>
    <n v="0"/>
    <n v="0"/>
    <n v="1"/>
    <x v="2"/>
    <x v="2"/>
    <x v="1"/>
  </r>
  <r>
    <n v="1156"/>
    <n v="53"/>
    <x v="1"/>
    <x v="2"/>
    <n v="9.1"/>
    <n v="3.9"/>
    <x v="2"/>
    <x v="1"/>
    <n v="3.4"/>
    <n v="4"/>
    <n v="5.5"/>
    <x v="2"/>
    <n v="6"/>
    <n v="1"/>
    <n v="1"/>
    <n v="1"/>
    <n v="1"/>
    <n v="0"/>
    <n v="0"/>
    <x v="1"/>
    <x v="1"/>
    <x v="0"/>
  </r>
  <r>
    <n v="1157"/>
    <n v="19"/>
    <x v="1"/>
    <x v="2"/>
    <n v="4.5"/>
    <n v="4.8"/>
    <x v="2"/>
    <x v="1"/>
    <n v="5.7"/>
    <n v="1"/>
    <n v="3.1"/>
    <x v="1"/>
    <n v="9"/>
    <n v="2"/>
    <n v="0"/>
    <n v="1"/>
    <n v="1"/>
    <n v="0"/>
    <n v="1"/>
    <x v="0"/>
    <x v="2"/>
    <x v="1"/>
  </r>
  <r>
    <n v="1158"/>
    <n v="16"/>
    <x v="0"/>
    <x v="1"/>
    <n v="6.5"/>
    <n v="4.0999999999999996"/>
    <x v="2"/>
    <x v="1"/>
    <n v="4.0999999999999996"/>
    <n v="8"/>
    <n v="9"/>
    <x v="0"/>
    <n v="7"/>
    <n v="3"/>
    <n v="1"/>
    <n v="1"/>
    <n v="0"/>
    <n v="1"/>
    <n v="1"/>
    <x v="1"/>
    <x v="0"/>
    <x v="1"/>
  </r>
  <r>
    <n v="1159"/>
    <n v="23"/>
    <x v="0"/>
    <x v="2"/>
    <n v="3.2"/>
    <n v="6.2"/>
    <x v="1"/>
    <x v="0"/>
    <n v="5.9"/>
    <n v="1"/>
    <n v="9.3000000000000007"/>
    <x v="1"/>
    <n v="5"/>
    <n v="2"/>
    <n v="0"/>
    <n v="1"/>
    <n v="0"/>
    <n v="0"/>
    <n v="0"/>
    <x v="0"/>
    <x v="2"/>
    <x v="2"/>
  </r>
  <r>
    <n v="1160"/>
    <n v="44"/>
    <x v="0"/>
    <x v="1"/>
    <n v="4.0999999999999996"/>
    <n v="6.8"/>
    <x v="1"/>
    <x v="0"/>
    <n v="8"/>
    <n v="5"/>
    <n v="11"/>
    <x v="1"/>
    <n v="6"/>
    <n v="2"/>
    <n v="0"/>
    <n v="1"/>
    <n v="0"/>
    <n v="0"/>
    <n v="1"/>
    <x v="2"/>
    <x v="1"/>
    <x v="1"/>
  </r>
  <r>
    <n v="1161"/>
    <n v="54"/>
    <x v="1"/>
    <x v="0"/>
    <n v="2"/>
    <n v="6.4"/>
    <x v="2"/>
    <x v="1"/>
    <n v="8.6999999999999993"/>
    <n v="6"/>
    <n v="2.5"/>
    <x v="0"/>
    <n v="10"/>
    <n v="2"/>
    <n v="1"/>
    <n v="1"/>
    <n v="1"/>
    <n v="0"/>
    <n v="0"/>
    <x v="2"/>
    <x v="1"/>
    <x v="2"/>
  </r>
  <r>
    <n v="1162"/>
    <n v="18"/>
    <x v="1"/>
    <x v="0"/>
    <n v="2.4"/>
    <n v="1.3"/>
    <x v="2"/>
    <x v="1"/>
    <n v="6.8"/>
    <n v="2"/>
    <n v="3.4"/>
    <x v="0"/>
    <n v="9"/>
    <n v="0"/>
    <n v="1"/>
    <n v="1"/>
    <n v="0"/>
    <n v="1"/>
    <n v="1"/>
    <x v="0"/>
    <x v="2"/>
    <x v="2"/>
  </r>
  <r>
    <n v="1163"/>
    <n v="47"/>
    <x v="1"/>
    <x v="1"/>
    <n v="11.8"/>
    <n v="2.4"/>
    <x v="1"/>
    <x v="0"/>
    <n v="5.0999999999999996"/>
    <n v="7"/>
    <n v="8"/>
    <x v="1"/>
    <n v="1"/>
    <n v="3"/>
    <n v="1"/>
    <n v="1"/>
    <n v="0"/>
    <n v="1"/>
    <n v="1"/>
    <x v="0"/>
    <x v="1"/>
    <x v="0"/>
  </r>
  <r>
    <n v="1164"/>
    <n v="25"/>
    <x v="0"/>
    <x v="1"/>
    <n v="4.4000000000000004"/>
    <n v="4.8"/>
    <x v="1"/>
    <x v="0"/>
    <n v="6.6"/>
    <n v="7"/>
    <n v="8.1999999999999993"/>
    <x v="1"/>
    <n v="9"/>
    <n v="3"/>
    <n v="0"/>
    <n v="0"/>
    <n v="1"/>
    <n v="0"/>
    <n v="0"/>
    <x v="0"/>
    <x v="1"/>
    <x v="1"/>
  </r>
  <r>
    <n v="1165"/>
    <n v="25"/>
    <x v="1"/>
    <x v="2"/>
    <n v="8.6"/>
    <n v="7.5"/>
    <x v="1"/>
    <x v="0"/>
    <n v="4.9000000000000004"/>
    <n v="1"/>
    <n v="2.2999999999999998"/>
    <x v="2"/>
    <n v="6"/>
    <n v="0"/>
    <n v="1"/>
    <n v="1"/>
    <n v="0"/>
    <n v="0"/>
    <n v="0"/>
    <x v="1"/>
    <x v="2"/>
    <x v="0"/>
  </r>
  <r>
    <n v="1166"/>
    <n v="34"/>
    <x v="1"/>
    <x v="0"/>
    <n v="10.4"/>
    <n v="6.8"/>
    <x v="2"/>
    <x v="1"/>
    <n v="8.5"/>
    <n v="4"/>
    <n v="6"/>
    <x v="0"/>
    <n v="4"/>
    <n v="2"/>
    <n v="0"/>
    <n v="1"/>
    <n v="0"/>
    <n v="0"/>
    <n v="1"/>
    <x v="2"/>
    <x v="1"/>
    <x v="0"/>
  </r>
  <r>
    <n v="1167"/>
    <n v="49"/>
    <x v="1"/>
    <x v="1"/>
    <n v="7.5"/>
    <n v="6.9"/>
    <x v="2"/>
    <x v="1"/>
    <n v="8.1999999999999993"/>
    <n v="4"/>
    <n v="7.8"/>
    <x v="0"/>
    <n v="5"/>
    <n v="2"/>
    <n v="1"/>
    <n v="1"/>
    <n v="0"/>
    <n v="0"/>
    <n v="0"/>
    <x v="2"/>
    <x v="1"/>
    <x v="1"/>
  </r>
  <r>
    <n v="1168"/>
    <n v="48"/>
    <x v="0"/>
    <x v="0"/>
    <n v="3.5"/>
    <n v="3.1"/>
    <x v="1"/>
    <x v="0"/>
    <n v="6.3"/>
    <n v="5"/>
    <n v="9.4"/>
    <x v="2"/>
    <n v="1"/>
    <n v="1"/>
    <n v="0"/>
    <n v="1"/>
    <n v="1"/>
    <n v="0"/>
    <n v="0"/>
    <x v="0"/>
    <x v="1"/>
    <x v="2"/>
  </r>
  <r>
    <n v="1169"/>
    <n v="38"/>
    <x v="1"/>
    <x v="1"/>
    <n v="9.3000000000000007"/>
    <n v="4"/>
    <x v="1"/>
    <x v="0"/>
    <n v="4.9000000000000004"/>
    <n v="1"/>
    <n v="5.2"/>
    <x v="1"/>
    <n v="7"/>
    <n v="1"/>
    <n v="1"/>
    <n v="1"/>
    <n v="0"/>
    <n v="0"/>
    <n v="0"/>
    <x v="1"/>
    <x v="2"/>
    <x v="0"/>
  </r>
  <r>
    <n v="1170"/>
    <n v="43"/>
    <x v="0"/>
    <x v="0"/>
    <n v="8"/>
    <n v="4.3"/>
    <x v="1"/>
    <x v="0"/>
    <n v="4.8"/>
    <n v="1"/>
    <n v="6.8"/>
    <x v="1"/>
    <n v="8"/>
    <n v="4"/>
    <n v="1"/>
    <n v="0"/>
    <n v="1"/>
    <n v="1"/>
    <n v="0"/>
    <x v="1"/>
    <x v="2"/>
    <x v="1"/>
  </r>
  <r>
    <n v="1171"/>
    <n v="47"/>
    <x v="1"/>
    <x v="2"/>
    <n v="9.3000000000000007"/>
    <n v="2.1"/>
    <x v="2"/>
    <x v="1"/>
    <n v="3.2"/>
    <n v="7"/>
    <n v="10.1"/>
    <x v="0"/>
    <n v="5"/>
    <n v="1"/>
    <n v="0"/>
    <n v="1"/>
    <n v="0"/>
    <n v="1"/>
    <n v="1"/>
    <x v="1"/>
    <x v="1"/>
    <x v="0"/>
  </r>
  <r>
    <n v="1172"/>
    <n v="22"/>
    <x v="0"/>
    <x v="0"/>
    <n v="9.6999999999999993"/>
    <n v="1.2"/>
    <x v="2"/>
    <x v="1"/>
    <n v="7.9"/>
    <n v="9"/>
    <n v="11.5"/>
    <x v="2"/>
    <n v="2"/>
    <n v="3"/>
    <n v="1"/>
    <n v="0"/>
    <n v="1"/>
    <n v="1"/>
    <n v="0"/>
    <x v="2"/>
    <x v="0"/>
    <x v="0"/>
  </r>
  <r>
    <n v="1173"/>
    <n v="44"/>
    <x v="0"/>
    <x v="0"/>
    <n v="11.8"/>
    <n v="7.6"/>
    <x v="1"/>
    <x v="0"/>
    <n v="5.7"/>
    <n v="1"/>
    <n v="4.3"/>
    <x v="1"/>
    <n v="8"/>
    <n v="0"/>
    <n v="1"/>
    <n v="1"/>
    <n v="0"/>
    <n v="1"/>
    <n v="0"/>
    <x v="0"/>
    <x v="2"/>
    <x v="0"/>
  </r>
  <r>
    <n v="1174"/>
    <n v="23"/>
    <x v="0"/>
    <x v="0"/>
    <n v="7.7"/>
    <n v="2.7"/>
    <x v="1"/>
    <x v="0"/>
    <n v="5"/>
    <n v="2"/>
    <n v="4.5"/>
    <x v="0"/>
    <n v="10"/>
    <n v="2"/>
    <n v="0"/>
    <n v="0"/>
    <n v="1"/>
    <n v="0"/>
    <n v="1"/>
    <x v="0"/>
    <x v="2"/>
    <x v="1"/>
  </r>
  <r>
    <n v="1175"/>
    <n v="16"/>
    <x v="1"/>
    <x v="0"/>
    <n v="5.4"/>
    <n v="2.7"/>
    <x v="2"/>
    <x v="1"/>
    <n v="5.8"/>
    <n v="6"/>
    <n v="11.4"/>
    <x v="1"/>
    <n v="7"/>
    <n v="4"/>
    <n v="1"/>
    <n v="0"/>
    <n v="1"/>
    <n v="0"/>
    <n v="0"/>
    <x v="0"/>
    <x v="1"/>
    <x v="1"/>
  </r>
  <r>
    <n v="1176"/>
    <n v="18"/>
    <x v="1"/>
    <x v="0"/>
    <n v="8.5"/>
    <n v="1.6"/>
    <x v="2"/>
    <x v="1"/>
    <n v="7.9"/>
    <n v="6"/>
    <n v="6"/>
    <x v="1"/>
    <n v="10"/>
    <n v="1"/>
    <n v="1"/>
    <n v="1"/>
    <n v="1"/>
    <n v="0"/>
    <n v="0"/>
    <x v="2"/>
    <x v="1"/>
    <x v="0"/>
  </r>
  <r>
    <n v="1177"/>
    <n v="39"/>
    <x v="0"/>
    <x v="2"/>
    <n v="2.7"/>
    <n v="7.5"/>
    <x v="1"/>
    <x v="0"/>
    <n v="3.7"/>
    <n v="2"/>
    <n v="9.1999999999999993"/>
    <x v="1"/>
    <n v="9"/>
    <n v="4"/>
    <n v="0"/>
    <n v="0"/>
    <n v="0"/>
    <n v="0"/>
    <n v="1"/>
    <x v="1"/>
    <x v="2"/>
    <x v="2"/>
  </r>
  <r>
    <n v="1178"/>
    <n v="38"/>
    <x v="0"/>
    <x v="1"/>
    <n v="11"/>
    <n v="5.0999999999999996"/>
    <x v="1"/>
    <x v="0"/>
    <n v="8.1"/>
    <n v="9"/>
    <n v="8.1"/>
    <x v="0"/>
    <n v="4"/>
    <n v="0"/>
    <n v="1"/>
    <n v="0"/>
    <n v="1"/>
    <n v="0"/>
    <n v="1"/>
    <x v="2"/>
    <x v="0"/>
    <x v="0"/>
  </r>
  <r>
    <n v="1179"/>
    <n v="23"/>
    <x v="1"/>
    <x v="0"/>
    <n v="3.2"/>
    <n v="5.7"/>
    <x v="1"/>
    <x v="0"/>
    <n v="8.4"/>
    <n v="4"/>
    <n v="4.9000000000000004"/>
    <x v="2"/>
    <n v="9"/>
    <n v="0"/>
    <n v="0"/>
    <n v="1"/>
    <n v="0"/>
    <n v="1"/>
    <n v="1"/>
    <x v="2"/>
    <x v="1"/>
    <x v="2"/>
  </r>
  <r>
    <n v="1180"/>
    <n v="52"/>
    <x v="1"/>
    <x v="2"/>
    <n v="5.3"/>
    <n v="7.4"/>
    <x v="2"/>
    <x v="1"/>
    <n v="8.6999999999999993"/>
    <n v="7"/>
    <n v="8.5"/>
    <x v="2"/>
    <n v="4"/>
    <n v="4"/>
    <n v="1"/>
    <n v="0"/>
    <n v="0"/>
    <n v="1"/>
    <n v="0"/>
    <x v="2"/>
    <x v="1"/>
    <x v="1"/>
  </r>
  <r>
    <n v="1181"/>
    <n v="18"/>
    <x v="0"/>
    <x v="0"/>
    <n v="10.199999999999999"/>
    <n v="3.4"/>
    <x v="1"/>
    <x v="0"/>
    <n v="5.4"/>
    <n v="6"/>
    <n v="8.6"/>
    <x v="1"/>
    <n v="3"/>
    <n v="4"/>
    <n v="1"/>
    <n v="0"/>
    <n v="1"/>
    <n v="1"/>
    <n v="0"/>
    <x v="0"/>
    <x v="1"/>
    <x v="0"/>
  </r>
  <r>
    <n v="1182"/>
    <n v="48"/>
    <x v="1"/>
    <x v="0"/>
    <n v="8"/>
    <n v="5.4"/>
    <x v="2"/>
    <x v="1"/>
    <n v="4.3"/>
    <n v="3"/>
    <n v="7.9"/>
    <x v="2"/>
    <n v="3"/>
    <n v="4"/>
    <n v="0"/>
    <n v="0"/>
    <n v="1"/>
    <n v="1"/>
    <n v="1"/>
    <x v="1"/>
    <x v="2"/>
    <x v="1"/>
  </r>
  <r>
    <n v="1183"/>
    <n v="43"/>
    <x v="1"/>
    <x v="1"/>
    <n v="5.9"/>
    <n v="1.3"/>
    <x v="2"/>
    <x v="1"/>
    <n v="5.2"/>
    <n v="8"/>
    <n v="3"/>
    <x v="1"/>
    <n v="10"/>
    <n v="2"/>
    <n v="1"/>
    <n v="1"/>
    <n v="0"/>
    <n v="1"/>
    <n v="1"/>
    <x v="0"/>
    <x v="0"/>
    <x v="1"/>
  </r>
  <r>
    <n v="1184"/>
    <n v="23"/>
    <x v="1"/>
    <x v="0"/>
    <n v="6.7"/>
    <n v="2.2999999999999998"/>
    <x v="1"/>
    <x v="0"/>
    <n v="5"/>
    <n v="7"/>
    <n v="12"/>
    <x v="0"/>
    <n v="2"/>
    <n v="3"/>
    <n v="0"/>
    <n v="1"/>
    <n v="0"/>
    <n v="0"/>
    <n v="1"/>
    <x v="0"/>
    <x v="1"/>
    <x v="1"/>
  </r>
  <r>
    <n v="1185"/>
    <n v="49"/>
    <x v="1"/>
    <x v="2"/>
    <n v="10.5"/>
    <n v="6.8"/>
    <x v="1"/>
    <x v="0"/>
    <n v="4.0999999999999996"/>
    <n v="9"/>
    <n v="6"/>
    <x v="0"/>
    <n v="10"/>
    <n v="1"/>
    <n v="0"/>
    <n v="1"/>
    <n v="1"/>
    <n v="0"/>
    <n v="1"/>
    <x v="1"/>
    <x v="0"/>
    <x v="0"/>
  </r>
  <r>
    <n v="1186"/>
    <n v="50"/>
    <x v="0"/>
    <x v="2"/>
    <n v="5.4"/>
    <n v="6.4"/>
    <x v="2"/>
    <x v="1"/>
    <n v="6.6"/>
    <n v="3"/>
    <n v="8.4"/>
    <x v="0"/>
    <n v="3"/>
    <n v="1"/>
    <n v="1"/>
    <n v="1"/>
    <n v="0"/>
    <n v="0"/>
    <n v="1"/>
    <x v="0"/>
    <x v="2"/>
    <x v="1"/>
  </r>
  <r>
    <n v="1187"/>
    <n v="47"/>
    <x v="1"/>
    <x v="1"/>
    <n v="10.7"/>
    <n v="3.5"/>
    <x v="1"/>
    <x v="0"/>
    <n v="5.9"/>
    <n v="1"/>
    <n v="10.9"/>
    <x v="1"/>
    <n v="8"/>
    <n v="1"/>
    <n v="0"/>
    <n v="0"/>
    <n v="1"/>
    <n v="1"/>
    <n v="0"/>
    <x v="0"/>
    <x v="2"/>
    <x v="0"/>
  </r>
  <r>
    <n v="1188"/>
    <n v="39"/>
    <x v="1"/>
    <x v="0"/>
    <n v="2.9"/>
    <n v="3.6"/>
    <x v="2"/>
    <x v="1"/>
    <n v="8.1999999999999993"/>
    <n v="2"/>
    <n v="6.2"/>
    <x v="2"/>
    <n v="8"/>
    <n v="4"/>
    <n v="1"/>
    <n v="1"/>
    <n v="0"/>
    <n v="1"/>
    <n v="1"/>
    <x v="2"/>
    <x v="2"/>
    <x v="2"/>
  </r>
  <r>
    <n v="1189"/>
    <n v="29"/>
    <x v="0"/>
    <x v="2"/>
    <n v="9.8000000000000007"/>
    <n v="4.7"/>
    <x v="1"/>
    <x v="0"/>
    <n v="3.2"/>
    <n v="1"/>
    <n v="9.6999999999999993"/>
    <x v="0"/>
    <n v="2"/>
    <n v="4"/>
    <n v="0"/>
    <n v="0"/>
    <n v="0"/>
    <n v="0"/>
    <n v="1"/>
    <x v="1"/>
    <x v="2"/>
    <x v="0"/>
  </r>
  <r>
    <n v="1190"/>
    <n v="47"/>
    <x v="0"/>
    <x v="0"/>
    <n v="10.5"/>
    <n v="1"/>
    <x v="1"/>
    <x v="0"/>
    <n v="6.9"/>
    <n v="5"/>
    <n v="11.7"/>
    <x v="1"/>
    <n v="2"/>
    <n v="4"/>
    <n v="1"/>
    <n v="1"/>
    <n v="0"/>
    <n v="0"/>
    <n v="1"/>
    <x v="0"/>
    <x v="1"/>
    <x v="0"/>
  </r>
  <r>
    <n v="1191"/>
    <n v="58"/>
    <x v="1"/>
    <x v="0"/>
    <n v="3.8"/>
    <n v="2.7"/>
    <x v="1"/>
    <x v="0"/>
    <n v="7.6"/>
    <n v="10"/>
    <n v="5.6"/>
    <x v="2"/>
    <n v="2"/>
    <n v="2"/>
    <n v="1"/>
    <n v="1"/>
    <n v="0"/>
    <n v="1"/>
    <n v="1"/>
    <x v="2"/>
    <x v="0"/>
    <x v="2"/>
  </r>
  <r>
    <n v="1192"/>
    <n v="31"/>
    <x v="1"/>
    <x v="0"/>
    <n v="6.3"/>
    <n v="2.5"/>
    <x v="1"/>
    <x v="0"/>
    <n v="7.6"/>
    <n v="2"/>
    <n v="6.1"/>
    <x v="2"/>
    <n v="10"/>
    <n v="2"/>
    <n v="0"/>
    <n v="0"/>
    <n v="0"/>
    <n v="0"/>
    <n v="0"/>
    <x v="2"/>
    <x v="2"/>
    <x v="1"/>
  </r>
  <r>
    <n v="1193"/>
    <n v="19"/>
    <x v="1"/>
    <x v="1"/>
    <n v="3.7"/>
    <n v="2.8"/>
    <x v="2"/>
    <x v="1"/>
    <n v="8.3000000000000007"/>
    <n v="3"/>
    <n v="11.1"/>
    <x v="2"/>
    <n v="7"/>
    <n v="2"/>
    <n v="1"/>
    <n v="0"/>
    <n v="1"/>
    <n v="0"/>
    <n v="1"/>
    <x v="2"/>
    <x v="2"/>
    <x v="2"/>
  </r>
  <r>
    <n v="1194"/>
    <n v="52"/>
    <x v="1"/>
    <x v="0"/>
    <n v="9.1"/>
    <n v="6.6"/>
    <x v="2"/>
    <x v="1"/>
    <n v="7.4"/>
    <n v="8"/>
    <n v="3.6"/>
    <x v="1"/>
    <n v="6"/>
    <n v="2"/>
    <n v="1"/>
    <n v="1"/>
    <n v="1"/>
    <n v="1"/>
    <n v="0"/>
    <x v="2"/>
    <x v="0"/>
    <x v="0"/>
  </r>
  <r>
    <n v="1195"/>
    <n v="36"/>
    <x v="0"/>
    <x v="2"/>
    <n v="7.4"/>
    <n v="3"/>
    <x v="2"/>
    <x v="1"/>
    <n v="8.6"/>
    <n v="10"/>
    <n v="2.2999999999999998"/>
    <x v="1"/>
    <n v="1"/>
    <n v="0"/>
    <n v="1"/>
    <n v="1"/>
    <n v="1"/>
    <n v="1"/>
    <n v="1"/>
    <x v="2"/>
    <x v="0"/>
    <x v="1"/>
  </r>
  <r>
    <n v="1196"/>
    <n v="29"/>
    <x v="0"/>
    <x v="0"/>
    <n v="8.4"/>
    <n v="2.2999999999999998"/>
    <x v="1"/>
    <x v="0"/>
    <n v="5"/>
    <n v="5"/>
    <n v="11.1"/>
    <x v="1"/>
    <n v="2"/>
    <n v="2"/>
    <n v="0"/>
    <n v="1"/>
    <n v="1"/>
    <n v="1"/>
    <n v="0"/>
    <x v="0"/>
    <x v="1"/>
    <x v="0"/>
  </r>
  <r>
    <n v="1197"/>
    <n v="46"/>
    <x v="0"/>
    <x v="2"/>
    <n v="4"/>
    <n v="4.5"/>
    <x v="2"/>
    <x v="1"/>
    <n v="6"/>
    <n v="4"/>
    <n v="10.199999999999999"/>
    <x v="0"/>
    <n v="1"/>
    <n v="2"/>
    <n v="1"/>
    <n v="1"/>
    <n v="1"/>
    <n v="0"/>
    <n v="1"/>
    <x v="0"/>
    <x v="1"/>
    <x v="2"/>
  </r>
  <r>
    <n v="1198"/>
    <n v="33"/>
    <x v="1"/>
    <x v="0"/>
    <n v="4.0999999999999996"/>
    <n v="7.1"/>
    <x v="2"/>
    <x v="1"/>
    <n v="3.1"/>
    <n v="5"/>
    <n v="11.7"/>
    <x v="1"/>
    <n v="7"/>
    <n v="2"/>
    <n v="1"/>
    <n v="1"/>
    <n v="1"/>
    <n v="1"/>
    <n v="1"/>
    <x v="1"/>
    <x v="1"/>
    <x v="1"/>
  </r>
  <r>
    <n v="1199"/>
    <n v="22"/>
    <x v="1"/>
    <x v="2"/>
    <n v="2.4"/>
    <n v="2.7"/>
    <x v="2"/>
    <x v="1"/>
    <n v="3"/>
    <n v="10"/>
    <n v="2.6"/>
    <x v="0"/>
    <n v="6"/>
    <n v="1"/>
    <n v="0"/>
    <n v="0"/>
    <n v="0"/>
    <n v="1"/>
    <n v="1"/>
    <x v="1"/>
    <x v="0"/>
    <x v="2"/>
  </r>
  <r>
    <n v="1200"/>
    <n v="25"/>
    <x v="1"/>
    <x v="2"/>
    <n v="5.2"/>
    <n v="1.5"/>
    <x v="1"/>
    <x v="0"/>
    <n v="4.4000000000000004"/>
    <n v="6"/>
    <n v="3.6"/>
    <x v="0"/>
    <n v="2"/>
    <n v="1"/>
    <n v="1"/>
    <n v="1"/>
    <n v="0"/>
    <n v="1"/>
    <n v="0"/>
    <x v="1"/>
    <x v="1"/>
    <x v="1"/>
  </r>
  <r>
    <n v="1201"/>
    <n v="22"/>
    <x v="1"/>
    <x v="0"/>
    <n v="7.6"/>
    <n v="3.5"/>
    <x v="2"/>
    <x v="1"/>
    <n v="3.6"/>
    <n v="7"/>
    <n v="3.1"/>
    <x v="0"/>
    <n v="2"/>
    <n v="1"/>
    <n v="0"/>
    <n v="0"/>
    <n v="1"/>
    <n v="1"/>
    <n v="0"/>
    <x v="1"/>
    <x v="1"/>
    <x v="1"/>
  </r>
  <r>
    <n v="1202"/>
    <n v="48"/>
    <x v="0"/>
    <x v="0"/>
    <n v="10.6"/>
    <n v="6.2"/>
    <x v="1"/>
    <x v="0"/>
    <n v="4.5999999999999996"/>
    <n v="9"/>
    <n v="8.8000000000000007"/>
    <x v="1"/>
    <n v="2"/>
    <n v="3"/>
    <n v="0"/>
    <n v="1"/>
    <n v="1"/>
    <n v="1"/>
    <n v="1"/>
    <x v="1"/>
    <x v="0"/>
    <x v="0"/>
  </r>
  <r>
    <n v="1203"/>
    <n v="38"/>
    <x v="0"/>
    <x v="2"/>
    <n v="8.6999999999999993"/>
    <n v="4.9000000000000004"/>
    <x v="1"/>
    <x v="0"/>
    <n v="4.0999999999999996"/>
    <n v="1"/>
    <n v="8.1"/>
    <x v="0"/>
    <n v="8"/>
    <n v="0"/>
    <n v="1"/>
    <n v="1"/>
    <n v="0"/>
    <n v="0"/>
    <n v="0"/>
    <x v="1"/>
    <x v="2"/>
    <x v="0"/>
  </r>
  <r>
    <n v="1204"/>
    <n v="36"/>
    <x v="1"/>
    <x v="1"/>
    <n v="6.4"/>
    <n v="6.7"/>
    <x v="2"/>
    <x v="1"/>
    <n v="3.2"/>
    <n v="4"/>
    <n v="5.6"/>
    <x v="1"/>
    <n v="7"/>
    <n v="4"/>
    <n v="0"/>
    <n v="0"/>
    <n v="0"/>
    <n v="0"/>
    <n v="0"/>
    <x v="1"/>
    <x v="1"/>
    <x v="1"/>
  </r>
  <r>
    <n v="1205"/>
    <n v="34"/>
    <x v="0"/>
    <x v="0"/>
    <n v="11.5"/>
    <n v="7.7"/>
    <x v="1"/>
    <x v="0"/>
    <n v="8.5"/>
    <n v="9"/>
    <n v="2.6"/>
    <x v="1"/>
    <n v="1"/>
    <n v="2"/>
    <n v="1"/>
    <n v="1"/>
    <n v="0"/>
    <n v="1"/>
    <n v="0"/>
    <x v="2"/>
    <x v="0"/>
    <x v="0"/>
  </r>
  <r>
    <n v="1206"/>
    <n v="34"/>
    <x v="1"/>
    <x v="1"/>
    <n v="9.1999999999999993"/>
    <n v="6.5"/>
    <x v="2"/>
    <x v="1"/>
    <n v="3"/>
    <n v="5"/>
    <n v="8.4"/>
    <x v="0"/>
    <n v="4"/>
    <n v="1"/>
    <n v="1"/>
    <n v="0"/>
    <n v="1"/>
    <n v="0"/>
    <n v="0"/>
    <x v="1"/>
    <x v="1"/>
    <x v="0"/>
  </r>
  <r>
    <n v="1207"/>
    <n v="51"/>
    <x v="1"/>
    <x v="0"/>
    <n v="11.3"/>
    <n v="5.2"/>
    <x v="2"/>
    <x v="1"/>
    <n v="7.4"/>
    <n v="8"/>
    <n v="7.7"/>
    <x v="0"/>
    <n v="4"/>
    <n v="0"/>
    <n v="1"/>
    <n v="0"/>
    <n v="1"/>
    <n v="1"/>
    <n v="1"/>
    <x v="2"/>
    <x v="0"/>
    <x v="0"/>
  </r>
  <r>
    <n v="1208"/>
    <n v="44"/>
    <x v="0"/>
    <x v="0"/>
    <n v="7.3"/>
    <n v="4.5"/>
    <x v="2"/>
    <x v="1"/>
    <n v="3.9"/>
    <n v="1"/>
    <n v="3.1"/>
    <x v="0"/>
    <n v="7"/>
    <n v="2"/>
    <n v="0"/>
    <n v="1"/>
    <n v="0"/>
    <n v="1"/>
    <n v="1"/>
    <x v="1"/>
    <x v="2"/>
    <x v="1"/>
  </r>
  <r>
    <n v="1209"/>
    <n v="33"/>
    <x v="1"/>
    <x v="0"/>
    <n v="4.5999999999999996"/>
    <n v="1.3"/>
    <x v="2"/>
    <x v="1"/>
    <n v="8.5"/>
    <n v="4"/>
    <n v="11.1"/>
    <x v="1"/>
    <n v="2"/>
    <n v="3"/>
    <n v="0"/>
    <n v="0"/>
    <n v="0"/>
    <n v="1"/>
    <n v="0"/>
    <x v="2"/>
    <x v="1"/>
    <x v="1"/>
  </r>
  <r>
    <n v="1210"/>
    <n v="17"/>
    <x v="1"/>
    <x v="0"/>
    <n v="2.5"/>
    <n v="7.9"/>
    <x v="2"/>
    <x v="1"/>
    <n v="8.4"/>
    <n v="9"/>
    <n v="4"/>
    <x v="1"/>
    <n v="4"/>
    <n v="4"/>
    <n v="1"/>
    <n v="1"/>
    <n v="1"/>
    <n v="0"/>
    <n v="0"/>
    <x v="2"/>
    <x v="0"/>
    <x v="2"/>
  </r>
  <r>
    <n v="1211"/>
    <n v="16"/>
    <x v="0"/>
    <x v="1"/>
    <n v="9.3000000000000007"/>
    <n v="3.7"/>
    <x v="1"/>
    <x v="0"/>
    <n v="6.9"/>
    <n v="1"/>
    <n v="9.4"/>
    <x v="0"/>
    <n v="1"/>
    <n v="2"/>
    <n v="1"/>
    <n v="1"/>
    <n v="1"/>
    <n v="0"/>
    <n v="1"/>
    <x v="0"/>
    <x v="2"/>
    <x v="0"/>
  </r>
  <r>
    <n v="1212"/>
    <n v="20"/>
    <x v="1"/>
    <x v="0"/>
    <n v="3.2"/>
    <n v="2.1"/>
    <x v="2"/>
    <x v="1"/>
    <n v="7"/>
    <n v="1"/>
    <n v="10.9"/>
    <x v="0"/>
    <n v="4"/>
    <n v="4"/>
    <n v="0"/>
    <n v="1"/>
    <n v="0"/>
    <n v="0"/>
    <n v="0"/>
    <x v="2"/>
    <x v="2"/>
    <x v="2"/>
  </r>
  <r>
    <n v="1213"/>
    <n v="35"/>
    <x v="1"/>
    <x v="2"/>
    <n v="5"/>
    <n v="5.7"/>
    <x v="1"/>
    <x v="0"/>
    <n v="3"/>
    <n v="4"/>
    <n v="7.8"/>
    <x v="2"/>
    <n v="1"/>
    <n v="2"/>
    <n v="1"/>
    <n v="1"/>
    <n v="0"/>
    <n v="1"/>
    <n v="0"/>
    <x v="1"/>
    <x v="1"/>
    <x v="1"/>
  </r>
  <r>
    <n v="1214"/>
    <n v="26"/>
    <x v="0"/>
    <x v="2"/>
    <n v="7.3"/>
    <n v="3"/>
    <x v="2"/>
    <x v="1"/>
    <n v="8.9"/>
    <n v="3"/>
    <n v="4.5"/>
    <x v="0"/>
    <n v="2"/>
    <n v="3"/>
    <n v="0"/>
    <n v="1"/>
    <n v="0"/>
    <n v="1"/>
    <n v="0"/>
    <x v="2"/>
    <x v="2"/>
    <x v="1"/>
  </r>
  <r>
    <n v="1215"/>
    <n v="57"/>
    <x v="1"/>
    <x v="1"/>
    <n v="7.6"/>
    <n v="5.0999999999999996"/>
    <x v="2"/>
    <x v="1"/>
    <n v="8.3000000000000007"/>
    <n v="7"/>
    <n v="5.0999999999999996"/>
    <x v="2"/>
    <n v="2"/>
    <n v="0"/>
    <n v="0"/>
    <n v="1"/>
    <n v="1"/>
    <n v="0"/>
    <n v="1"/>
    <x v="2"/>
    <x v="1"/>
    <x v="1"/>
  </r>
  <r>
    <n v="1216"/>
    <n v="17"/>
    <x v="0"/>
    <x v="0"/>
    <n v="8"/>
    <n v="5.0999999999999996"/>
    <x v="2"/>
    <x v="1"/>
    <n v="8.4"/>
    <n v="3"/>
    <n v="10.9"/>
    <x v="2"/>
    <n v="10"/>
    <n v="4"/>
    <n v="1"/>
    <n v="1"/>
    <n v="1"/>
    <n v="1"/>
    <n v="1"/>
    <x v="2"/>
    <x v="2"/>
    <x v="1"/>
  </r>
  <r>
    <n v="1217"/>
    <n v="18"/>
    <x v="1"/>
    <x v="2"/>
    <n v="3.7"/>
    <n v="4.0999999999999996"/>
    <x v="1"/>
    <x v="0"/>
    <n v="7"/>
    <n v="1"/>
    <n v="5"/>
    <x v="1"/>
    <n v="3"/>
    <n v="4"/>
    <n v="1"/>
    <n v="0"/>
    <n v="1"/>
    <n v="0"/>
    <n v="0"/>
    <x v="2"/>
    <x v="2"/>
    <x v="2"/>
  </r>
  <r>
    <n v="1218"/>
    <n v="38"/>
    <x v="0"/>
    <x v="1"/>
    <n v="5.8"/>
    <n v="6.9"/>
    <x v="1"/>
    <x v="0"/>
    <n v="5.0999999999999996"/>
    <n v="10"/>
    <n v="9.5"/>
    <x v="1"/>
    <n v="8"/>
    <n v="0"/>
    <n v="1"/>
    <n v="1"/>
    <n v="1"/>
    <n v="1"/>
    <n v="1"/>
    <x v="0"/>
    <x v="0"/>
    <x v="1"/>
  </r>
  <r>
    <n v="1219"/>
    <n v="27"/>
    <x v="0"/>
    <x v="0"/>
    <n v="8.1999999999999993"/>
    <n v="2.9"/>
    <x v="1"/>
    <x v="0"/>
    <n v="8.4"/>
    <n v="2"/>
    <n v="11.9"/>
    <x v="2"/>
    <n v="6"/>
    <n v="4"/>
    <n v="0"/>
    <n v="0"/>
    <n v="1"/>
    <n v="1"/>
    <n v="0"/>
    <x v="2"/>
    <x v="2"/>
    <x v="0"/>
  </r>
  <r>
    <n v="1220"/>
    <n v="35"/>
    <x v="0"/>
    <x v="2"/>
    <n v="11.7"/>
    <n v="4.0999999999999996"/>
    <x v="1"/>
    <x v="0"/>
    <n v="4.7"/>
    <n v="10"/>
    <n v="12"/>
    <x v="2"/>
    <n v="6"/>
    <n v="1"/>
    <n v="0"/>
    <n v="1"/>
    <n v="1"/>
    <n v="1"/>
    <n v="1"/>
    <x v="1"/>
    <x v="0"/>
    <x v="0"/>
  </r>
  <r>
    <n v="1221"/>
    <n v="20"/>
    <x v="1"/>
    <x v="2"/>
    <n v="9.3000000000000007"/>
    <n v="4.8"/>
    <x v="2"/>
    <x v="1"/>
    <n v="6.4"/>
    <n v="4"/>
    <n v="7.3"/>
    <x v="0"/>
    <n v="9"/>
    <n v="0"/>
    <n v="0"/>
    <n v="1"/>
    <n v="0"/>
    <n v="0"/>
    <n v="0"/>
    <x v="0"/>
    <x v="1"/>
    <x v="0"/>
  </r>
  <r>
    <n v="1222"/>
    <n v="52"/>
    <x v="0"/>
    <x v="1"/>
    <n v="11.2"/>
    <n v="5.6"/>
    <x v="2"/>
    <x v="1"/>
    <n v="3.6"/>
    <n v="1"/>
    <n v="10.3"/>
    <x v="2"/>
    <n v="8"/>
    <n v="3"/>
    <n v="0"/>
    <n v="0"/>
    <n v="0"/>
    <n v="1"/>
    <n v="0"/>
    <x v="1"/>
    <x v="2"/>
    <x v="0"/>
  </r>
  <r>
    <n v="1223"/>
    <n v="53"/>
    <x v="0"/>
    <x v="0"/>
    <n v="9.6"/>
    <n v="6.5"/>
    <x v="1"/>
    <x v="0"/>
    <n v="8.5"/>
    <n v="1"/>
    <n v="11.9"/>
    <x v="0"/>
    <n v="2"/>
    <n v="2"/>
    <n v="1"/>
    <n v="0"/>
    <n v="1"/>
    <n v="0"/>
    <n v="0"/>
    <x v="2"/>
    <x v="2"/>
    <x v="0"/>
  </r>
  <r>
    <n v="1224"/>
    <n v="45"/>
    <x v="0"/>
    <x v="0"/>
    <n v="7.9"/>
    <n v="3.8"/>
    <x v="1"/>
    <x v="0"/>
    <n v="3.8"/>
    <n v="8"/>
    <n v="5.7"/>
    <x v="1"/>
    <n v="6"/>
    <n v="2"/>
    <n v="0"/>
    <n v="0"/>
    <n v="1"/>
    <n v="1"/>
    <n v="1"/>
    <x v="1"/>
    <x v="0"/>
    <x v="1"/>
  </r>
  <r>
    <n v="1225"/>
    <n v="24"/>
    <x v="0"/>
    <x v="2"/>
    <n v="3.9"/>
    <n v="5.5"/>
    <x v="1"/>
    <x v="0"/>
    <n v="4.3"/>
    <n v="7"/>
    <n v="4.5"/>
    <x v="0"/>
    <n v="1"/>
    <n v="0"/>
    <n v="1"/>
    <n v="0"/>
    <n v="0"/>
    <n v="0"/>
    <n v="1"/>
    <x v="1"/>
    <x v="1"/>
    <x v="2"/>
  </r>
  <r>
    <n v="1226"/>
    <n v="49"/>
    <x v="0"/>
    <x v="2"/>
    <n v="8.6999999999999993"/>
    <n v="2.1"/>
    <x v="2"/>
    <x v="1"/>
    <n v="6.3"/>
    <n v="8"/>
    <n v="3.1"/>
    <x v="1"/>
    <n v="9"/>
    <n v="1"/>
    <n v="0"/>
    <n v="1"/>
    <n v="1"/>
    <n v="1"/>
    <n v="1"/>
    <x v="0"/>
    <x v="0"/>
    <x v="0"/>
  </r>
  <r>
    <n v="1227"/>
    <n v="59"/>
    <x v="1"/>
    <x v="2"/>
    <n v="8.1999999999999993"/>
    <n v="7.5"/>
    <x v="1"/>
    <x v="0"/>
    <n v="7.6"/>
    <n v="4"/>
    <n v="3.4"/>
    <x v="2"/>
    <n v="4"/>
    <n v="3"/>
    <n v="0"/>
    <n v="1"/>
    <n v="1"/>
    <n v="1"/>
    <n v="0"/>
    <x v="2"/>
    <x v="1"/>
    <x v="0"/>
  </r>
  <r>
    <n v="1228"/>
    <n v="50"/>
    <x v="1"/>
    <x v="0"/>
    <n v="8"/>
    <n v="3.7"/>
    <x v="1"/>
    <x v="0"/>
    <n v="6.7"/>
    <n v="6"/>
    <n v="10.5"/>
    <x v="2"/>
    <n v="4"/>
    <n v="2"/>
    <n v="1"/>
    <n v="0"/>
    <n v="1"/>
    <n v="1"/>
    <n v="1"/>
    <x v="0"/>
    <x v="1"/>
    <x v="1"/>
  </r>
  <r>
    <n v="1229"/>
    <n v="37"/>
    <x v="1"/>
    <x v="1"/>
    <n v="6.9"/>
    <n v="6.1"/>
    <x v="2"/>
    <x v="1"/>
    <n v="4.4000000000000004"/>
    <n v="3"/>
    <n v="7.9"/>
    <x v="2"/>
    <n v="9"/>
    <n v="2"/>
    <n v="0"/>
    <n v="1"/>
    <n v="0"/>
    <n v="1"/>
    <n v="1"/>
    <x v="1"/>
    <x v="2"/>
    <x v="1"/>
  </r>
  <r>
    <n v="1230"/>
    <n v="59"/>
    <x v="1"/>
    <x v="1"/>
    <n v="7.3"/>
    <n v="1.1000000000000001"/>
    <x v="1"/>
    <x v="0"/>
    <n v="3"/>
    <n v="8"/>
    <n v="10.7"/>
    <x v="0"/>
    <n v="3"/>
    <n v="1"/>
    <n v="1"/>
    <n v="0"/>
    <n v="1"/>
    <n v="0"/>
    <n v="1"/>
    <x v="1"/>
    <x v="0"/>
    <x v="1"/>
  </r>
  <r>
    <n v="1231"/>
    <n v="39"/>
    <x v="1"/>
    <x v="0"/>
    <n v="5.3"/>
    <n v="2.4"/>
    <x v="2"/>
    <x v="1"/>
    <n v="7.5"/>
    <n v="4"/>
    <n v="9.9"/>
    <x v="1"/>
    <n v="5"/>
    <n v="4"/>
    <n v="0"/>
    <n v="0"/>
    <n v="1"/>
    <n v="0"/>
    <n v="1"/>
    <x v="2"/>
    <x v="1"/>
    <x v="1"/>
  </r>
  <r>
    <n v="1232"/>
    <n v="32"/>
    <x v="1"/>
    <x v="1"/>
    <n v="7.2"/>
    <n v="4.4000000000000004"/>
    <x v="2"/>
    <x v="1"/>
    <n v="8.9"/>
    <n v="3"/>
    <n v="8.6999999999999993"/>
    <x v="1"/>
    <n v="1"/>
    <n v="0"/>
    <n v="1"/>
    <n v="0"/>
    <n v="1"/>
    <n v="0"/>
    <n v="1"/>
    <x v="2"/>
    <x v="2"/>
    <x v="1"/>
  </r>
  <r>
    <n v="1233"/>
    <n v="25"/>
    <x v="1"/>
    <x v="2"/>
    <n v="4"/>
    <n v="7.1"/>
    <x v="2"/>
    <x v="1"/>
    <n v="7.9"/>
    <n v="4"/>
    <n v="8.1"/>
    <x v="1"/>
    <n v="6"/>
    <n v="1"/>
    <n v="0"/>
    <n v="0"/>
    <n v="0"/>
    <n v="1"/>
    <n v="0"/>
    <x v="2"/>
    <x v="1"/>
    <x v="2"/>
  </r>
  <r>
    <n v="1234"/>
    <n v="45"/>
    <x v="0"/>
    <x v="1"/>
    <n v="10.1"/>
    <n v="4.7"/>
    <x v="2"/>
    <x v="1"/>
    <n v="5.8"/>
    <n v="6"/>
    <n v="2.5"/>
    <x v="1"/>
    <n v="3"/>
    <n v="1"/>
    <n v="0"/>
    <n v="0"/>
    <n v="0"/>
    <n v="0"/>
    <n v="0"/>
    <x v="0"/>
    <x v="1"/>
    <x v="0"/>
  </r>
  <r>
    <n v="1235"/>
    <n v="38"/>
    <x v="1"/>
    <x v="1"/>
    <n v="3.9"/>
    <n v="7.5"/>
    <x v="2"/>
    <x v="1"/>
    <n v="8.4"/>
    <n v="7"/>
    <n v="10.7"/>
    <x v="1"/>
    <n v="1"/>
    <n v="1"/>
    <n v="1"/>
    <n v="1"/>
    <n v="1"/>
    <n v="1"/>
    <n v="0"/>
    <x v="2"/>
    <x v="1"/>
    <x v="2"/>
  </r>
  <r>
    <n v="1236"/>
    <n v="47"/>
    <x v="0"/>
    <x v="1"/>
    <n v="2.8"/>
    <n v="4.4000000000000004"/>
    <x v="1"/>
    <x v="0"/>
    <n v="5.5"/>
    <n v="7"/>
    <n v="6.2"/>
    <x v="0"/>
    <n v="10"/>
    <n v="1"/>
    <n v="1"/>
    <n v="0"/>
    <n v="1"/>
    <n v="0"/>
    <n v="0"/>
    <x v="0"/>
    <x v="1"/>
    <x v="2"/>
  </r>
  <r>
    <n v="1237"/>
    <n v="32"/>
    <x v="0"/>
    <x v="2"/>
    <n v="6.4"/>
    <n v="4.4000000000000004"/>
    <x v="1"/>
    <x v="0"/>
    <n v="6.1"/>
    <n v="4"/>
    <n v="7.6"/>
    <x v="1"/>
    <n v="6"/>
    <n v="4"/>
    <n v="1"/>
    <n v="0"/>
    <n v="1"/>
    <n v="1"/>
    <n v="0"/>
    <x v="0"/>
    <x v="1"/>
    <x v="1"/>
  </r>
  <r>
    <n v="1238"/>
    <n v="32"/>
    <x v="1"/>
    <x v="0"/>
    <n v="8.6"/>
    <n v="1.8"/>
    <x v="2"/>
    <x v="1"/>
    <n v="5.9"/>
    <n v="8"/>
    <n v="2.2000000000000002"/>
    <x v="2"/>
    <n v="10"/>
    <n v="3"/>
    <n v="0"/>
    <n v="1"/>
    <n v="0"/>
    <n v="1"/>
    <n v="0"/>
    <x v="0"/>
    <x v="0"/>
    <x v="0"/>
  </r>
  <r>
    <n v="1239"/>
    <n v="29"/>
    <x v="0"/>
    <x v="2"/>
    <n v="6.4"/>
    <n v="6.6"/>
    <x v="2"/>
    <x v="1"/>
    <n v="5.7"/>
    <n v="7"/>
    <n v="11.4"/>
    <x v="1"/>
    <n v="2"/>
    <n v="1"/>
    <n v="0"/>
    <n v="0"/>
    <n v="0"/>
    <n v="0"/>
    <n v="1"/>
    <x v="0"/>
    <x v="1"/>
    <x v="1"/>
  </r>
  <r>
    <n v="1240"/>
    <n v="24"/>
    <x v="0"/>
    <x v="0"/>
    <n v="4.8"/>
    <n v="2.7"/>
    <x v="1"/>
    <x v="0"/>
    <n v="7.7"/>
    <n v="2"/>
    <n v="11"/>
    <x v="2"/>
    <n v="8"/>
    <n v="1"/>
    <n v="0"/>
    <n v="0"/>
    <n v="1"/>
    <n v="0"/>
    <n v="1"/>
    <x v="2"/>
    <x v="2"/>
    <x v="1"/>
  </r>
  <r>
    <n v="1241"/>
    <n v="55"/>
    <x v="0"/>
    <x v="0"/>
    <n v="7.6"/>
    <n v="7.3"/>
    <x v="1"/>
    <x v="0"/>
    <n v="6.2"/>
    <n v="8"/>
    <n v="7.4"/>
    <x v="0"/>
    <n v="2"/>
    <n v="0"/>
    <n v="0"/>
    <n v="1"/>
    <n v="1"/>
    <n v="0"/>
    <n v="1"/>
    <x v="0"/>
    <x v="0"/>
    <x v="1"/>
  </r>
  <r>
    <n v="1242"/>
    <n v="17"/>
    <x v="0"/>
    <x v="0"/>
    <n v="5.5"/>
    <n v="7.4"/>
    <x v="2"/>
    <x v="1"/>
    <n v="4.9000000000000004"/>
    <n v="9"/>
    <n v="7.8"/>
    <x v="0"/>
    <n v="4"/>
    <n v="2"/>
    <n v="0"/>
    <n v="1"/>
    <n v="1"/>
    <n v="1"/>
    <n v="1"/>
    <x v="1"/>
    <x v="0"/>
    <x v="1"/>
  </r>
  <r>
    <n v="1243"/>
    <n v="40"/>
    <x v="1"/>
    <x v="1"/>
    <n v="11.3"/>
    <n v="7.6"/>
    <x v="1"/>
    <x v="0"/>
    <n v="4.5"/>
    <n v="5"/>
    <n v="9.1"/>
    <x v="2"/>
    <n v="3"/>
    <n v="4"/>
    <n v="0"/>
    <n v="1"/>
    <n v="1"/>
    <n v="1"/>
    <n v="1"/>
    <x v="1"/>
    <x v="1"/>
    <x v="0"/>
  </r>
  <r>
    <n v="1244"/>
    <n v="54"/>
    <x v="1"/>
    <x v="1"/>
    <n v="11.2"/>
    <n v="4.5999999999999996"/>
    <x v="1"/>
    <x v="0"/>
    <n v="3.2"/>
    <n v="4"/>
    <n v="4.5999999999999996"/>
    <x v="1"/>
    <n v="9"/>
    <n v="1"/>
    <n v="1"/>
    <n v="1"/>
    <n v="0"/>
    <n v="0"/>
    <n v="0"/>
    <x v="1"/>
    <x v="1"/>
    <x v="0"/>
  </r>
  <r>
    <n v="1245"/>
    <n v="24"/>
    <x v="1"/>
    <x v="0"/>
    <n v="7"/>
    <n v="5.7"/>
    <x v="2"/>
    <x v="1"/>
    <n v="6.5"/>
    <n v="4"/>
    <n v="4.2"/>
    <x v="0"/>
    <n v="2"/>
    <n v="3"/>
    <n v="0"/>
    <n v="1"/>
    <n v="0"/>
    <n v="0"/>
    <n v="1"/>
    <x v="0"/>
    <x v="1"/>
    <x v="1"/>
  </r>
  <r>
    <n v="1246"/>
    <n v="37"/>
    <x v="1"/>
    <x v="0"/>
    <n v="5.3"/>
    <n v="6.4"/>
    <x v="1"/>
    <x v="0"/>
    <n v="4.4000000000000004"/>
    <n v="4"/>
    <n v="8.6999999999999993"/>
    <x v="0"/>
    <n v="3"/>
    <n v="3"/>
    <n v="0"/>
    <n v="0"/>
    <n v="1"/>
    <n v="0"/>
    <n v="0"/>
    <x v="1"/>
    <x v="1"/>
    <x v="1"/>
  </r>
  <r>
    <n v="1247"/>
    <n v="58"/>
    <x v="1"/>
    <x v="1"/>
    <n v="9.4"/>
    <n v="1.9"/>
    <x v="1"/>
    <x v="0"/>
    <n v="3.9"/>
    <n v="6"/>
    <n v="3"/>
    <x v="0"/>
    <n v="7"/>
    <n v="3"/>
    <n v="1"/>
    <n v="0"/>
    <n v="1"/>
    <n v="1"/>
    <n v="0"/>
    <x v="1"/>
    <x v="1"/>
    <x v="0"/>
  </r>
  <r>
    <n v="1248"/>
    <n v="19"/>
    <x v="1"/>
    <x v="2"/>
    <n v="2.4"/>
    <n v="5.2"/>
    <x v="1"/>
    <x v="0"/>
    <n v="6.9"/>
    <n v="4"/>
    <n v="6.5"/>
    <x v="1"/>
    <n v="4"/>
    <n v="0"/>
    <n v="1"/>
    <n v="0"/>
    <n v="1"/>
    <n v="1"/>
    <n v="1"/>
    <x v="0"/>
    <x v="1"/>
    <x v="2"/>
  </r>
  <r>
    <n v="1249"/>
    <n v="41"/>
    <x v="1"/>
    <x v="0"/>
    <n v="6.7"/>
    <n v="1.2"/>
    <x v="1"/>
    <x v="0"/>
    <n v="7.1"/>
    <n v="7"/>
    <n v="6.9"/>
    <x v="2"/>
    <n v="6"/>
    <n v="3"/>
    <n v="1"/>
    <n v="1"/>
    <n v="1"/>
    <n v="1"/>
    <n v="1"/>
    <x v="2"/>
    <x v="1"/>
    <x v="1"/>
  </r>
  <r>
    <n v="1250"/>
    <n v="44"/>
    <x v="1"/>
    <x v="2"/>
    <n v="5.4"/>
    <n v="4.5"/>
    <x v="2"/>
    <x v="1"/>
    <n v="7.5"/>
    <n v="7"/>
    <n v="5.8"/>
    <x v="2"/>
    <n v="3"/>
    <n v="0"/>
    <n v="1"/>
    <n v="1"/>
    <n v="1"/>
    <n v="1"/>
    <n v="0"/>
    <x v="2"/>
    <x v="1"/>
    <x v="1"/>
  </r>
  <r>
    <n v="1251"/>
    <n v="49"/>
    <x v="1"/>
    <x v="1"/>
    <n v="11.2"/>
    <n v="2.1"/>
    <x v="1"/>
    <x v="0"/>
    <n v="6"/>
    <n v="5"/>
    <n v="3.9"/>
    <x v="1"/>
    <n v="1"/>
    <n v="4"/>
    <n v="1"/>
    <n v="1"/>
    <n v="1"/>
    <n v="0"/>
    <n v="0"/>
    <x v="0"/>
    <x v="1"/>
    <x v="0"/>
  </r>
  <r>
    <n v="1252"/>
    <n v="38"/>
    <x v="1"/>
    <x v="0"/>
    <n v="2.1"/>
    <n v="2.2999999999999998"/>
    <x v="2"/>
    <x v="1"/>
    <n v="8.4"/>
    <n v="5"/>
    <n v="5.6"/>
    <x v="0"/>
    <n v="6"/>
    <n v="3"/>
    <n v="0"/>
    <n v="1"/>
    <n v="1"/>
    <n v="1"/>
    <n v="1"/>
    <x v="2"/>
    <x v="1"/>
    <x v="2"/>
  </r>
  <r>
    <n v="1253"/>
    <n v="52"/>
    <x v="0"/>
    <x v="2"/>
    <n v="7.5"/>
    <n v="3.6"/>
    <x v="1"/>
    <x v="0"/>
    <n v="8.6"/>
    <n v="10"/>
    <n v="5.4"/>
    <x v="1"/>
    <n v="4"/>
    <n v="2"/>
    <n v="0"/>
    <n v="1"/>
    <n v="0"/>
    <n v="1"/>
    <n v="0"/>
    <x v="2"/>
    <x v="0"/>
    <x v="1"/>
  </r>
  <r>
    <n v="1254"/>
    <n v="26"/>
    <x v="1"/>
    <x v="2"/>
    <n v="9.4"/>
    <n v="4"/>
    <x v="2"/>
    <x v="1"/>
    <n v="7.8"/>
    <n v="8"/>
    <n v="7"/>
    <x v="1"/>
    <n v="2"/>
    <n v="1"/>
    <n v="1"/>
    <n v="1"/>
    <n v="0"/>
    <n v="0"/>
    <n v="1"/>
    <x v="2"/>
    <x v="0"/>
    <x v="0"/>
  </r>
  <r>
    <n v="1255"/>
    <n v="21"/>
    <x v="0"/>
    <x v="2"/>
    <n v="6.9"/>
    <n v="5.4"/>
    <x v="2"/>
    <x v="1"/>
    <n v="6.8"/>
    <n v="7"/>
    <n v="8.6999999999999993"/>
    <x v="2"/>
    <n v="7"/>
    <n v="4"/>
    <n v="1"/>
    <n v="0"/>
    <n v="1"/>
    <n v="1"/>
    <n v="1"/>
    <x v="0"/>
    <x v="1"/>
    <x v="1"/>
  </r>
  <r>
    <n v="1256"/>
    <n v="33"/>
    <x v="0"/>
    <x v="1"/>
    <n v="2.9"/>
    <n v="1.5"/>
    <x v="1"/>
    <x v="0"/>
    <n v="4.8"/>
    <n v="7"/>
    <n v="11.7"/>
    <x v="1"/>
    <n v="10"/>
    <n v="2"/>
    <n v="0"/>
    <n v="1"/>
    <n v="1"/>
    <n v="0"/>
    <n v="1"/>
    <x v="1"/>
    <x v="1"/>
    <x v="2"/>
  </r>
  <r>
    <n v="1257"/>
    <n v="36"/>
    <x v="0"/>
    <x v="1"/>
    <n v="11.7"/>
    <n v="4.5"/>
    <x v="2"/>
    <x v="1"/>
    <n v="8.9"/>
    <n v="6"/>
    <n v="3.4"/>
    <x v="1"/>
    <n v="5"/>
    <n v="4"/>
    <n v="1"/>
    <n v="0"/>
    <n v="1"/>
    <n v="0"/>
    <n v="0"/>
    <x v="2"/>
    <x v="1"/>
    <x v="0"/>
  </r>
  <r>
    <n v="1258"/>
    <n v="57"/>
    <x v="0"/>
    <x v="2"/>
    <n v="7.2"/>
    <n v="2.2999999999999998"/>
    <x v="2"/>
    <x v="1"/>
    <n v="4.5999999999999996"/>
    <n v="7"/>
    <n v="10.7"/>
    <x v="0"/>
    <n v="6"/>
    <n v="3"/>
    <n v="0"/>
    <n v="0"/>
    <n v="1"/>
    <n v="1"/>
    <n v="1"/>
    <x v="1"/>
    <x v="1"/>
    <x v="1"/>
  </r>
  <r>
    <n v="1259"/>
    <n v="51"/>
    <x v="1"/>
    <x v="2"/>
    <n v="8.1"/>
    <n v="5"/>
    <x v="2"/>
    <x v="1"/>
    <n v="4.2"/>
    <n v="7"/>
    <n v="4.8"/>
    <x v="0"/>
    <n v="6"/>
    <n v="4"/>
    <n v="0"/>
    <n v="0"/>
    <n v="1"/>
    <n v="1"/>
    <n v="1"/>
    <x v="1"/>
    <x v="1"/>
    <x v="0"/>
  </r>
  <r>
    <n v="1260"/>
    <n v="56"/>
    <x v="0"/>
    <x v="1"/>
    <n v="4.4000000000000004"/>
    <n v="5.5"/>
    <x v="2"/>
    <x v="1"/>
    <n v="5.7"/>
    <n v="10"/>
    <n v="7.9"/>
    <x v="2"/>
    <n v="9"/>
    <n v="4"/>
    <n v="1"/>
    <n v="1"/>
    <n v="1"/>
    <n v="1"/>
    <n v="0"/>
    <x v="0"/>
    <x v="0"/>
    <x v="1"/>
  </r>
  <r>
    <n v="1261"/>
    <n v="53"/>
    <x v="1"/>
    <x v="2"/>
    <n v="6.8"/>
    <n v="4.9000000000000004"/>
    <x v="2"/>
    <x v="1"/>
    <n v="3.3"/>
    <n v="2"/>
    <n v="7.5"/>
    <x v="0"/>
    <n v="2"/>
    <n v="4"/>
    <n v="0"/>
    <n v="1"/>
    <n v="0"/>
    <n v="0"/>
    <n v="0"/>
    <x v="1"/>
    <x v="2"/>
    <x v="1"/>
  </r>
  <r>
    <n v="1262"/>
    <n v="49"/>
    <x v="1"/>
    <x v="2"/>
    <n v="6.3"/>
    <n v="6.2"/>
    <x v="1"/>
    <x v="0"/>
    <n v="8.9"/>
    <n v="10"/>
    <n v="7.6"/>
    <x v="1"/>
    <n v="6"/>
    <n v="0"/>
    <n v="0"/>
    <n v="1"/>
    <n v="1"/>
    <n v="1"/>
    <n v="0"/>
    <x v="2"/>
    <x v="0"/>
    <x v="1"/>
  </r>
  <r>
    <n v="1263"/>
    <n v="32"/>
    <x v="0"/>
    <x v="1"/>
    <n v="2.7"/>
    <n v="3.3"/>
    <x v="2"/>
    <x v="1"/>
    <n v="6.5"/>
    <n v="2"/>
    <n v="9.1999999999999993"/>
    <x v="1"/>
    <n v="9"/>
    <n v="2"/>
    <n v="0"/>
    <n v="1"/>
    <n v="0"/>
    <n v="0"/>
    <n v="1"/>
    <x v="0"/>
    <x v="2"/>
    <x v="2"/>
  </r>
  <r>
    <n v="1264"/>
    <n v="52"/>
    <x v="1"/>
    <x v="2"/>
    <n v="3.1"/>
    <n v="6.4"/>
    <x v="2"/>
    <x v="1"/>
    <n v="6.3"/>
    <n v="10"/>
    <n v="5.8"/>
    <x v="1"/>
    <n v="4"/>
    <n v="3"/>
    <n v="0"/>
    <n v="1"/>
    <n v="0"/>
    <n v="1"/>
    <n v="1"/>
    <x v="0"/>
    <x v="0"/>
    <x v="2"/>
  </r>
  <r>
    <n v="1265"/>
    <n v="40"/>
    <x v="0"/>
    <x v="2"/>
    <n v="10.4"/>
    <n v="4"/>
    <x v="1"/>
    <x v="0"/>
    <n v="6.9"/>
    <n v="7"/>
    <n v="5.2"/>
    <x v="2"/>
    <n v="6"/>
    <n v="1"/>
    <n v="1"/>
    <n v="0"/>
    <n v="1"/>
    <n v="0"/>
    <n v="0"/>
    <x v="0"/>
    <x v="1"/>
    <x v="0"/>
  </r>
  <r>
    <n v="1266"/>
    <n v="53"/>
    <x v="0"/>
    <x v="2"/>
    <n v="4.4000000000000004"/>
    <n v="4.4000000000000004"/>
    <x v="1"/>
    <x v="0"/>
    <n v="6"/>
    <n v="10"/>
    <n v="10.5"/>
    <x v="0"/>
    <n v="7"/>
    <n v="3"/>
    <n v="1"/>
    <n v="0"/>
    <n v="1"/>
    <n v="0"/>
    <n v="1"/>
    <x v="0"/>
    <x v="0"/>
    <x v="1"/>
  </r>
  <r>
    <n v="1267"/>
    <n v="27"/>
    <x v="1"/>
    <x v="1"/>
    <n v="3.9"/>
    <n v="5.5"/>
    <x v="2"/>
    <x v="1"/>
    <n v="3.2"/>
    <n v="7"/>
    <n v="4.2"/>
    <x v="1"/>
    <n v="1"/>
    <n v="3"/>
    <n v="1"/>
    <n v="1"/>
    <n v="1"/>
    <n v="0"/>
    <n v="0"/>
    <x v="1"/>
    <x v="1"/>
    <x v="2"/>
  </r>
  <r>
    <n v="1268"/>
    <n v="38"/>
    <x v="1"/>
    <x v="2"/>
    <n v="7"/>
    <n v="1.1000000000000001"/>
    <x v="1"/>
    <x v="0"/>
    <n v="6.7"/>
    <n v="7"/>
    <n v="3.8"/>
    <x v="0"/>
    <n v="5"/>
    <n v="0"/>
    <n v="1"/>
    <n v="0"/>
    <n v="0"/>
    <n v="1"/>
    <n v="0"/>
    <x v="0"/>
    <x v="1"/>
    <x v="1"/>
  </r>
  <r>
    <n v="1269"/>
    <n v="57"/>
    <x v="0"/>
    <x v="1"/>
    <n v="9.6999999999999993"/>
    <n v="5.6"/>
    <x v="1"/>
    <x v="0"/>
    <n v="7.3"/>
    <n v="5"/>
    <n v="2.2000000000000002"/>
    <x v="0"/>
    <n v="4"/>
    <n v="0"/>
    <n v="1"/>
    <n v="0"/>
    <n v="1"/>
    <n v="1"/>
    <n v="0"/>
    <x v="2"/>
    <x v="1"/>
    <x v="0"/>
  </r>
  <r>
    <n v="1270"/>
    <n v="37"/>
    <x v="1"/>
    <x v="1"/>
    <n v="2.6"/>
    <n v="5.3"/>
    <x v="1"/>
    <x v="0"/>
    <n v="5.5"/>
    <n v="1"/>
    <n v="4.0999999999999996"/>
    <x v="0"/>
    <n v="10"/>
    <n v="4"/>
    <n v="0"/>
    <n v="1"/>
    <n v="1"/>
    <n v="1"/>
    <n v="0"/>
    <x v="0"/>
    <x v="2"/>
    <x v="2"/>
  </r>
  <r>
    <n v="1271"/>
    <n v="36"/>
    <x v="1"/>
    <x v="0"/>
    <n v="7.8"/>
    <n v="3.2"/>
    <x v="1"/>
    <x v="0"/>
    <n v="7.5"/>
    <n v="2"/>
    <n v="7.2"/>
    <x v="0"/>
    <n v="2"/>
    <n v="3"/>
    <n v="0"/>
    <n v="0"/>
    <n v="0"/>
    <n v="0"/>
    <n v="1"/>
    <x v="2"/>
    <x v="2"/>
    <x v="1"/>
  </r>
  <r>
    <n v="1272"/>
    <n v="42"/>
    <x v="1"/>
    <x v="0"/>
    <n v="3.2"/>
    <n v="1.6"/>
    <x v="1"/>
    <x v="0"/>
    <n v="4.4000000000000004"/>
    <n v="9"/>
    <n v="7.4"/>
    <x v="2"/>
    <n v="2"/>
    <n v="2"/>
    <n v="0"/>
    <n v="0"/>
    <n v="1"/>
    <n v="1"/>
    <n v="1"/>
    <x v="1"/>
    <x v="0"/>
    <x v="2"/>
  </r>
  <r>
    <n v="1273"/>
    <n v="46"/>
    <x v="0"/>
    <x v="2"/>
    <n v="2.4"/>
    <n v="1.6"/>
    <x v="1"/>
    <x v="0"/>
    <n v="4.3"/>
    <n v="8"/>
    <n v="4.5"/>
    <x v="2"/>
    <n v="2"/>
    <n v="0"/>
    <n v="0"/>
    <n v="1"/>
    <n v="0"/>
    <n v="0"/>
    <n v="1"/>
    <x v="1"/>
    <x v="0"/>
    <x v="2"/>
  </r>
  <r>
    <n v="1274"/>
    <n v="21"/>
    <x v="0"/>
    <x v="1"/>
    <n v="2.5"/>
    <n v="7.5"/>
    <x v="2"/>
    <x v="1"/>
    <n v="4"/>
    <n v="8"/>
    <n v="2.7"/>
    <x v="2"/>
    <n v="7"/>
    <n v="0"/>
    <n v="1"/>
    <n v="0"/>
    <n v="0"/>
    <n v="0"/>
    <n v="0"/>
    <x v="1"/>
    <x v="0"/>
    <x v="2"/>
  </r>
  <r>
    <n v="1275"/>
    <n v="42"/>
    <x v="1"/>
    <x v="0"/>
    <n v="10.3"/>
    <n v="5.8"/>
    <x v="2"/>
    <x v="1"/>
    <n v="5.2"/>
    <n v="10"/>
    <n v="9.4"/>
    <x v="1"/>
    <n v="4"/>
    <n v="2"/>
    <n v="1"/>
    <n v="1"/>
    <n v="1"/>
    <n v="1"/>
    <n v="1"/>
    <x v="0"/>
    <x v="0"/>
    <x v="0"/>
  </r>
  <r>
    <n v="1276"/>
    <n v="55"/>
    <x v="1"/>
    <x v="2"/>
    <n v="3.2"/>
    <n v="1.9"/>
    <x v="1"/>
    <x v="0"/>
    <n v="8.1"/>
    <n v="1"/>
    <n v="9.6"/>
    <x v="1"/>
    <n v="6"/>
    <n v="0"/>
    <n v="0"/>
    <n v="1"/>
    <n v="0"/>
    <n v="0"/>
    <n v="0"/>
    <x v="2"/>
    <x v="2"/>
    <x v="2"/>
  </r>
  <r>
    <n v="1277"/>
    <n v="49"/>
    <x v="1"/>
    <x v="0"/>
    <n v="2.5"/>
    <n v="3.5"/>
    <x v="1"/>
    <x v="0"/>
    <n v="8"/>
    <n v="6"/>
    <n v="12"/>
    <x v="1"/>
    <n v="7"/>
    <n v="2"/>
    <n v="1"/>
    <n v="1"/>
    <n v="0"/>
    <n v="1"/>
    <n v="0"/>
    <x v="2"/>
    <x v="1"/>
    <x v="2"/>
  </r>
  <r>
    <n v="1278"/>
    <n v="27"/>
    <x v="1"/>
    <x v="0"/>
    <n v="6.4"/>
    <n v="5.0999999999999996"/>
    <x v="2"/>
    <x v="1"/>
    <n v="5.3"/>
    <n v="9"/>
    <n v="11"/>
    <x v="2"/>
    <n v="9"/>
    <n v="1"/>
    <n v="0"/>
    <n v="0"/>
    <n v="0"/>
    <n v="1"/>
    <n v="0"/>
    <x v="0"/>
    <x v="0"/>
    <x v="1"/>
  </r>
  <r>
    <n v="1279"/>
    <n v="22"/>
    <x v="1"/>
    <x v="1"/>
    <n v="10.4"/>
    <n v="6.8"/>
    <x v="1"/>
    <x v="0"/>
    <n v="6.5"/>
    <n v="8"/>
    <n v="11.3"/>
    <x v="0"/>
    <n v="2"/>
    <n v="2"/>
    <n v="0"/>
    <n v="0"/>
    <n v="1"/>
    <n v="0"/>
    <n v="0"/>
    <x v="0"/>
    <x v="0"/>
    <x v="0"/>
  </r>
  <r>
    <n v="1280"/>
    <n v="25"/>
    <x v="0"/>
    <x v="1"/>
    <n v="4.5999999999999996"/>
    <n v="1.3"/>
    <x v="2"/>
    <x v="1"/>
    <n v="7.3"/>
    <n v="3"/>
    <n v="10"/>
    <x v="2"/>
    <n v="10"/>
    <n v="1"/>
    <n v="1"/>
    <n v="0"/>
    <n v="0"/>
    <n v="0"/>
    <n v="0"/>
    <x v="2"/>
    <x v="2"/>
    <x v="1"/>
  </r>
  <r>
    <n v="1281"/>
    <n v="32"/>
    <x v="1"/>
    <x v="0"/>
    <n v="6.2"/>
    <n v="2.7"/>
    <x v="1"/>
    <x v="0"/>
    <n v="4.4000000000000004"/>
    <n v="4"/>
    <n v="8.1999999999999993"/>
    <x v="1"/>
    <n v="9"/>
    <n v="4"/>
    <n v="1"/>
    <n v="1"/>
    <n v="1"/>
    <n v="1"/>
    <n v="0"/>
    <x v="1"/>
    <x v="1"/>
    <x v="1"/>
  </r>
  <r>
    <n v="1282"/>
    <n v="41"/>
    <x v="0"/>
    <x v="0"/>
    <n v="2.4"/>
    <n v="7.2"/>
    <x v="2"/>
    <x v="1"/>
    <n v="4"/>
    <n v="3"/>
    <n v="3.3"/>
    <x v="1"/>
    <n v="5"/>
    <n v="4"/>
    <n v="1"/>
    <n v="0"/>
    <n v="0"/>
    <n v="0"/>
    <n v="0"/>
    <x v="1"/>
    <x v="2"/>
    <x v="2"/>
  </r>
  <r>
    <n v="1283"/>
    <n v="36"/>
    <x v="1"/>
    <x v="1"/>
    <n v="6.5"/>
    <n v="1.1000000000000001"/>
    <x v="2"/>
    <x v="1"/>
    <n v="8.8000000000000007"/>
    <n v="6"/>
    <n v="8.1999999999999993"/>
    <x v="0"/>
    <n v="6"/>
    <n v="0"/>
    <n v="0"/>
    <n v="0"/>
    <n v="0"/>
    <n v="0"/>
    <n v="0"/>
    <x v="2"/>
    <x v="1"/>
    <x v="1"/>
  </r>
  <r>
    <n v="1284"/>
    <n v="43"/>
    <x v="0"/>
    <x v="2"/>
    <n v="7.8"/>
    <n v="2.4"/>
    <x v="1"/>
    <x v="0"/>
    <n v="6.7"/>
    <n v="9"/>
    <n v="2.6"/>
    <x v="2"/>
    <n v="6"/>
    <n v="2"/>
    <n v="1"/>
    <n v="1"/>
    <n v="1"/>
    <n v="1"/>
    <n v="0"/>
    <x v="0"/>
    <x v="0"/>
    <x v="1"/>
  </r>
  <r>
    <n v="1285"/>
    <n v="17"/>
    <x v="1"/>
    <x v="1"/>
    <n v="7.7"/>
    <n v="7.7"/>
    <x v="1"/>
    <x v="0"/>
    <n v="8.9"/>
    <n v="8"/>
    <n v="10.9"/>
    <x v="0"/>
    <n v="3"/>
    <n v="0"/>
    <n v="0"/>
    <n v="1"/>
    <n v="1"/>
    <n v="1"/>
    <n v="0"/>
    <x v="2"/>
    <x v="0"/>
    <x v="1"/>
  </r>
  <r>
    <n v="1286"/>
    <n v="58"/>
    <x v="0"/>
    <x v="0"/>
    <n v="5.3"/>
    <n v="5.3"/>
    <x v="1"/>
    <x v="0"/>
    <n v="5"/>
    <n v="10"/>
    <n v="6.8"/>
    <x v="2"/>
    <n v="10"/>
    <n v="2"/>
    <n v="1"/>
    <n v="1"/>
    <n v="1"/>
    <n v="0"/>
    <n v="1"/>
    <x v="0"/>
    <x v="0"/>
    <x v="1"/>
  </r>
  <r>
    <n v="1287"/>
    <n v="16"/>
    <x v="1"/>
    <x v="2"/>
    <n v="5.2"/>
    <n v="2.8"/>
    <x v="1"/>
    <x v="0"/>
    <n v="7.2"/>
    <n v="4"/>
    <n v="9"/>
    <x v="1"/>
    <n v="7"/>
    <n v="0"/>
    <n v="0"/>
    <n v="0"/>
    <n v="0"/>
    <n v="0"/>
    <n v="1"/>
    <x v="2"/>
    <x v="1"/>
    <x v="1"/>
  </r>
  <r>
    <n v="1288"/>
    <n v="51"/>
    <x v="0"/>
    <x v="0"/>
    <n v="3.1"/>
    <n v="1.5"/>
    <x v="2"/>
    <x v="1"/>
    <n v="4.3"/>
    <n v="2"/>
    <n v="2.5"/>
    <x v="0"/>
    <n v="7"/>
    <n v="4"/>
    <n v="1"/>
    <n v="1"/>
    <n v="1"/>
    <n v="1"/>
    <n v="1"/>
    <x v="1"/>
    <x v="2"/>
    <x v="2"/>
  </r>
  <r>
    <n v="1289"/>
    <n v="41"/>
    <x v="0"/>
    <x v="2"/>
    <n v="5.7"/>
    <n v="1.2"/>
    <x v="1"/>
    <x v="0"/>
    <n v="4.5999999999999996"/>
    <n v="8"/>
    <n v="7.3"/>
    <x v="0"/>
    <n v="8"/>
    <n v="4"/>
    <n v="0"/>
    <n v="0"/>
    <n v="1"/>
    <n v="1"/>
    <n v="1"/>
    <x v="1"/>
    <x v="0"/>
    <x v="1"/>
  </r>
  <r>
    <n v="1290"/>
    <n v="44"/>
    <x v="0"/>
    <x v="0"/>
    <n v="3"/>
    <n v="2.7"/>
    <x v="2"/>
    <x v="1"/>
    <n v="6.1"/>
    <n v="8"/>
    <n v="5"/>
    <x v="2"/>
    <n v="5"/>
    <n v="0"/>
    <n v="0"/>
    <n v="1"/>
    <n v="1"/>
    <n v="0"/>
    <n v="1"/>
    <x v="0"/>
    <x v="0"/>
    <x v="2"/>
  </r>
  <r>
    <n v="1291"/>
    <n v="36"/>
    <x v="0"/>
    <x v="2"/>
    <n v="9.6999999999999993"/>
    <n v="7.2"/>
    <x v="1"/>
    <x v="0"/>
    <n v="4.9000000000000004"/>
    <n v="6"/>
    <n v="4.8"/>
    <x v="2"/>
    <n v="2"/>
    <n v="2"/>
    <n v="1"/>
    <n v="1"/>
    <n v="1"/>
    <n v="0"/>
    <n v="0"/>
    <x v="1"/>
    <x v="1"/>
    <x v="0"/>
  </r>
  <r>
    <n v="1292"/>
    <n v="26"/>
    <x v="0"/>
    <x v="2"/>
    <n v="11.7"/>
    <n v="3.9"/>
    <x v="2"/>
    <x v="1"/>
    <n v="4"/>
    <n v="8"/>
    <n v="5.9"/>
    <x v="2"/>
    <n v="3"/>
    <n v="3"/>
    <n v="0"/>
    <n v="1"/>
    <n v="1"/>
    <n v="1"/>
    <n v="1"/>
    <x v="1"/>
    <x v="0"/>
    <x v="0"/>
  </r>
  <r>
    <n v="1293"/>
    <n v="55"/>
    <x v="0"/>
    <x v="0"/>
    <n v="11.7"/>
    <n v="6"/>
    <x v="1"/>
    <x v="0"/>
    <n v="4.5999999999999996"/>
    <n v="9"/>
    <n v="2"/>
    <x v="1"/>
    <n v="9"/>
    <n v="2"/>
    <n v="1"/>
    <n v="1"/>
    <n v="0"/>
    <n v="1"/>
    <n v="1"/>
    <x v="1"/>
    <x v="0"/>
    <x v="0"/>
  </r>
  <r>
    <n v="1294"/>
    <n v="26"/>
    <x v="1"/>
    <x v="2"/>
    <n v="10.7"/>
    <n v="7.4"/>
    <x v="1"/>
    <x v="0"/>
    <n v="3.2"/>
    <n v="1"/>
    <n v="6.7"/>
    <x v="2"/>
    <n v="6"/>
    <n v="0"/>
    <n v="1"/>
    <n v="0"/>
    <n v="0"/>
    <n v="0"/>
    <n v="0"/>
    <x v="1"/>
    <x v="2"/>
    <x v="0"/>
  </r>
  <r>
    <n v="1295"/>
    <n v="51"/>
    <x v="0"/>
    <x v="1"/>
    <n v="8"/>
    <n v="3.9"/>
    <x v="2"/>
    <x v="1"/>
    <n v="7.2"/>
    <n v="9"/>
    <n v="6.9"/>
    <x v="1"/>
    <n v="8"/>
    <n v="2"/>
    <n v="1"/>
    <n v="0"/>
    <n v="1"/>
    <n v="1"/>
    <n v="0"/>
    <x v="2"/>
    <x v="0"/>
    <x v="1"/>
  </r>
  <r>
    <n v="1296"/>
    <n v="54"/>
    <x v="1"/>
    <x v="0"/>
    <n v="9"/>
    <n v="2.2999999999999998"/>
    <x v="1"/>
    <x v="0"/>
    <n v="6"/>
    <n v="2"/>
    <n v="10.6"/>
    <x v="2"/>
    <n v="8"/>
    <n v="1"/>
    <n v="0"/>
    <n v="0"/>
    <n v="0"/>
    <n v="0"/>
    <n v="0"/>
    <x v="0"/>
    <x v="2"/>
    <x v="0"/>
  </r>
  <r>
    <n v="1297"/>
    <n v="55"/>
    <x v="1"/>
    <x v="1"/>
    <n v="4.9000000000000004"/>
    <n v="4.5999999999999996"/>
    <x v="1"/>
    <x v="0"/>
    <n v="3.6"/>
    <n v="1"/>
    <n v="6.5"/>
    <x v="2"/>
    <n v="5"/>
    <n v="2"/>
    <n v="1"/>
    <n v="1"/>
    <n v="0"/>
    <n v="0"/>
    <n v="0"/>
    <x v="1"/>
    <x v="2"/>
    <x v="1"/>
  </r>
  <r>
    <n v="1298"/>
    <n v="50"/>
    <x v="1"/>
    <x v="0"/>
    <n v="8.3000000000000007"/>
    <n v="7.4"/>
    <x v="1"/>
    <x v="0"/>
    <n v="4"/>
    <n v="8"/>
    <n v="5.6"/>
    <x v="1"/>
    <n v="1"/>
    <n v="4"/>
    <n v="0"/>
    <n v="0"/>
    <n v="1"/>
    <n v="0"/>
    <n v="1"/>
    <x v="1"/>
    <x v="0"/>
    <x v="0"/>
  </r>
  <r>
    <n v="1299"/>
    <n v="49"/>
    <x v="1"/>
    <x v="2"/>
    <n v="6.6"/>
    <n v="6.6"/>
    <x v="1"/>
    <x v="0"/>
    <n v="3.6"/>
    <n v="8"/>
    <n v="11.9"/>
    <x v="2"/>
    <n v="6"/>
    <n v="4"/>
    <n v="1"/>
    <n v="1"/>
    <n v="1"/>
    <n v="0"/>
    <n v="1"/>
    <x v="1"/>
    <x v="0"/>
    <x v="1"/>
  </r>
  <r>
    <n v="1300"/>
    <n v="39"/>
    <x v="1"/>
    <x v="2"/>
    <n v="6.8"/>
    <n v="1.5"/>
    <x v="1"/>
    <x v="0"/>
    <n v="6.7"/>
    <n v="4"/>
    <n v="7.7"/>
    <x v="1"/>
    <n v="7"/>
    <n v="1"/>
    <n v="1"/>
    <n v="1"/>
    <n v="0"/>
    <n v="0"/>
    <n v="0"/>
    <x v="0"/>
    <x v="1"/>
    <x v="1"/>
  </r>
  <r>
    <n v="1301"/>
    <n v="37"/>
    <x v="0"/>
    <x v="2"/>
    <n v="9.6"/>
    <n v="5.8"/>
    <x v="2"/>
    <x v="1"/>
    <n v="3.6"/>
    <n v="8"/>
    <n v="6.7"/>
    <x v="1"/>
    <n v="9"/>
    <n v="2"/>
    <n v="0"/>
    <n v="0"/>
    <n v="0"/>
    <n v="1"/>
    <n v="1"/>
    <x v="1"/>
    <x v="0"/>
    <x v="0"/>
  </r>
  <r>
    <n v="1302"/>
    <n v="20"/>
    <x v="0"/>
    <x v="0"/>
    <n v="4.8"/>
    <n v="5"/>
    <x v="1"/>
    <x v="0"/>
    <n v="7.5"/>
    <n v="7"/>
    <n v="7"/>
    <x v="2"/>
    <n v="2"/>
    <n v="3"/>
    <n v="0"/>
    <n v="1"/>
    <n v="1"/>
    <n v="0"/>
    <n v="1"/>
    <x v="2"/>
    <x v="1"/>
    <x v="1"/>
  </r>
  <r>
    <n v="1303"/>
    <n v="48"/>
    <x v="0"/>
    <x v="1"/>
    <n v="5.2"/>
    <n v="7.4"/>
    <x v="2"/>
    <x v="1"/>
    <n v="3.1"/>
    <n v="2"/>
    <n v="10.1"/>
    <x v="2"/>
    <n v="2"/>
    <n v="2"/>
    <n v="1"/>
    <n v="1"/>
    <n v="0"/>
    <n v="0"/>
    <n v="0"/>
    <x v="1"/>
    <x v="2"/>
    <x v="1"/>
  </r>
  <r>
    <n v="1304"/>
    <n v="51"/>
    <x v="1"/>
    <x v="1"/>
    <n v="11.2"/>
    <n v="1.9"/>
    <x v="1"/>
    <x v="0"/>
    <n v="4.5"/>
    <n v="5"/>
    <n v="5.4"/>
    <x v="0"/>
    <n v="10"/>
    <n v="4"/>
    <n v="0"/>
    <n v="0"/>
    <n v="1"/>
    <n v="0"/>
    <n v="0"/>
    <x v="1"/>
    <x v="1"/>
    <x v="0"/>
  </r>
  <r>
    <n v="1305"/>
    <n v="35"/>
    <x v="0"/>
    <x v="0"/>
    <n v="2.6"/>
    <n v="4.7"/>
    <x v="1"/>
    <x v="0"/>
    <n v="8.3000000000000007"/>
    <n v="10"/>
    <n v="5.9"/>
    <x v="2"/>
    <n v="1"/>
    <n v="4"/>
    <n v="1"/>
    <n v="0"/>
    <n v="0"/>
    <n v="1"/>
    <n v="1"/>
    <x v="2"/>
    <x v="0"/>
    <x v="2"/>
  </r>
  <r>
    <n v="1306"/>
    <n v="34"/>
    <x v="0"/>
    <x v="0"/>
    <n v="6.9"/>
    <n v="7.2"/>
    <x v="2"/>
    <x v="1"/>
    <n v="7.3"/>
    <n v="4"/>
    <n v="9.6"/>
    <x v="0"/>
    <n v="5"/>
    <n v="0"/>
    <n v="0"/>
    <n v="1"/>
    <n v="1"/>
    <n v="1"/>
    <n v="1"/>
    <x v="2"/>
    <x v="1"/>
    <x v="1"/>
  </r>
  <r>
    <n v="1307"/>
    <n v="50"/>
    <x v="0"/>
    <x v="1"/>
    <n v="11.1"/>
    <n v="3.9"/>
    <x v="2"/>
    <x v="1"/>
    <n v="3.4"/>
    <n v="3"/>
    <n v="2.7"/>
    <x v="2"/>
    <n v="2"/>
    <n v="4"/>
    <n v="0"/>
    <n v="0"/>
    <n v="1"/>
    <n v="1"/>
    <n v="1"/>
    <x v="1"/>
    <x v="2"/>
    <x v="0"/>
  </r>
  <r>
    <n v="1308"/>
    <n v="58"/>
    <x v="0"/>
    <x v="1"/>
    <n v="8.1"/>
    <n v="4.4000000000000004"/>
    <x v="2"/>
    <x v="1"/>
    <n v="7.9"/>
    <n v="1"/>
    <n v="10.7"/>
    <x v="1"/>
    <n v="3"/>
    <n v="0"/>
    <n v="1"/>
    <n v="1"/>
    <n v="0"/>
    <n v="0"/>
    <n v="1"/>
    <x v="2"/>
    <x v="2"/>
    <x v="0"/>
  </r>
  <r>
    <n v="1309"/>
    <n v="32"/>
    <x v="0"/>
    <x v="1"/>
    <n v="7.5"/>
    <n v="1.5"/>
    <x v="2"/>
    <x v="1"/>
    <n v="6"/>
    <n v="5"/>
    <n v="6.3"/>
    <x v="1"/>
    <n v="2"/>
    <n v="4"/>
    <n v="0"/>
    <n v="0"/>
    <n v="0"/>
    <n v="1"/>
    <n v="0"/>
    <x v="0"/>
    <x v="1"/>
    <x v="1"/>
  </r>
  <r>
    <n v="1310"/>
    <n v="58"/>
    <x v="1"/>
    <x v="1"/>
    <n v="4.5"/>
    <n v="2.9"/>
    <x v="2"/>
    <x v="1"/>
    <n v="8.1"/>
    <n v="10"/>
    <n v="7.8"/>
    <x v="0"/>
    <n v="4"/>
    <n v="4"/>
    <n v="1"/>
    <n v="1"/>
    <n v="1"/>
    <n v="0"/>
    <n v="1"/>
    <x v="2"/>
    <x v="0"/>
    <x v="1"/>
  </r>
  <r>
    <n v="1311"/>
    <n v="49"/>
    <x v="0"/>
    <x v="0"/>
    <n v="5.4"/>
    <n v="3.3"/>
    <x v="1"/>
    <x v="0"/>
    <n v="6.6"/>
    <n v="8"/>
    <n v="9.6"/>
    <x v="2"/>
    <n v="3"/>
    <n v="3"/>
    <n v="1"/>
    <n v="1"/>
    <n v="1"/>
    <n v="1"/>
    <n v="0"/>
    <x v="0"/>
    <x v="0"/>
    <x v="1"/>
  </r>
  <r>
    <n v="1312"/>
    <n v="24"/>
    <x v="1"/>
    <x v="0"/>
    <n v="10.5"/>
    <n v="7.6"/>
    <x v="2"/>
    <x v="1"/>
    <n v="7.1"/>
    <n v="9"/>
    <n v="4.7"/>
    <x v="0"/>
    <n v="9"/>
    <n v="0"/>
    <n v="0"/>
    <n v="1"/>
    <n v="0"/>
    <n v="1"/>
    <n v="0"/>
    <x v="2"/>
    <x v="0"/>
    <x v="0"/>
  </r>
  <r>
    <n v="1313"/>
    <n v="41"/>
    <x v="1"/>
    <x v="2"/>
    <n v="7.6"/>
    <n v="3"/>
    <x v="2"/>
    <x v="1"/>
    <n v="9"/>
    <n v="7"/>
    <n v="10.9"/>
    <x v="2"/>
    <n v="10"/>
    <n v="0"/>
    <n v="1"/>
    <n v="0"/>
    <n v="0"/>
    <n v="0"/>
    <n v="1"/>
    <x v="2"/>
    <x v="1"/>
    <x v="1"/>
  </r>
  <r>
    <n v="1314"/>
    <n v="17"/>
    <x v="1"/>
    <x v="1"/>
    <n v="7.1"/>
    <n v="4.2"/>
    <x v="1"/>
    <x v="0"/>
    <n v="4.4000000000000004"/>
    <n v="1"/>
    <n v="11.8"/>
    <x v="2"/>
    <n v="2"/>
    <n v="4"/>
    <n v="0"/>
    <n v="0"/>
    <n v="1"/>
    <n v="1"/>
    <n v="0"/>
    <x v="1"/>
    <x v="2"/>
    <x v="1"/>
  </r>
  <r>
    <n v="1315"/>
    <n v="24"/>
    <x v="1"/>
    <x v="2"/>
    <n v="3"/>
    <n v="5.7"/>
    <x v="1"/>
    <x v="0"/>
    <n v="6.7"/>
    <n v="1"/>
    <n v="6.9"/>
    <x v="1"/>
    <n v="7"/>
    <n v="0"/>
    <n v="0"/>
    <n v="1"/>
    <n v="0"/>
    <n v="0"/>
    <n v="1"/>
    <x v="0"/>
    <x v="2"/>
    <x v="2"/>
  </r>
  <r>
    <n v="1316"/>
    <n v="24"/>
    <x v="1"/>
    <x v="0"/>
    <n v="2.2000000000000002"/>
    <n v="2.1"/>
    <x v="2"/>
    <x v="1"/>
    <n v="5.8"/>
    <n v="1"/>
    <n v="11.4"/>
    <x v="0"/>
    <n v="3"/>
    <n v="4"/>
    <n v="1"/>
    <n v="0"/>
    <n v="0"/>
    <n v="1"/>
    <n v="0"/>
    <x v="0"/>
    <x v="2"/>
    <x v="2"/>
  </r>
  <r>
    <n v="1317"/>
    <n v="55"/>
    <x v="0"/>
    <x v="0"/>
    <n v="11.6"/>
    <n v="4.4000000000000004"/>
    <x v="2"/>
    <x v="1"/>
    <n v="3.2"/>
    <n v="2"/>
    <n v="2"/>
    <x v="1"/>
    <n v="10"/>
    <n v="4"/>
    <n v="0"/>
    <n v="0"/>
    <n v="1"/>
    <n v="1"/>
    <n v="0"/>
    <x v="1"/>
    <x v="2"/>
    <x v="0"/>
  </r>
  <r>
    <n v="1318"/>
    <n v="32"/>
    <x v="0"/>
    <x v="2"/>
    <n v="5.8"/>
    <n v="6.2"/>
    <x v="2"/>
    <x v="1"/>
    <n v="3.1"/>
    <n v="1"/>
    <n v="10.9"/>
    <x v="1"/>
    <n v="8"/>
    <n v="2"/>
    <n v="1"/>
    <n v="0"/>
    <n v="0"/>
    <n v="0"/>
    <n v="0"/>
    <x v="1"/>
    <x v="2"/>
    <x v="1"/>
  </r>
  <r>
    <n v="1319"/>
    <n v="16"/>
    <x v="0"/>
    <x v="1"/>
    <n v="8"/>
    <n v="7.1"/>
    <x v="1"/>
    <x v="0"/>
    <n v="3.7"/>
    <n v="4"/>
    <n v="5.0999999999999996"/>
    <x v="1"/>
    <n v="4"/>
    <n v="0"/>
    <n v="1"/>
    <n v="1"/>
    <n v="1"/>
    <n v="0"/>
    <n v="1"/>
    <x v="1"/>
    <x v="1"/>
    <x v="1"/>
  </r>
  <r>
    <n v="1320"/>
    <n v="40"/>
    <x v="1"/>
    <x v="1"/>
    <n v="2.8"/>
    <n v="5.4"/>
    <x v="2"/>
    <x v="1"/>
    <n v="6.9"/>
    <n v="10"/>
    <n v="5.0999999999999996"/>
    <x v="0"/>
    <n v="4"/>
    <n v="1"/>
    <n v="0"/>
    <n v="0"/>
    <n v="0"/>
    <n v="0"/>
    <n v="1"/>
    <x v="0"/>
    <x v="0"/>
    <x v="2"/>
  </r>
  <r>
    <n v="1321"/>
    <n v="58"/>
    <x v="0"/>
    <x v="1"/>
    <n v="8.8000000000000007"/>
    <n v="5.7"/>
    <x v="1"/>
    <x v="0"/>
    <n v="6.4"/>
    <n v="9"/>
    <n v="4.3"/>
    <x v="2"/>
    <n v="9"/>
    <n v="0"/>
    <n v="0"/>
    <n v="0"/>
    <n v="1"/>
    <n v="1"/>
    <n v="1"/>
    <x v="0"/>
    <x v="0"/>
    <x v="0"/>
  </r>
  <r>
    <n v="1322"/>
    <n v="55"/>
    <x v="0"/>
    <x v="1"/>
    <n v="11.3"/>
    <n v="1.9"/>
    <x v="1"/>
    <x v="0"/>
    <n v="6.3"/>
    <n v="4"/>
    <n v="5.2"/>
    <x v="2"/>
    <n v="3"/>
    <n v="0"/>
    <n v="1"/>
    <n v="0"/>
    <n v="1"/>
    <n v="1"/>
    <n v="0"/>
    <x v="0"/>
    <x v="1"/>
    <x v="0"/>
  </r>
  <r>
    <n v="1323"/>
    <n v="57"/>
    <x v="1"/>
    <x v="2"/>
    <n v="7.8"/>
    <n v="7.6"/>
    <x v="1"/>
    <x v="0"/>
    <n v="3.2"/>
    <n v="4"/>
    <n v="4.0999999999999996"/>
    <x v="0"/>
    <n v="7"/>
    <n v="3"/>
    <n v="1"/>
    <n v="1"/>
    <n v="1"/>
    <n v="0"/>
    <n v="0"/>
    <x v="1"/>
    <x v="1"/>
    <x v="1"/>
  </r>
  <r>
    <n v="1324"/>
    <n v="40"/>
    <x v="1"/>
    <x v="2"/>
    <n v="3.3"/>
    <n v="1.9"/>
    <x v="1"/>
    <x v="0"/>
    <n v="5.8"/>
    <n v="7"/>
    <n v="11.1"/>
    <x v="2"/>
    <n v="1"/>
    <n v="1"/>
    <n v="1"/>
    <n v="1"/>
    <n v="0"/>
    <n v="1"/>
    <n v="1"/>
    <x v="0"/>
    <x v="1"/>
    <x v="2"/>
  </r>
  <r>
    <n v="1325"/>
    <n v="54"/>
    <x v="1"/>
    <x v="0"/>
    <n v="7.8"/>
    <n v="6.4"/>
    <x v="2"/>
    <x v="1"/>
    <n v="8.5"/>
    <n v="9"/>
    <n v="11"/>
    <x v="0"/>
    <n v="7"/>
    <n v="1"/>
    <n v="0"/>
    <n v="1"/>
    <n v="1"/>
    <n v="1"/>
    <n v="1"/>
    <x v="2"/>
    <x v="0"/>
    <x v="1"/>
  </r>
  <r>
    <n v="1326"/>
    <n v="50"/>
    <x v="1"/>
    <x v="1"/>
    <n v="9.6999999999999993"/>
    <n v="2.9"/>
    <x v="1"/>
    <x v="0"/>
    <n v="5.4"/>
    <n v="7"/>
    <n v="3"/>
    <x v="0"/>
    <n v="10"/>
    <n v="3"/>
    <n v="0"/>
    <n v="0"/>
    <n v="0"/>
    <n v="1"/>
    <n v="1"/>
    <x v="0"/>
    <x v="1"/>
    <x v="0"/>
  </r>
  <r>
    <n v="1327"/>
    <n v="18"/>
    <x v="0"/>
    <x v="1"/>
    <n v="6.1"/>
    <n v="7.5"/>
    <x v="1"/>
    <x v="0"/>
    <n v="6.7"/>
    <n v="1"/>
    <n v="3.4"/>
    <x v="2"/>
    <n v="2"/>
    <n v="3"/>
    <n v="1"/>
    <n v="1"/>
    <n v="0"/>
    <n v="0"/>
    <n v="0"/>
    <x v="0"/>
    <x v="2"/>
    <x v="1"/>
  </r>
  <r>
    <n v="1328"/>
    <n v="52"/>
    <x v="1"/>
    <x v="1"/>
    <n v="10.8"/>
    <n v="6"/>
    <x v="2"/>
    <x v="1"/>
    <n v="7.7"/>
    <n v="1"/>
    <n v="10.6"/>
    <x v="1"/>
    <n v="6"/>
    <n v="0"/>
    <n v="0"/>
    <n v="0"/>
    <n v="1"/>
    <n v="0"/>
    <n v="0"/>
    <x v="2"/>
    <x v="2"/>
    <x v="0"/>
  </r>
  <r>
    <n v="1329"/>
    <n v="59"/>
    <x v="1"/>
    <x v="2"/>
    <n v="8.5"/>
    <n v="6.3"/>
    <x v="1"/>
    <x v="0"/>
    <n v="7.7"/>
    <n v="4"/>
    <n v="6"/>
    <x v="0"/>
    <n v="9"/>
    <n v="2"/>
    <n v="1"/>
    <n v="0"/>
    <n v="1"/>
    <n v="1"/>
    <n v="1"/>
    <x v="2"/>
    <x v="1"/>
    <x v="0"/>
  </r>
  <r>
    <n v="1330"/>
    <n v="59"/>
    <x v="0"/>
    <x v="1"/>
    <n v="11"/>
    <n v="2.5"/>
    <x v="2"/>
    <x v="1"/>
    <n v="6.1"/>
    <n v="4"/>
    <n v="3.7"/>
    <x v="0"/>
    <n v="6"/>
    <n v="3"/>
    <n v="0"/>
    <n v="1"/>
    <n v="1"/>
    <n v="1"/>
    <n v="0"/>
    <x v="0"/>
    <x v="1"/>
    <x v="0"/>
  </r>
  <r>
    <n v="1331"/>
    <n v="45"/>
    <x v="0"/>
    <x v="2"/>
    <n v="8.1999999999999993"/>
    <n v="4.0999999999999996"/>
    <x v="1"/>
    <x v="0"/>
    <n v="8.1"/>
    <n v="1"/>
    <n v="7.1"/>
    <x v="0"/>
    <n v="3"/>
    <n v="1"/>
    <n v="1"/>
    <n v="0"/>
    <n v="0"/>
    <n v="0"/>
    <n v="0"/>
    <x v="2"/>
    <x v="2"/>
    <x v="0"/>
  </r>
  <r>
    <n v="1332"/>
    <n v="53"/>
    <x v="1"/>
    <x v="1"/>
    <n v="3.3"/>
    <n v="5.3"/>
    <x v="2"/>
    <x v="1"/>
    <n v="5.3"/>
    <n v="6"/>
    <n v="6.2"/>
    <x v="0"/>
    <n v="1"/>
    <n v="1"/>
    <n v="1"/>
    <n v="1"/>
    <n v="1"/>
    <n v="1"/>
    <n v="1"/>
    <x v="0"/>
    <x v="1"/>
    <x v="2"/>
  </r>
  <r>
    <n v="1333"/>
    <n v="49"/>
    <x v="0"/>
    <x v="1"/>
    <n v="5.0999999999999996"/>
    <n v="6.4"/>
    <x v="1"/>
    <x v="0"/>
    <n v="8.3000000000000007"/>
    <n v="10"/>
    <n v="4.2"/>
    <x v="2"/>
    <n v="4"/>
    <n v="0"/>
    <n v="1"/>
    <n v="0"/>
    <n v="0"/>
    <n v="1"/>
    <n v="0"/>
    <x v="2"/>
    <x v="0"/>
    <x v="1"/>
  </r>
  <r>
    <n v="1334"/>
    <n v="27"/>
    <x v="1"/>
    <x v="0"/>
    <n v="4"/>
    <n v="1.7"/>
    <x v="1"/>
    <x v="0"/>
    <n v="4.4000000000000004"/>
    <n v="2"/>
    <n v="9.1999999999999993"/>
    <x v="2"/>
    <n v="4"/>
    <n v="2"/>
    <n v="1"/>
    <n v="0"/>
    <n v="0"/>
    <n v="0"/>
    <n v="0"/>
    <x v="1"/>
    <x v="2"/>
    <x v="2"/>
  </r>
  <r>
    <n v="1335"/>
    <n v="34"/>
    <x v="1"/>
    <x v="1"/>
    <n v="11.1"/>
    <n v="7.7"/>
    <x v="2"/>
    <x v="1"/>
    <n v="4.7"/>
    <n v="5"/>
    <n v="8.3000000000000007"/>
    <x v="0"/>
    <n v="8"/>
    <n v="4"/>
    <n v="1"/>
    <n v="0"/>
    <n v="0"/>
    <n v="0"/>
    <n v="1"/>
    <x v="1"/>
    <x v="1"/>
    <x v="0"/>
  </r>
  <r>
    <n v="1336"/>
    <n v="52"/>
    <x v="0"/>
    <x v="1"/>
    <n v="9.6"/>
    <n v="7.2"/>
    <x v="1"/>
    <x v="0"/>
    <n v="3.3"/>
    <n v="8"/>
    <n v="3"/>
    <x v="1"/>
    <n v="10"/>
    <n v="3"/>
    <n v="1"/>
    <n v="0"/>
    <n v="1"/>
    <n v="1"/>
    <n v="1"/>
    <x v="1"/>
    <x v="0"/>
    <x v="0"/>
  </r>
  <r>
    <n v="1337"/>
    <n v="59"/>
    <x v="0"/>
    <x v="0"/>
    <n v="8.8000000000000007"/>
    <n v="2.9"/>
    <x v="1"/>
    <x v="0"/>
    <n v="7.8"/>
    <n v="3"/>
    <n v="11.3"/>
    <x v="2"/>
    <n v="10"/>
    <n v="3"/>
    <n v="0"/>
    <n v="0"/>
    <n v="0"/>
    <n v="0"/>
    <n v="1"/>
    <x v="2"/>
    <x v="2"/>
    <x v="0"/>
  </r>
  <r>
    <n v="1338"/>
    <n v="32"/>
    <x v="1"/>
    <x v="2"/>
    <n v="5"/>
    <n v="6.8"/>
    <x v="2"/>
    <x v="1"/>
    <n v="5.5"/>
    <n v="9"/>
    <n v="7.6"/>
    <x v="1"/>
    <n v="7"/>
    <n v="0"/>
    <n v="1"/>
    <n v="1"/>
    <n v="0"/>
    <n v="1"/>
    <n v="0"/>
    <x v="0"/>
    <x v="0"/>
    <x v="1"/>
  </r>
  <r>
    <n v="1339"/>
    <n v="25"/>
    <x v="1"/>
    <x v="2"/>
    <n v="3.8"/>
    <n v="4.5999999999999996"/>
    <x v="1"/>
    <x v="0"/>
    <n v="4.4000000000000004"/>
    <n v="7"/>
    <n v="4.5"/>
    <x v="1"/>
    <n v="10"/>
    <n v="2"/>
    <n v="1"/>
    <n v="1"/>
    <n v="0"/>
    <n v="1"/>
    <n v="1"/>
    <x v="1"/>
    <x v="1"/>
    <x v="2"/>
  </r>
  <r>
    <n v="1340"/>
    <n v="27"/>
    <x v="1"/>
    <x v="1"/>
    <n v="9.6"/>
    <n v="4.2"/>
    <x v="1"/>
    <x v="0"/>
    <n v="4.4000000000000004"/>
    <n v="9"/>
    <n v="4.0999999999999996"/>
    <x v="0"/>
    <n v="7"/>
    <n v="1"/>
    <n v="1"/>
    <n v="1"/>
    <n v="1"/>
    <n v="1"/>
    <n v="1"/>
    <x v="1"/>
    <x v="0"/>
    <x v="0"/>
  </r>
  <r>
    <n v="1341"/>
    <n v="31"/>
    <x v="0"/>
    <x v="2"/>
    <n v="6.7"/>
    <n v="3.2"/>
    <x v="2"/>
    <x v="1"/>
    <n v="8.4"/>
    <n v="1"/>
    <n v="3.4"/>
    <x v="2"/>
    <n v="7"/>
    <n v="1"/>
    <n v="1"/>
    <n v="1"/>
    <n v="0"/>
    <n v="0"/>
    <n v="0"/>
    <x v="2"/>
    <x v="2"/>
    <x v="1"/>
  </r>
  <r>
    <n v="1342"/>
    <n v="39"/>
    <x v="1"/>
    <x v="1"/>
    <n v="4.3"/>
    <n v="5.0999999999999996"/>
    <x v="2"/>
    <x v="1"/>
    <n v="8"/>
    <n v="5"/>
    <n v="6.2"/>
    <x v="0"/>
    <n v="2"/>
    <n v="4"/>
    <n v="1"/>
    <n v="0"/>
    <n v="0"/>
    <n v="1"/>
    <n v="1"/>
    <x v="2"/>
    <x v="1"/>
    <x v="1"/>
  </r>
  <r>
    <n v="1343"/>
    <n v="34"/>
    <x v="1"/>
    <x v="0"/>
    <n v="8.1999999999999993"/>
    <n v="6.1"/>
    <x v="2"/>
    <x v="1"/>
    <n v="6.3"/>
    <n v="3"/>
    <n v="3.4"/>
    <x v="0"/>
    <n v="9"/>
    <n v="1"/>
    <n v="0"/>
    <n v="0"/>
    <n v="1"/>
    <n v="0"/>
    <n v="1"/>
    <x v="0"/>
    <x v="2"/>
    <x v="0"/>
  </r>
  <r>
    <n v="1344"/>
    <n v="23"/>
    <x v="1"/>
    <x v="0"/>
    <n v="2.4"/>
    <n v="3.9"/>
    <x v="2"/>
    <x v="1"/>
    <n v="6.7"/>
    <n v="4"/>
    <n v="6.2"/>
    <x v="1"/>
    <n v="6"/>
    <n v="3"/>
    <n v="1"/>
    <n v="1"/>
    <n v="0"/>
    <n v="1"/>
    <n v="1"/>
    <x v="0"/>
    <x v="1"/>
    <x v="2"/>
  </r>
  <r>
    <n v="1345"/>
    <n v="46"/>
    <x v="1"/>
    <x v="1"/>
    <n v="5.3"/>
    <n v="5.4"/>
    <x v="2"/>
    <x v="1"/>
    <n v="5.8"/>
    <n v="4"/>
    <n v="3.5"/>
    <x v="1"/>
    <n v="2"/>
    <n v="4"/>
    <n v="1"/>
    <n v="1"/>
    <n v="1"/>
    <n v="0"/>
    <n v="1"/>
    <x v="0"/>
    <x v="1"/>
    <x v="1"/>
  </r>
  <r>
    <n v="1346"/>
    <n v="36"/>
    <x v="1"/>
    <x v="0"/>
    <n v="6.7"/>
    <n v="5.9"/>
    <x v="1"/>
    <x v="0"/>
    <n v="5.3"/>
    <n v="7"/>
    <n v="8.6"/>
    <x v="1"/>
    <n v="1"/>
    <n v="2"/>
    <n v="1"/>
    <n v="0"/>
    <n v="0"/>
    <n v="1"/>
    <n v="1"/>
    <x v="0"/>
    <x v="1"/>
    <x v="1"/>
  </r>
  <r>
    <n v="1347"/>
    <n v="32"/>
    <x v="0"/>
    <x v="0"/>
    <n v="3.5"/>
    <n v="6"/>
    <x v="2"/>
    <x v="1"/>
    <n v="8.5"/>
    <n v="10"/>
    <n v="9.9"/>
    <x v="0"/>
    <n v="1"/>
    <n v="4"/>
    <n v="1"/>
    <n v="1"/>
    <n v="1"/>
    <n v="1"/>
    <n v="0"/>
    <x v="2"/>
    <x v="0"/>
    <x v="2"/>
  </r>
  <r>
    <n v="1348"/>
    <n v="38"/>
    <x v="1"/>
    <x v="1"/>
    <n v="11.8"/>
    <n v="1.4"/>
    <x v="1"/>
    <x v="0"/>
    <n v="3.8"/>
    <n v="8"/>
    <n v="7.5"/>
    <x v="0"/>
    <n v="1"/>
    <n v="2"/>
    <n v="0"/>
    <n v="0"/>
    <n v="1"/>
    <n v="1"/>
    <n v="0"/>
    <x v="1"/>
    <x v="0"/>
    <x v="0"/>
  </r>
  <r>
    <n v="1349"/>
    <n v="52"/>
    <x v="1"/>
    <x v="1"/>
    <n v="4.0999999999999996"/>
    <n v="7"/>
    <x v="2"/>
    <x v="1"/>
    <n v="5.5"/>
    <n v="10"/>
    <n v="8.8000000000000007"/>
    <x v="0"/>
    <n v="4"/>
    <n v="1"/>
    <n v="0"/>
    <n v="0"/>
    <n v="1"/>
    <n v="1"/>
    <n v="1"/>
    <x v="0"/>
    <x v="0"/>
    <x v="1"/>
  </r>
  <r>
    <n v="1350"/>
    <n v="31"/>
    <x v="1"/>
    <x v="0"/>
    <n v="3.3"/>
    <n v="4.2"/>
    <x v="1"/>
    <x v="0"/>
    <n v="5.0999999999999996"/>
    <n v="5"/>
    <n v="11.4"/>
    <x v="0"/>
    <n v="4"/>
    <n v="0"/>
    <n v="1"/>
    <n v="1"/>
    <n v="1"/>
    <n v="0"/>
    <n v="0"/>
    <x v="0"/>
    <x v="1"/>
    <x v="2"/>
  </r>
  <r>
    <n v="1351"/>
    <n v="21"/>
    <x v="1"/>
    <x v="2"/>
    <n v="4"/>
    <n v="2.8"/>
    <x v="1"/>
    <x v="0"/>
    <n v="6"/>
    <n v="10"/>
    <n v="8.4"/>
    <x v="0"/>
    <n v="9"/>
    <n v="4"/>
    <n v="1"/>
    <n v="0"/>
    <n v="1"/>
    <n v="0"/>
    <n v="0"/>
    <x v="0"/>
    <x v="0"/>
    <x v="2"/>
  </r>
  <r>
    <n v="1352"/>
    <n v="23"/>
    <x v="0"/>
    <x v="2"/>
    <n v="9.6999999999999993"/>
    <n v="2.7"/>
    <x v="2"/>
    <x v="1"/>
    <n v="5.7"/>
    <n v="7"/>
    <n v="5.6"/>
    <x v="0"/>
    <n v="1"/>
    <n v="4"/>
    <n v="0"/>
    <n v="0"/>
    <n v="1"/>
    <n v="1"/>
    <n v="1"/>
    <x v="0"/>
    <x v="1"/>
    <x v="0"/>
  </r>
  <r>
    <n v="1353"/>
    <n v="40"/>
    <x v="0"/>
    <x v="1"/>
    <n v="6.3"/>
    <n v="4.4000000000000004"/>
    <x v="1"/>
    <x v="0"/>
    <n v="6.1"/>
    <n v="3"/>
    <n v="6.5"/>
    <x v="0"/>
    <n v="3"/>
    <n v="3"/>
    <n v="1"/>
    <n v="1"/>
    <n v="0"/>
    <n v="0"/>
    <n v="0"/>
    <x v="0"/>
    <x v="2"/>
    <x v="1"/>
  </r>
  <r>
    <n v="1354"/>
    <n v="33"/>
    <x v="0"/>
    <x v="1"/>
    <n v="7.7"/>
    <n v="7.2"/>
    <x v="1"/>
    <x v="0"/>
    <n v="3.8"/>
    <n v="3"/>
    <n v="10.6"/>
    <x v="0"/>
    <n v="3"/>
    <n v="3"/>
    <n v="0"/>
    <n v="1"/>
    <n v="0"/>
    <n v="1"/>
    <n v="0"/>
    <x v="1"/>
    <x v="2"/>
    <x v="1"/>
  </r>
  <r>
    <n v="1355"/>
    <n v="40"/>
    <x v="1"/>
    <x v="2"/>
    <n v="2.2000000000000002"/>
    <n v="3.6"/>
    <x v="2"/>
    <x v="1"/>
    <n v="6.1"/>
    <n v="3"/>
    <n v="3.3"/>
    <x v="2"/>
    <n v="8"/>
    <n v="2"/>
    <n v="1"/>
    <n v="0"/>
    <n v="0"/>
    <n v="0"/>
    <n v="1"/>
    <x v="0"/>
    <x v="2"/>
    <x v="2"/>
  </r>
  <r>
    <n v="1356"/>
    <n v="27"/>
    <x v="1"/>
    <x v="0"/>
    <n v="2.2999999999999998"/>
    <n v="6.2"/>
    <x v="2"/>
    <x v="1"/>
    <n v="4.5"/>
    <n v="4"/>
    <n v="5.3"/>
    <x v="2"/>
    <n v="2"/>
    <n v="0"/>
    <n v="0"/>
    <n v="1"/>
    <n v="1"/>
    <n v="0"/>
    <n v="0"/>
    <x v="1"/>
    <x v="1"/>
    <x v="2"/>
  </r>
  <r>
    <n v="1357"/>
    <n v="30"/>
    <x v="0"/>
    <x v="2"/>
    <n v="6.5"/>
    <n v="1.7"/>
    <x v="2"/>
    <x v="1"/>
    <n v="4.0999999999999996"/>
    <n v="6"/>
    <n v="7.8"/>
    <x v="2"/>
    <n v="6"/>
    <n v="3"/>
    <n v="0"/>
    <n v="0"/>
    <n v="1"/>
    <n v="1"/>
    <n v="1"/>
    <x v="1"/>
    <x v="1"/>
    <x v="1"/>
  </r>
  <r>
    <n v="1358"/>
    <n v="41"/>
    <x v="0"/>
    <x v="2"/>
    <n v="10.199999999999999"/>
    <n v="4.3"/>
    <x v="2"/>
    <x v="1"/>
    <n v="3.4"/>
    <n v="5"/>
    <n v="8.8000000000000007"/>
    <x v="2"/>
    <n v="4"/>
    <n v="3"/>
    <n v="1"/>
    <n v="1"/>
    <n v="0"/>
    <n v="1"/>
    <n v="1"/>
    <x v="1"/>
    <x v="1"/>
    <x v="0"/>
  </r>
  <r>
    <n v="1359"/>
    <n v="56"/>
    <x v="0"/>
    <x v="2"/>
    <n v="10.9"/>
    <n v="7.9"/>
    <x v="1"/>
    <x v="0"/>
    <n v="7.6"/>
    <n v="8"/>
    <n v="9.6"/>
    <x v="0"/>
    <n v="10"/>
    <n v="1"/>
    <n v="1"/>
    <n v="0"/>
    <n v="1"/>
    <n v="0"/>
    <n v="0"/>
    <x v="2"/>
    <x v="0"/>
    <x v="0"/>
  </r>
  <r>
    <n v="1360"/>
    <n v="41"/>
    <x v="1"/>
    <x v="2"/>
    <n v="2.9"/>
    <n v="6.4"/>
    <x v="1"/>
    <x v="0"/>
    <n v="5.6"/>
    <n v="5"/>
    <n v="5.2"/>
    <x v="0"/>
    <n v="6"/>
    <n v="1"/>
    <n v="1"/>
    <n v="0"/>
    <n v="0"/>
    <n v="0"/>
    <n v="0"/>
    <x v="0"/>
    <x v="1"/>
    <x v="2"/>
  </r>
  <r>
    <n v="1361"/>
    <n v="47"/>
    <x v="1"/>
    <x v="1"/>
    <n v="7.4"/>
    <n v="2.5"/>
    <x v="1"/>
    <x v="0"/>
    <n v="6.8"/>
    <n v="5"/>
    <n v="3.5"/>
    <x v="1"/>
    <n v="5"/>
    <n v="3"/>
    <n v="1"/>
    <n v="0"/>
    <n v="0"/>
    <n v="0"/>
    <n v="0"/>
    <x v="0"/>
    <x v="1"/>
    <x v="1"/>
  </r>
  <r>
    <n v="1362"/>
    <n v="25"/>
    <x v="0"/>
    <x v="1"/>
    <n v="11.1"/>
    <n v="4.5"/>
    <x v="1"/>
    <x v="0"/>
    <n v="7.4"/>
    <n v="10"/>
    <n v="11.5"/>
    <x v="1"/>
    <n v="9"/>
    <n v="2"/>
    <n v="0"/>
    <n v="0"/>
    <n v="1"/>
    <n v="1"/>
    <n v="0"/>
    <x v="2"/>
    <x v="0"/>
    <x v="0"/>
  </r>
  <r>
    <n v="1363"/>
    <n v="31"/>
    <x v="0"/>
    <x v="0"/>
    <n v="5.9"/>
    <n v="2.6"/>
    <x v="1"/>
    <x v="0"/>
    <n v="7.1"/>
    <n v="2"/>
    <n v="2.8"/>
    <x v="2"/>
    <n v="9"/>
    <n v="0"/>
    <n v="0"/>
    <n v="0"/>
    <n v="0"/>
    <n v="0"/>
    <n v="1"/>
    <x v="2"/>
    <x v="2"/>
    <x v="1"/>
  </r>
  <r>
    <n v="1364"/>
    <n v="22"/>
    <x v="0"/>
    <x v="0"/>
    <n v="10.3"/>
    <n v="3.9"/>
    <x v="1"/>
    <x v="0"/>
    <n v="5.8"/>
    <n v="5"/>
    <n v="3"/>
    <x v="1"/>
    <n v="1"/>
    <n v="3"/>
    <n v="1"/>
    <n v="0"/>
    <n v="0"/>
    <n v="1"/>
    <n v="0"/>
    <x v="0"/>
    <x v="1"/>
    <x v="0"/>
  </r>
  <r>
    <n v="1365"/>
    <n v="32"/>
    <x v="1"/>
    <x v="0"/>
    <n v="3.3"/>
    <n v="6.5"/>
    <x v="2"/>
    <x v="1"/>
    <n v="5.3"/>
    <n v="7"/>
    <n v="6.9"/>
    <x v="2"/>
    <n v="3"/>
    <n v="2"/>
    <n v="0"/>
    <n v="0"/>
    <n v="0"/>
    <n v="1"/>
    <n v="0"/>
    <x v="0"/>
    <x v="1"/>
    <x v="2"/>
  </r>
  <r>
    <n v="1366"/>
    <n v="38"/>
    <x v="1"/>
    <x v="0"/>
    <n v="11.4"/>
    <n v="6.4"/>
    <x v="1"/>
    <x v="0"/>
    <n v="5.3"/>
    <n v="2"/>
    <n v="10.199999999999999"/>
    <x v="0"/>
    <n v="1"/>
    <n v="2"/>
    <n v="1"/>
    <n v="0"/>
    <n v="0"/>
    <n v="1"/>
    <n v="0"/>
    <x v="0"/>
    <x v="2"/>
    <x v="0"/>
  </r>
  <r>
    <n v="1367"/>
    <n v="41"/>
    <x v="1"/>
    <x v="2"/>
    <n v="9.5"/>
    <n v="2.6"/>
    <x v="1"/>
    <x v="0"/>
    <n v="6.8"/>
    <n v="6"/>
    <n v="9.6999999999999993"/>
    <x v="0"/>
    <n v="6"/>
    <n v="3"/>
    <n v="1"/>
    <n v="0"/>
    <n v="1"/>
    <n v="1"/>
    <n v="1"/>
    <x v="0"/>
    <x v="1"/>
    <x v="0"/>
  </r>
  <r>
    <n v="1368"/>
    <n v="36"/>
    <x v="0"/>
    <x v="1"/>
    <n v="11.4"/>
    <n v="7.5"/>
    <x v="1"/>
    <x v="0"/>
    <n v="6"/>
    <n v="7"/>
    <n v="11.4"/>
    <x v="1"/>
    <n v="3"/>
    <n v="2"/>
    <n v="1"/>
    <n v="1"/>
    <n v="0"/>
    <n v="0"/>
    <n v="1"/>
    <x v="0"/>
    <x v="1"/>
    <x v="0"/>
  </r>
  <r>
    <n v="1369"/>
    <n v="37"/>
    <x v="0"/>
    <x v="1"/>
    <n v="8.8000000000000007"/>
    <n v="5.0999999999999996"/>
    <x v="2"/>
    <x v="1"/>
    <n v="8.1"/>
    <n v="5"/>
    <n v="3.4"/>
    <x v="0"/>
    <n v="1"/>
    <n v="4"/>
    <n v="0"/>
    <n v="0"/>
    <n v="1"/>
    <n v="1"/>
    <n v="0"/>
    <x v="2"/>
    <x v="1"/>
    <x v="0"/>
  </r>
  <r>
    <n v="1370"/>
    <n v="22"/>
    <x v="1"/>
    <x v="0"/>
    <n v="5.6"/>
    <n v="3.7"/>
    <x v="2"/>
    <x v="1"/>
    <n v="8.1999999999999993"/>
    <n v="9"/>
    <n v="5.8"/>
    <x v="0"/>
    <n v="6"/>
    <n v="2"/>
    <n v="1"/>
    <n v="1"/>
    <n v="1"/>
    <n v="0"/>
    <n v="0"/>
    <x v="2"/>
    <x v="0"/>
    <x v="1"/>
  </r>
  <r>
    <n v="1371"/>
    <n v="29"/>
    <x v="0"/>
    <x v="0"/>
    <n v="11.4"/>
    <n v="4.5"/>
    <x v="2"/>
    <x v="1"/>
    <n v="4"/>
    <n v="4"/>
    <n v="4.8"/>
    <x v="2"/>
    <n v="5"/>
    <n v="3"/>
    <n v="0"/>
    <n v="1"/>
    <n v="1"/>
    <n v="1"/>
    <n v="1"/>
    <x v="1"/>
    <x v="1"/>
    <x v="0"/>
  </r>
  <r>
    <n v="1372"/>
    <n v="30"/>
    <x v="1"/>
    <x v="2"/>
    <n v="4.8"/>
    <n v="5.2"/>
    <x v="2"/>
    <x v="1"/>
    <n v="3.8"/>
    <n v="10"/>
    <n v="10.6"/>
    <x v="1"/>
    <n v="8"/>
    <n v="2"/>
    <n v="1"/>
    <n v="1"/>
    <n v="0"/>
    <n v="0"/>
    <n v="1"/>
    <x v="1"/>
    <x v="0"/>
    <x v="1"/>
  </r>
  <r>
    <n v="1373"/>
    <n v="22"/>
    <x v="0"/>
    <x v="2"/>
    <n v="5.3"/>
    <n v="4.9000000000000004"/>
    <x v="1"/>
    <x v="0"/>
    <n v="6.8"/>
    <n v="1"/>
    <n v="6.9"/>
    <x v="0"/>
    <n v="2"/>
    <n v="3"/>
    <n v="0"/>
    <n v="0"/>
    <n v="0"/>
    <n v="0"/>
    <n v="0"/>
    <x v="0"/>
    <x v="2"/>
    <x v="1"/>
  </r>
  <r>
    <n v="1374"/>
    <n v="24"/>
    <x v="0"/>
    <x v="0"/>
    <n v="9"/>
    <n v="4.4000000000000004"/>
    <x v="1"/>
    <x v="0"/>
    <n v="4.8"/>
    <n v="8"/>
    <n v="2.2999999999999998"/>
    <x v="1"/>
    <n v="8"/>
    <n v="1"/>
    <n v="0"/>
    <n v="0"/>
    <n v="0"/>
    <n v="1"/>
    <n v="1"/>
    <x v="1"/>
    <x v="0"/>
    <x v="0"/>
  </r>
  <r>
    <n v="1375"/>
    <n v="23"/>
    <x v="0"/>
    <x v="1"/>
    <n v="9.6999999999999993"/>
    <n v="4.5"/>
    <x v="1"/>
    <x v="0"/>
    <n v="3.1"/>
    <n v="8"/>
    <n v="9.1"/>
    <x v="0"/>
    <n v="5"/>
    <n v="3"/>
    <n v="0"/>
    <n v="1"/>
    <n v="1"/>
    <n v="0"/>
    <n v="1"/>
    <x v="1"/>
    <x v="0"/>
    <x v="0"/>
  </r>
  <r>
    <n v="1376"/>
    <n v="38"/>
    <x v="0"/>
    <x v="1"/>
    <n v="11.3"/>
    <n v="2.2000000000000002"/>
    <x v="2"/>
    <x v="1"/>
    <n v="8.3000000000000007"/>
    <n v="7"/>
    <n v="5.9"/>
    <x v="2"/>
    <n v="8"/>
    <n v="2"/>
    <n v="0"/>
    <n v="0"/>
    <n v="1"/>
    <n v="1"/>
    <n v="0"/>
    <x v="2"/>
    <x v="1"/>
    <x v="0"/>
  </r>
  <r>
    <n v="1377"/>
    <n v="44"/>
    <x v="1"/>
    <x v="1"/>
    <n v="4"/>
    <n v="6.7"/>
    <x v="1"/>
    <x v="0"/>
    <n v="4.4000000000000004"/>
    <n v="8"/>
    <n v="7.3"/>
    <x v="0"/>
    <n v="10"/>
    <n v="3"/>
    <n v="1"/>
    <n v="0"/>
    <n v="0"/>
    <n v="1"/>
    <n v="0"/>
    <x v="1"/>
    <x v="0"/>
    <x v="2"/>
  </r>
  <r>
    <n v="1378"/>
    <n v="33"/>
    <x v="0"/>
    <x v="0"/>
    <n v="10"/>
    <n v="4.8"/>
    <x v="1"/>
    <x v="0"/>
    <n v="8.6"/>
    <n v="2"/>
    <n v="10.9"/>
    <x v="1"/>
    <n v="4"/>
    <n v="0"/>
    <n v="0"/>
    <n v="0"/>
    <n v="0"/>
    <n v="0"/>
    <n v="1"/>
    <x v="2"/>
    <x v="2"/>
    <x v="0"/>
  </r>
  <r>
    <n v="1379"/>
    <n v="46"/>
    <x v="1"/>
    <x v="1"/>
    <n v="9.4"/>
    <n v="1.9"/>
    <x v="1"/>
    <x v="0"/>
    <n v="7.3"/>
    <n v="3"/>
    <n v="4.5999999999999996"/>
    <x v="1"/>
    <n v="4"/>
    <n v="3"/>
    <n v="0"/>
    <n v="0"/>
    <n v="0"/>
    <n v="1"/>
    <n v="0"/>
    <x v="2"/>
    <x v="2"/>
    <x v="0"/>
  </r>
  <r>
    <n v="1380"/>
    <n v="45"/>
    <x v="1"/>
    <x v="2"/>
    <n v="2.6"/>
    <n v="6.4"/>
    <x v="2"/>
    <x v="1"/>
    <n v="7.6"/>
    <n v="9"/>
    <n v="4.4000000000000004"/>
    <x v="2"/>
    <n v="10"/>
    <n v="3"/>
    <n v="1"/>
    <n v="0"/>
    <n v="0"/>
    <n v="1"/>
    <n v="0"/>
    <x v="2"/>
    <x v="0"/>
    <x v="2"/>
  </r>
  <r>
    <n v="1381"/>
    <n v="54"/>
    <x v="1"/>
    <x v="2"/>
    <n v="5.9"/>
    <n v="7.5"/>
    <x v="2"/>
    <x v="1"/>
    <n v="4.2"/>
    <n v="1"/>
    <n v="4.5999999999999996"/>
    <x v="0"/>
    <n v="4"/>
    <n v="0"/>
    <n v="0"/>
    <n v="0"/>
    <n v="0"/>
    <n v="0"/>
    <n v="0"/>
    <x v="1"/>
    <x v="2"/>
    <x v="1"/>
  </r>
  <r>
    <n v="1382"/>
    <n v="50"/>
    <x v="0"/>
    <x v="0"/>
    <n v="4.8"/>
    <n v="7.6"/>
    <x v="2"/>
    <x v="1"/>
    <n v="4.4000000000000004"/>
    <n v="8"/>
    <n v="5.4"/>
    <x v="2"/>
    <n v="6"/>
    <n v="0"/>
    <n v="1"/>
    <n v="1"/>
    <n v="0"/>
    <n v="1"/>
    <n v="1"/>
    <x v="1"/>
    <x v="0"/>
    <x v="1"/>
  </r>
  <r>
    <n v="1383"/>
    <n v="33"/>
    <x v="1"/>
    <x v="2"/>
    <n v="5"/>
    <n v="3.6"/>
    <x v="1"/>
    <x v="0"/>
    <n v="6.1"/>
    <n v="8"/>
    <n v="3.1"/>
    <x v="1"/>
    <n v="4"/>
    <n v="0"/>
    <n v="0"/>
    <n v="1"/>
    <n v="1"/>
    <n v="1"/>
    <n v="1"/>
    <x v="0"/>
    <x v="0"/>
    <x v="1"/>
  </r>
  <r>
    <n v="1384"/>
    <n v="57"/>
    <x v="1"/>
    <x v="0"/>
    <n v="11.8"/>
    <n v="1.9"/>
    <x v="1"/>
    <x v="0"/>
    <n v="4"/>
    <n v="7"/>
    <n v="9"/>
    <x v="2"/>
    <n v="9"/>
    <n v="4"/>
    <n v="1"/>
    <n v="1"/>
    <n v="1"/>
    <n v="1"/>
    <n v="1"/>
    <x v="1"/>
    <x v="1"/>
    <x v="0"/>
  </r>
  <r>
    <n v="1385"/>
    <n v="54"/>
    <x v="1"/>
    <x v="1"/>
    <n v="8.4"/>
    <n v="4.5999999999999996"/>
    <x v="1"/>
    <x v="0"/>
    <n v="4.8"/>
    <n v="5"/>
    <n v="4.0999999999999996"/>
    <x v="0"/>
    <n v="9"/>
    <n v="3"/>
    <n v="0"/>
    <n v="1"/>
    <n v="1"/>
    <n v="1"/>
    <n v="1"/>
    <x v="1"/>
    <x v="1"/>
    <x v="0"/>
  </r>
  <r>
    <n v="1386"/>
    <n v="32"/>
    <x v="0"/>
    <x v="1"/>
    <n v="9.1999999999999993"/>
    <n v="1.8"/>
    <x v="1"/>
    <x v="0"/>
    <n v="4.9000000000000004"/>
    <n v="4"/>
    <n v="11.3"/>
    <x v="0"/>
    <n v="3"/>
    <n v="0"/>
    <n v="0"/>
    <n v="1"/>
    <n v="0"/>
    <n v="0"/>
    <n v="1"/>
    <x v="1"/>
    <x v="1"/>
    <x v="0"/>
  </r>
  <r>
    <n v="1387"/>
    <n v="29"/>
    <x v="0"/>
    <x v="1"/>
    <n v="11.8"/>
    <n v="7.5"/>
    <x v="2"/>
    <x v="1"/>
    <n v="4"/>
    <n v="10"/>
    <n v="4.2"/>
    <x v="2"/>
    <n v="7"/>
    <n v="0"/>
    <n v="0"/>
    <n v="0"/>
    <n v="1"/>
    <n v="0"/>
    <n v="1"/>
    <x v="1"/>
    <x v="0"/>
    <x v="0"/>
  </r>
  <r>
    <n v="1388"/>
    <n v="46"/>
    <x v="1"/>
    <x v="2"/>
    <n v="5.8"/>
    <n v="2.2999999999999998"/>
    <x v="1"/>
    <x v="0"/>
    <n v="4.2"/>
    <n v="10"/>
    <n v="4.5999999999999996"/>
    <x v="1"/>
    <n v="5"/>
    <n v="1"/>
    <n v="0"/>
    <n v="0"/>
    <n v="0"/>
    <n v="1"/>
    <n v="1"/>
    <x v="1"/>
    <x v="0"/>
    <x v="1"/>
  </r>
  <r>
    <n v="1389"/>
    <n v="39"/>
    <x v="0"/>
    <x v="0"/>
    <n v="10"/>
    <n v="2.8"/>
    <x v="2"/>
    <x v="1"/>
    <n v="7.7"/>
    <n v="10"/>
    <n v="5"/>
    <x v="1"/>
    <n v="9"/>
    <n v="4"/>
    <n v="1"/>
    <n v="0"/>
    <n v="1"/>
    <n v="1"/>
    <n v="1"/>
    <x v="2"/>
    <x v="0"/>
    <x v="0"/>
  </r>
  <r>
    <n v="1390"/>
    <n v="50"/>
    <x v="1"/>
    <x v="1"/>
    <n v="6.3"/>
    <n v="3.8"/>
    <x v="1"/>
    <x v="0"/>
    <n v="4"/>
    <n v="10"/>
    <n v="9.6999999999999993"/>
    <x v="2"/>
    <n v="2"/>
    <n v="3"/>
    <n v="0"/>
    <n v="1"/>
    <n v="1"/>
    <n v="1"/>
    <n v="1"/>
    <x v="1"/>
    <x v="0"/>
    <x v="1"/>
  </r>
  <r>
    <n v="1391"/>
    <n v="59"/>
    <x v="1"/>
    <x v="0"/>
    <n v="10.7"/>
    <n v="3.7"/>
    <x v="2"/>
    <x v="1"/>
    <n v="3.2"/>
    <n v="6"/>
    <n v="6.3"/>
    <x v="0"/>
    <n v="3"/>
    <n v="2"/>
    <n v="1"/>
    <n v="1"/>
    <n v="1"/>
    <n v="1"/>
    <n v="1"/>
    <x v="1"/>
    <x v="1"/>
    <x v="0"/>
  </r>
  <r>
    <n v="1392"/>
    <n v="49"/>
    <x v="0"/>
    <x v="1"/>
    <n v="3.8"/>
    <n v="6.6"/>
    <x v="1"/>
    <x v="0"/>
    <n v="6.8"/>
    <n v="1"/>
    <n v="10.199999999999999"/>
    <x v="0"/>
    <n v="10"/>
    <n v="4"/>
    <n v="1"/>
    <n v="0"/>
    <n v="1"/>
    <n v="0"/>
    <n v="0"/>
    <x v="0"/>
    <x v="2"/>
    <x v="2"/>
  </r>
  <r>
    <n v="1393"/>
    <n v="18"/>
    <x v="1"/>
    <x v="2"/>
    <n v="11.5"/>
    <n v="4.2"/>
    <x v="1"/>
    <x v="0"/>
    <n v="8.9"/>
    <n v="5"/>
    <n v="9.8000000000000007"/>
    <x v="0"/>
    <n v="5"/>
    <n v="4"/>
    <n v="1"/>
    <n v="1"/>
    <n v="0"/>
    <n v="1"/>
    <n v="0"/>
    <x v="2"/>
    <x v="1"/>
    <x v="0"/>
  </r>
  <r>
    <n v="1394"/>
    <n v="52"/>
    <x v="0"/>
    <x v="2"/>
    <n v="4.2"/>
    <n v="2.2000000000000002"/>
    <x v="2"/>
    <x v="1"/>
    <n v="5"/>
    <n v="4"/>
    <n v="11.3"/>
    <x v="0"/>
    <n v="5"/>
    <n v="1"/>
    <n v="1"/>
    <n v="0"/>
    <n v="1"/>
    <n v="1"/>
    <n v="1"/>
    <x v="0"/>
    <x v="1"/>
    <x v="1"/>
  </r>
  <r>
    <n v="1395"/>
    <n v="58"/>
    <x v="0"/>
    <x v="0"/>
    <n v="5.3"/>
    <n v="2.9"/>
    <x v="2"/>
    <x v="1"/>
    <n v="3.7"/>
    <n v="4"/>
    <n v="9.6"/>
    <x v="1"/>
    <n v="10"/>
    <n v="3"/>
    <n v="0"/>
    <n v="0"/>
    <n v="1"/>
    <n v="0"/>
    <n v="1"/>
    <x v="1"/>
    <x v="1"/>
    <x v="1"/>
  </r>
  <r>
    <n v="1396"/>
    <n v="55"/>
    <x v="1"/>
    <x v="2"/>
    <n v="9.6"/>
    <n v="4.5999999999999996"/>
    <x v="1"/>
    <x v="0"/>
    <n v="6.4"/>
    <n v="7"/>
    <n v="2.5"/>
    <x v="0"/>
    <n v="7"/>
    <n v="3"/>
    <n v="0"/>
    <n v="0"/>
    <n v="1"/>
    <n v="1"/>
    <n v="0"/>
    <x v="0"/>
    <x v="1"/>
    <x v="0"/>
  </r>
  <r>
    <n v="1397"/>
    <n v="41"/>
    <x v="0"/>
    <x v="2"/>
    <n v="5.9"/>
    <n v="2"/>
    <x v="1"/>
    <x v="0"/>
    <n v="8.4"/>
    <n v="9"/>
    <n v="10.4"/>
    <x v="2"/>
    <n v="8"/>
    <n v="0"/>
    <n v="0"/>
    <n v="1"/>
    <n v="1"/>
    <n v="1"/>
    <n v="1"/>
    <x v="2"/>
    <x v="0"/>
    <x v="1"/>
  </r>
  <r>
    <n v="1398"/>
    <n v="38"/>
    <x v="0"/>
    <x v="0"/>
    <n v="8.1"/>
    <n v="5.3"/>
    <x v="1"/>
    <x v="0"/>
    <n v="7.7"/>
    <n v="8"/>
    <n v="11.4"/>
    <x v="2"/>
    <n v="8"/>
    <n v="0"/>
    <n v="0"/>
    <n v="1"/>
    <n v="0"/>
    <n v="0"/>
    <n v="0"/>
    <x v="2"/>
    <x v="0"/>
    <x v="0"/>
  </r>
  <r>
    <n v="1399"/>
    <n v="59"/>
    <x v="1"/>
    <x v="1"/>
    <n v="6.4"/>
    <n v="5"/>
    <x v="2"/>
    <x v="1"/>
    <n v="6.7"/>
    <n v="8"/>
    <n v="11.9"/>
    <x v="2"/>
    <n v="1"/>
    <n v="4"/>
    <n v="0"/>
    <n v="0"/>
    <n v="1"/>
    <n v="1"/>
    <n v="1"/>
    <x v="0"/>
    <x v="0"/>
    <x v="1"/>
  </r>
  <r>
    <n v="1400"/>
    <n v="54"/>
    <x v="1"/>
    <x v="2"/>
    <n v="9.4"/>
    <n v="6"/>
    <x v="1"/>
    <x v="0"/>
    <n v="4.9000000000000004"/>
    <n v="5"/>
    <n v="3.3"/>
    <x v="2"/>
    <n v="1"/>
    <n v="1"/>
    <n v="0"/>
    <n v="0"/>
    <n v="0"/>
    <n v="0"/>
    <n v="1"/>
    <x v="1"/>
    <x v="1"/>
    <x v="0"/>
  </r>
  <r>
    <n v="1401"/>
    <n v="30"/>
    <x v="0"/>
    <x v="0"/>
    <n v="4.3"/>
    <n v="7.6"/>
    <x v="2"/>
    <x v="1"/>
    <n v="6.3"/>
    <n v="6"/>
    <n v="8.1"/>
    <x v="0"/>
    <n v="3"/>
    <n v="3"/>
    <n v="1"/>
    <n v="1"/>
    <n v="1"/>
    <n v="1"/>
    <n v="1"/>
    <x v="0"/>
    <x v="1"/>
    <x v="1"/>
  </r>
  <r>
    <n v="1402"/>
    <n v="19"/>
    <x v="0"/>
    <x v="2"/>
    <n v="2.6"/>
    <n v="7.4"/>
    <x v="1"/>
    <x v="0"/>
    <n v="3.5"/>
    <n v="2"/>
    <n v="4"/>
    <x v="1"/>
    <n v="1"/>
    <n v="1"/>
    <n v="1"/>
    <n v="1"/>
    <n v="0"/>
    <n v="0"/>
    <n v="0"/>
    <x v="1"/>
    <x v="2"/>
    <x v="2"/>
  </r>
  <r>
    <n v="1403"/>
    <n v="44"/>
    <x v="1"/>
    <x v="2"/>
    <n v="5"/>
    <n v="7.6"/>
    <x v="1"/>
    <x v="0"/>
    <n v="7.1"/>
    <n v="3"/>
    <n v="4.5999999999999996"/>
    <x v="0"/>
    <n v="1"/>
    <n v="2"/>
    <n v="0"/>
    <n v="1"/>
    <n v="0"/>
    <n v="1"/>
    <n v="1"/>
    <x v="2"/>
    <x v="2"/>
    <x v="1"/>
  </r>
  <r>
    <n v="1404"/>
    <n v="37"/>
    <x v="0"/>
    <x v="2"/>
    <n v="6.7"/>
    <n v="2.7"/>
    <x v="1"/>
    <x v="0"/>
    <n v="7.4"/>
    <n v="5"/>
    <n v="9.5"/>
    <x v="1"/>
    <n v="10"/>
    <n v="3"/>
    <n v="0"/>
    <n v="1"/>
    <n v="0"/>
    <n v="1"/>
    <n v="1"/>
    <x v="2"/>
    <x v="1"/>
    <x v="1"/>
  </r>
  <r>
    <n v="1405"/>
    <n v="40"/>
    <x v="0"/>
    <x v="2"/>
    <n v="3.7"/>
    <n v="1.9"/>
    <x v="1"/>
    <x v="0"/>
    <n v="8.8000000000000007"/>
    <n v="2"/>
    <n v="11.8"/>
    <x v="0"/>
    <n v="8"/>
    <n v="0"/>
    <n v="0"/>
    <n v="0"/>
    <n v="0"/>
    <n v="0"/>
    <n v="0"/>
    <x v="2"/>
    <x v="2"/>
    <x v="2"/>
  </r>
  <r>
    <n v="1406"/>
    <n v="28"/>
    <x v="0"/>
    <x v="0"/>
    <n v="5.5"/>
    <n v="3.1"/>
    <x v="2"/>
    <x v="1"/>
    <n v="4.5999999999999996"/>
    <n v="3"/>
    <n v="7.9"/>
    <x v="1"/>
    <n v="1"/>
    <n v="4"/>
    <n v="1"/>
    <n v="0"/>
    <n v="0"/>
    <n v="0"/>
    <n v="0"/>
    <x v="1"/>
    <x v="2"/>
    <x v="1"/>
  </r>
  <r>
    <n v="1407"/>
    <n v="33"/>
    <x v="0"/>
    <x v="0"/>
    <n v="6"/>
    <n v="7.3"/>
    <x v="2"/>
    <x v="1"/>
    <n v="3.1"/>
    <n v="4"/>
    <n v="10.5"/>
    <x v="2"/>
    <n v="9"/>
    <n v="1"/>
    <n v="0"/>
    <n v="1"/>
    <n v="0"/>
    <n v="0"/>
    <n v="1"/>
    <x v="1"/>
    <x v="1"/>
    <x v="1"/>
  </r>
  <r>
    <n v="1408"/>
    <n v="48"/>
    <x v="0"/>
    <x v="0"/>
    <n v="2.6"/>
    <n v="7.8"/>
    <x v="1"/>
    <x v="0"/>
    <n v="6.3"/>
    <n v="6"/>
    <n v="2.1"/>
    <x v="2"/>
    <n v="2"/>
    <n v="0"/>
    <n v="0"/>
    <n v="1"/>
    <n v="1"/>
    <n v="1"/>
    <n v="0"/>
    <x v="0"/>
    <x v="1"/>
    <x v="2"/>
  </r>
  <r>
    <n v="1409"/>
    <n v="31"/>
    <x v="0"/>
    <x v="2"/>
    <n v="7.8"/>
    <n v="7"/>
    <x v="1"/>
    <x v="0"/>
    <n v="7.2"/>
    <n v="5"/>
    <n v="2.4"/>
    <x v="1"/>
    <n v="9"/>
    <n v="4"/>
    <n v="0"/>
    <n v="1"/>
    <n v="1"/>
    <n v="0"/>
    <n v="1"/>
    <x v="2"/>
    <x v="1"/>
    <x v="1"/>
  </r>
  <r>
    <n v="1410"/>
    <n v="57"/>
    <x v="0"/>
    <x v="2"/>
    <n v="10.8"/>
    <n v="1.8"/>
    <x v="1"/>
    <x v="0"/>
    <n v="7.7"/>
    <n v="10"/>
    <n v="8"/>
    <x v="1"/>
    <n v="7"/>
    <n v="0"/>
    <n v="1"/>
    <n v="1"/>
    <n v="1"/>
    <n v="0"/>
    <n v="1"/>
    <x v="2"/>
    <x v="0"/>
    <x v="0"/>
  </r>
  <r>
    <n v="1411"/>
    <n v="59"/>
    <x v="1"/>
    <x v="2"/>
    <n v="3.5"/>
    <n v="7.6"/>
    <x v="2"/>
    <x v="1"/>
    <n v="4.2"/>
    <n v="4"/>
    <n v="5.9"/>
    <x v="1"/>
    <n v="9"/>
    <n v="3"/>
    <n v="1"/>
    <n v="0"/>
    <n v="0"/>
    <n v="0"/>
    <n v="0"/>
    <x v="1"/>
    <x v="1"/>
    <x v="2"/>
  </r>
  <r>
    <n v="1412"/>
    <n v="17"/>
    <x v="1"/>
    <x v="0"/>
    <n v="8"/>
    <n v="4"/>
    <x v="1"/>
    <x v="0"/>
    <n v="4.5999999999999996"/>
    <n v="2"/>
    <n v="10.9"/>
    <x v="2"/>
    <n v="3"/>
    <n v="1"/>
    <n v="0"/>
    <n v="1"/>
    <n v="1"/>
    <n v="0"/>
    <n v="1"/>
    <x v="1"/>
    <x v="2"/>
    <x v="1"/>
  </r>
  <r>
    <n v="1413"/>
    <n v="50"/>
    <x v="1"/>
    <x v="2"/>
    <n v="8.6"/>
    <n v="1.1000000000000001"/>
    <x v="2"/>
    <x v="1"/>
    <n v="6.1"/>
    <n v="5"/>
    <n v="5"/>
    <x v="2"/>
    <n v="1"/>
    <n v="2"/>
    <n v="1"/>
    <n v="1"/>
    <n v="1"/>
    <n v="1"/>
    <n v="0"/>
    <x v="0"/>
    <x v="1"/>
    <x v="0"/>
  </r>
  <r>
    <n v="1414"/>
    <n v="57"/>
    <x v="1"/>
    <x v="1"/>
    <n v="6.2"/>
    <n v="4.0999999999999996"/>
    <x v="2"/>
    <x v="1"/>
    <n v="5"/>
    <n v="5"/>
    <n v="6.3"/>
    <x v="0"/>
    <n v="1"/>
    <n v="0"/>
    <n v="1"/>
    <n v="0"/>
    <n v="1"/>
    <n v="0"/>
    <n v="1"/>
    <x v="0"/>
    <x v="1"/>
    <x v="1"/>
  </r>
  <r>
    <n v="1415"/>
    <n v="49"/>
    <x v="1"/>
    <x v="2"/>
    <n v="9"/>
    <n v="1.3"/>
    <x v="2"/>
    <x v="1"/>
    <n v="8.1999999999999993"/>
    <n v="7"/>
    <n v="7.3"/>
    <x v="1"/>
    <n v="10"/>
    <n v="1"/>
    <n v="1"/>
    <n v="1"/>
    <n v="1"/>
    <n v="1"/>
    <n v="0"/>
    <x v="2"/>
    <x v="1"/>
    <x v="0"/>
  </r>
  <r>
    <n v="1416"/>
    <n v="45"/>
    <x v="0"/>
    <x v="1"/>
    <n v="6.1"/>
    <n v="4.8"/>
    <x v="2"/>
    <x v="1"/>
    <n v="5.8"/>
    <n v="1"/>
    <n v="4.7"/>
    <x v="1"/>
    <n v="6"/>
    <n v="3"/>
    <n v="0"/>
    <n v="0"/>
    <n v="0"/>
    <n v="0"/>
    <n v="1"/>
    <x v="0"/>
    <x v="2"/>
    <x v="1"/>
  </r>
  <r>
    <n v="1417"/>
    <n v="28"/>
    <x v="0"/>
    <x v="2"/>
    <n v="7"/>
    <n v="3.4"/>
    <x v="1"/>
    <x v="0"/>
    <n v="7.8"/>
    <n v="4"/>
    <n v="11.1"/>
    <x v="1"/>
    <n v="7"/>
    <n v="0"/>
    <n v="0"/>
    <n v="0"/>
    <n v="0"/>
    <n v="1"/>
    <n v="0"/>
    <x v="2"/>
    <x v="1"/>
    <x v="1"/>
  </r>
  <r>
    <n v="1418"/>
    <n v="28"/>
    <x v="0"/>
    <x v="0"/>
    <n v="2.1"/>
    <n v="4.3"/>
    <x v="1"/>
    <x v="0"/>
    <n v="6.5"/>
    <n v="5"/>
    <n v="6.6"/>
    <x v="2"/>
    <n v="9"/>
    <n v="3"/>
    <n v="1"/>
    <n v="0"/>
    <n v="1"/>
    <n v="1"/>
    <n v="0"/>
    <x v="0"/>
    <x v="1"/>
    <x v="2"/>
  </r>
  <r>
    <n v="1419"/>
    <n v="33"/>
    <x v="0"/>
    <x v="2"/>
    <n v="8.9"/>
    <n v="5.3"/>
    <x v="2"/>
    <x v="1"/>
    <n v="7.6"/>
    <n v="8"/>
    <n v="6.2"/>
    <x v="1"/>
    <n v="6"/>
    <n v="2"/>
    <n v="1"/>
    <n v="1"/>
    <n v="1"/>
    <n v="1"/>
    <n v="0"/>
    <x v="2"/>
    <x v="0"/>
    <x v="0"/>
  </r>
  <r>
    <n v="1420"/>
    <n v="47"/>
    <x v="1"/>
    <x v="1"/>
    <n v="8.6"/>
    <n v="7.1"/>
    <x v="1"/>
    <x v="0"/>
    <n v="5"/>
    <n v="8"/>
    <n v="10.5"/>
    <x v="1"/>
    <n v="5"/>
    <n v="2"/>
    <n v="1"/>
    <n v="0"/>
    <n v="1"/>
    <n v="0"/>
    <n v="1"/>
    <x v="0"/>
    <x v="0"/>
    <x v="0"/>
  </r>
  <r>
    <n v="1421"/>
    <n v="47"/>
    <x v="0"/>
    <x v="1"/>
    <n v="2.4"/>
    <n v="5.6"/>
    <x v="1"/>
    <x v="0"/>
    <n v="8"/>
    <n v="1"/>
    <n v="5.0999999999999996"/>
    <x v="2"/>
    <n v="2"/>
    <n v="4"/>
    <n v="0"/>
    <n v="1"/>
    <n v="0"/>
    <n v="1"/>
    <n v="0"/>
    <x v="2"/>
    <x v="2"/>
    <x v="2"/>
  </r>
  <r>
    <n v="1422"/>
    <n v="50"/>
    <x v="0"/>
    <x v="2"/>
    <n v="5.7"/>
    <n v="4"/>
    <x v="1"/>
    <x v="0"/>
    <n v="4.5999999999999996"/>
    <n v="5"/>
    <n v="10.199999999999999"/>
    <x v="1"/>
    <n v="2"/>
    <n v="4"/>
    <n v="1"/>
    <n v="1"/>
    <n v="0"/>
    <n v="1"/>
    <n v="1"/>
    <x v="1"/>
    <x v="1"/>
    <x v="1"/>
  </r>
  <r>
    <n v="1423"/>
    <n v="54"/>
    <x v="1"/>
    <x v="1"/>
    <n v="11.8"/>
    <n v="6.7"/>
    <x v="2"/>
    <x v="1"/>
    <n v="6.3"/>
    <n v="10"/>
    <n v="3.2"/>
    <x v="0"/>
    <n v="8"/>
    <n v="4"/>
    <n v="1"/>
    <n v="0"/>
    <n v="1"/>
    <n v="1"/>
    <n v="0"/>
    <x v="0"/>
    <x v="0"/>
    <x v="0"/>
  </r>
  <r>
    <n v="1424"/>
    <n v="44"/>
    <x v="0"/>
    <x v="1"/>
    <n v="6.2"/>
    <n v="7.3"/>
    <x v="1"/>
    <x v="0"/>
    <n v="4.3"/>
    <n v="1"/>
    <n v="3.8"/>
    <x v="2"/>
    <n v="1"/>
    <n v="3"/>
    <n v="0"/>
    <n v="0"/>
    <n v="1"/>
    <n v="0"/>
    <n v="0"/>
    <x v="1"/>
    <x v="2"/>
    <x v="1"/>
  </r>
  <r>
    <n v="1425"/>
    <n v="44"/>
    <x v="0"/>
    <x v="0"/>
    <n v="7"/>
    <n v="1.8"/>
    <x v="1"/>
    <x v="0"/>
    <n v="5.9"/>
    <n v="1"/>
    <n v="11.5"/>
    <x v="2"/>
    <n v="8"/>
    <n v="4"/>
    <n v="1"/>
    <n v="0"/>
    <n v="0"/>
    <n v="0"/>
    <n v="0"/>
    <x v="0"/>
    <x v="2"/>
    <x v="1"/>
  </r>
  <r>
    <n v="1426"/>
    <n v="59"/>
    <x v="1"/>
    <x v="2"/>
    <n v="11.1"/>
    <n v="4.7"/>
    <x v="1"/>
    <x v="0"/>
    <n v="4.9000000000000004"/>
    <n v="2"/>
    <n v="10.4"/>
    <x v="2"/>
    <n v="10"/>
    <n v="1"/>
    <n v="1"/>
    <n v="1"/>
    <n v="0"/>
    <n v="0"/>
    <n v="1"/>
    <x v="1"/>
    <x v="2"/>
    <x v="0"/>
  </r>
  <r>
    <n v="1427"/>
    <n v="31"/>
    <x v="0"/>
    <x v="2"/>
    <n v="9.1999999999999993"/>
    <n v="3"/>
    <x v="1"/>
    <x v="0"/>
    <n v="4.5999999999999996"/>
    <n v="2"/>
    <n v="5.9"/>
    <x v="0"/>
    <n v="7"/>
    <n v="3"/>
    <n v="0"/>
    <n v="1"/>
    <n v="0"/>
    <n v="1"/>
    <n v="0"/>
    <x v="1"/>
    <x v="2"/>
    <x v="0"/>
  </r>
  <r>
    <n v="1428"/>
    <n v="59"/>
    <x v="0"/>
    <x v="2"/>
    <n v="7.8"/>
    <n v="1.3"/>
    <x v="1"/>
    <x v="0"/>
    <n v="8.8000000000000007"/>
    <n v="9"/>
    <n v="8.4"/>
    <x v="2"/>
    <n v="7"/>
    <n v="3"/>
    <n v="1"/>
    <n v="0"/>
    <n v="1"/>
    <n v="0"/>
    <n v="1"/>
    <x v="2"/>
    <x v="0"/>
    <x v="1"/>
  </r>
  <r>
    <n v="1429"/>
    <n v="25"/>
    <x v="0"/>
    <x v="1"/>
    <n v="10"/>
    <n v="5.7"/>
    <x v="1"/>
    <x v="0"/>
    <n v="4"/>
    <n v="4"/>
    <n v="11.4"/>
    <x v="2"/>
    <n v="5"/>
    <n v="4"/>
    <n v="1"/>
    <n v="1"/>
    <n v="1"/>
    <n v="1"/>
    <n v="1"/>
    <x v="1"/>
    <x v="1"/>
    <x v="0"/>
  </r>
  <r>
    <n v="1430"/>
    <n v="45"/>
    <x v="0"/>
    <x v="2"/>
    <n v="10.6"/>
    <n v="7"/>
    <x v="1"/>
    <x v="0"/>
    <n v="7.7"/>
    <n v="3"/>
    <n v="4.0999999999999996"/>
    <x v="2"/>
    <n v="3"/>
    <n v="4"/>
    <n v="1"/>
    <n v="0"/>
    <n v="0"/>
    <n v="0"/>
    <n v="1"/>
    <x v="2"/>
    <x v="2"/>
    <x v="0"/>
  </r>
  <r>
    <n v="1431"/>
    <n v="40"/>
    <x v="0"/>
    <x v="2"/>
    <n v="6.6"/>
    <n v="2.1"/>
    <x v="1"/>
    <x v="0"/>
    <n v="8.9"/>
    <n v="1"/>
    <n v="2.6"/>
    <x v="2"/>
    <n v="7"/>
    <n v="3"/>
    <n v="1"/>
    <n v="1"/>
    <n v="0"/>
    <n v="1"/>
    <n v="0"/>
    <x v="2"/>
    <x v="2"/>
    <x v="1"/>
  </r>
  <r>
    <n v="1432"/>
    <n v="54"/>
    <x v="1"/>
    <x v="0"/>
    <n v="6.8"/>
    <n v="6.7"/>
    <x v="1"/>
    <x v="0"/>
    <n v="3.1"/>
    <n v="2"/>
    <n v="7.4"/>
    <x v="0"/>
    <n v="7"/>
    <n v="2"/>
    <n v="0"/>
    <n v="1"/>
    <n v="1"/>
    <n v="0"/>
    <n v="1"/>
    <x v="1"/>
    <x v="2"/>
    <x v="1"/>
  </r>
  <r>
    <n v="1433"/>
    <n v="35"/>
    <x v="1"/>
    <x v="0"/>
    <n v="5.9"/>
    <n v="7"/>
    <x v="1"/>
    <x v="0"/>
    <n v="7.2"/>
    <n v="6"/>
    <n v="3.4"/>
    <x v="1"/>
    <n v="7"/>
    <n v="2"/>
    <n v="0"/>
    <n v="1"/>
    <n v="1"/>
    <n v="1"/>
    <n v="0"/>
    <x v="2"/>
    <x v="1"/>
    <x v="1"/>
  </r>
  <r>
    <n v="1434"/>
    <n v="20"/>
    <x v="1"/>
    <x v="0"/>
    <n v="11.7"/>
    <n v="7.4"/>
    <x v="2"/>
    <x v="1"/>
    <n v="4.5"/>
    <n v="9"/>
    <n v="3.9"/>
    <x v="1"/>
    <n v="2"/>
    <n v="4"/>
    <n v="0"/>
    <n v="1"/>
    <n v="1"/>
    <n v="0"/>
    <n v="1"/>
    <x v="1"/>
    <x v="0"/>
    <x v="0"/>
  </r>
  <r>
    <n v="1435"/>
    <n v="16"/>
    <x v="1"/>
    <x v="1"/>
    <n v="9"/>
    <n v="2.9"/>
    <x v="1"/>
    <x v="0"/>
    <n v="3.2"/>
    <n v="5"/>
    <n v="10.9"/>
    <x v="2"/>
    <n v="3"/>
    <n v="2"/>
    <n v="1"/>
    <n v="0"/>
    <n v="1"/>
    <n v="1"/>
    <n v="0"/>
    <x v="1"/>
    <x v="1"/>
    <x v="0"/>
  </r>
  <r>
    <n v="1436"/>
    <n v="45"/>
    <x v="1"/>
    <x v="2"/>
    <n v="2.8"/>
    <n v="7.3"/>
    <x v="2"/>
    <x v="1"/>
    <n v="5.4"/>
    <n v="4"/>
    <n v="2.1"/>
    <x v="0"/>
    <n v="3"/>
    <n v="1"/>
    <n v="0"/>
    <n v="0"/>
    <n v="0"/>
    <n v="1"/>
    <n v="0"/>
    <x v="0"/>
    <x v="1"/>
    <x v="2"/>
  </r>
  <r>
    <n v="1437"/>
    <n v="18"/>
    <x v="1"/>
    <x v="0"/>
    <n v="10.6"/>
    <n v="3.2"/>
    <x v="1"/>
    <x v="0"/>
    <n v="8.6"/>
    <n v="5"/>
    <n v="10.199999999999999"/>
    <x v="2"/>
    <n v="4"/>
    <n v="1"/>
    <n v="0"/>
    <n v="0"/>
    <n v="1"/>
    <n v="0"/>
    <n v="0"/>
    <x v="2"/>
    <x v="1"/>
    <x v="0"/>
  </r>
  <r>
    <n v="1438"/>
    <n v="29"/>
    <x v="0"/>
    <x v="0"/>
    <n v="6.8"/>
    <n v="4.9000000000000004"/>
    <x v="2"/>
    <x v="1"/>
    <n v="3.1"/>
    <n v="9"/>
    <n v="7.2"/>
    <x v="1"/>
    <n v="9"/>
    <n v="1"/>
    <n v="1"/>
    <n v="1"/>
    <n v="0"/>
    <n v="1"/>
    <n v="1"/>
    <x v="1"/>
    <x v="0"/>
    <x v="1"/>
  </r>
  <r>
    <n v="1439"/>
    <n v="45"/>
    <x v="1"/>
    <x v="0"/>
    <n v="2.7"/>
    <n v="1.4"/>
    <x v="2"/>
    <x v="1"/>
    <n v="6.5"/>
    <n v="7"/>
    <n v="7.6"/>
    <x v="1"/>
    <n v="10"/>
    <n v="3"/>
    <n v="0"/>
    <n v="1"/>
    <n v="1"/>
    <n v="0"/>
    <n v="1"/>
    <x v="0"/>
    <x v="1"/>
    <x v="2"/>
  </r>
  <r>
    <n v="1440"/>
    <n v="19"/>
    <x v="1"/>
    <x v="2"/>
    <n v="7.5"/>
    <n v="1.3"/>
    <x v="1"/>
    <x v="0"/>
    <n v="6"/>
    <n v="8"/>
    <n v="8.6999999999999993"/>
    <x v="0"/>
    <n v="1"/>
    <n v="3"/>
    <n v="1"/>
    <n v="0"/>
    <n v="0"/>
    <n v="0"/>
    <n v="1"/>
    <x v="0"/>
    <x v="0"/>
    <x v="1"/>
  </r>
  <r>
    <n v="1441"/>
    <n v="33"/>
    <x v="0"/>
    <x v="2"/>
    <n v="6.2"/>
    <n v="6"/>
    <x v="2"/>
    <x v="1"/>
    <n v="8.1999999999999993"/>
    <n v="4"/>
    <n v="6.3"/>
    <x v="1"/>
    <n v="7"/>
    <n v="3"/>
    <n v="1"/>
    <n v="0"/>
    <n v="1"/>
    <n v="0"/>
    <n v="0"/>
    <x v="2"/>
    <x v="1"/>
    <x v="1"/>
  </r>
  <r>
    <n v="1442"/>
    <n v="52"/>
    <x v="0"/>
    <x v="2"/>
    <n v="10.8"/>
    <n v="4.0999999999999996"/>
    <x v="2"/>
    <x v="1"/>
    <n v="3.5"/>
    <n v="8"/>
    <n v="3.2"/>
    <x v="2"/>
    <n v="7"/>
    <n v="3"/>
    <n v="1"/>
    <n v="0"/>
    <n v="1"/>
    <n v="1"/>
    <n v="1"/>
    <x v="1"/>
    <x v="0"/>
    <x v="0"/>
  </r>
  <r>
    <n v="1443"/>
    <n v="40"/>
    <x v="1"/>
    <x v="1"/>
    <n v="4"/>
    <n v="2.8"/>
    <x v="2"/>
    <x v="1"/>
    <n v="7.1"/>
    <n v="6"/>
    <n v="3"/>
    <x v="0"/>
    <n v="4"/>
    <n v="3"/>
    <n v="0"/>
    <n v="1"/>
    <n v="0"/>
    <n v="0"/>
    <n v="0"/>
    <x v="2"/>
    <x v="1"/>
    <x v="2"/>
  </r>
  <r>
    <n v="1444"/>
    <n v="16"/>
    <x v="0"/>
    <x v="1"/>
    <n v="10.3"/>
    <n v="2.2999999999999998"/>
    <x v="1"/>
    <x v="0"/>
    <n v="7.1"/>
    <n v="5"/>
    <n v="9.5"/>
    <x v="1"/>
    <n v="1"/>
    <n v="4"/>
    <n v="0"/>
    <n v="0"/>
    <n v="0"/>
    <n v="0"/>
    <n v="0"/>
    <x v="2"/>
    <x v="1"/>
    <x v="0"/>
  </r>
  <r>
    <n v="1445"/>
    <n v="30"/>
    <x v="1"/>
    <x v="0"/>
    <n v="7.6"/>
    <n v="5.7"/>
    <x v="2"/>
    <x v="1"/>
    <n v="7"/>
    <n v="7"/>
    <n v="4.2"/>
    <x v="2"/>
    <n v="3"/>
    <n v="2"/>
    <n v="1"/>
    <n v="0"/>
    <n v="1"/>
    <n v="1"/>
    <n v="1"/>
    <x v="2"/>
    <x v="1"/>
    <x v="1"/>
  </r>
  <r>
    <n v="1446"/>
    <n v="24"/>
    <x v="0"/>
    <x v="2"/>
    <n v="2.5"/>
    <n v="1"/>
    <x v="2"/>
    <x v="1"/>
    <n v="8.6999999999999993"/>
    <n v="6"/>
    <n v="2.2999999999999998"/>
    <x v="0"/>
    <n v="5"/>
    <n v="4"/>
    <n v="0"/>
    <n v="0"/>
    <n v="0"/>
    <n v="1"/>
    <n v="0"/>
    <x v="2"/>
    <x v="1"/>
    <x v="2"/>
  </r>
  <r>
    <n v="1447"/>
    <n v="30"/>
    <x v="1"/>
    <x v="0"/>
    <n v="11.7"/>
    <n v="6.6"/>
    <x v="1"/>
    <x v="0"/>
    <n v="7.9"/>
    <n v="3"/>
    <n v="11.8"/>
    <x v="2"/>
    <n v="2"/>
    <n v="2"/>
    <n v="1"/>
    <n v="0"/>
    <n v="1"/>
    <n v="1"/>
    <n v="0"/>
    <x v="2"/>
    <x v="2"/>
    <x v="0"/>
  </r>
  <r>
    <n v="1448"/>
    <n v="39"/>
    <x v="0"/>
    <x v="2"/>
    <n v="7.1"/>
    <n v="1.6"/>
    <x v="2"/>
    <x v="1"/>
    <n v="3.3"/>
    <n v="5"/>
    <n v="11.8"/>
    <x v="1"/>
    <n v="7"/>
    <n v="4"/>
    <n v="0"/>
    <n v="0"/>
    <n v="0"/>
    <n v="1"/>
    <n v="1"/>
    <x v="1"/>
    <x v="1"/>
    <x v="1"/>
  </r>
  <r>
    <n v="1449"/>
    <n v="19"/>
    <x v="0"/>
    <x v="2"/>
    <n v="4.9000000000000004"/>
    <n v="2.2999999999999998"/>
    <x v="2"/>
    <x v="1"/>
    <n v="5.8"/>
    <n v="9"/>
    <n v="5.8"/>
    <x v="2"/>
    <n v="10"/>
    <n v="1"/>
    <n v="0"/>
    <n v="0"/>
    <n v="1"/>
    <n v="1"/>
    <n v="1"/>
    <x v="0"/>
    <x v="0"/>
    <x v="1"/>
  </r>
  <r>
    <n v="1450"/>
    <n v="27"/>
    <x v="1"/>
    <x v="2"/>
    <n v="6.7"/>
    <n v="3.7"/>
    <x v="2"/>
    <x v="1"/>
    <n v="5.4"/>
    <n v="7"/>
    <n v="2.2999999999999998"/>
    <x v="0"/>
    <n v="10"/>
    <n v="0"/>
    <n v="0"/>
    <n v="0"/>
    <n v="1"/>
    <n v="0"/>
    <n v="0"/>
    <x v="0"/>
    <x v="1"/>
    <x v="1"/>
  </r>
  <r>
    <n v="1451"/>
    <n v="52"/>
    <x v="1"/>
    <x v="1"/>
    <n v="10.6"/>
    <n v="4.4000000000000004"/>
    <x v="1"/>
    <x v="0"/>
    <n v="4.9000000000000004"/>
    <n v="4"/>
    <n v="9.3000000000000007"/>
    <x v="2"/>
    <n v="7"/>
    <n v="3"/>
    <n v="0"/>
    <n v="0"/>
    <n v="1"/>
    <n v="0"/>
    <n v="0"/>
    <x v="1"/>
    <x v="1"/>
    <x v="0"/>
  </r>
  <r>
    <n v="1452"/>
    <n v="52"/>
    <x v="1"/>
    <x v="1"/>
    <n v="5"/>
    <n v="3.5"/>
    <x v="2"/>
    <x v="1"/>
    <n v="5.7"/>
    <n v="7"/>
    <n v="10.3"/>
    <x v="1"/>
    <n v="10"/>
    <n v="0"/>
    <n v="0"/>
    <n v="0"/>
    <n v="0"/>
    <n v="0"/>
    <n v="0"/>
    <x v="0"/>
    <x v="1"/>
    <x v="1"/>
  </r>
  <r>
    <n v="1453"/>
    <n v="58"/>
    <x v="1"/>
    <x v="2"/>
    <n v="3.9"/>
    <n v="3.2"/>
    <x v="1"/>
    <x v="0"/>
    <n v="5.3"/>
    <n v="5"/>
    <n v="3.3"/>
    <x v="0"/>
    <n v="5"/>
    <n v="0"/>
    <n v="1"/>
    <n v="1"/>
    <n v="0"/>
    <n v="0"/>
    <n v="1"/>
    <x v="0"/>
    <x v="1"/>
    <x v="2"/>
  </r>
  <r>
    <n v="1454"/>
    <n v="21"/>
    <x v="1"/>
    <x v="0"/>
    <n v="3.3"/>
    <n v="7.7"/>
    <x v="2"/>
    <x v="1"/>
    <n v="5.6"/>
    <n v="2"/>
    <n v="3.4"/>
    <x v="0"/>
    <n v="10"/>
    <n v="1"/>
    <n v="0"/>
    <n v="0"/>
    <n v="0"/>
    <n v="0"/>
    <n v="0"/>
    <x v="0"/>
    <x v="2"/>
    <x v="2"/>
  </r>
  <r>
    <n v="1455"/>
    <n v="54"/>
    <x v="0"/>
    <x v="2"/>
    <n v="5"/>
    <n v="5.5"/>
    <x v="2"/>
    <x v="1"/>
    <n v="8.9"/>
    <n v="6"/>
    <n v="10.199999999999999"/>
    <x v="1"/>
    <n v="6"/>
    <n v="0"/>
    <n v="0"/>
    <n v="0"/>
    <n v="0"/>
    <n v="0"/>
    <n v="0"/>
    <x v="2"/>
    <x v="1"/>
    <x v="1"/>
  </r>
  <r>
    <n v="1456"/>
    <n v="39"/>
    <x v="1"/>
    <x v="2"/>
    <n v="9.8000000000000007"/>
    <n v="1.2"/>
    <x v="2"/>
    <x v="1"/>
    <n v="3.5"/>
    <n v="7"/>
    <n v="11.2"/>
    <x v="2"/>
    <n v="1"/>
    <n v="0"/>
    <n v="0"/>
    <n v="0"/>
    <n v="1"/>
    <n v="0"/>
    <n v="1"/>
    <x v="1"/>
    <x v="1"/>
    <x v="0"/>
  </r>
  <r>
    <n v="1457"/>
    <n v="26"/>
    <x v="1"/>
    <x v="0"/>
    <n v="6.7"/>
    <n v="4"/>
    <x v="2"/>
    <x v="1"/>
    <n v="8.5"/>
    <n v="8"/>
    <n v="9.9"/>
    <x v="2"/>
    <n v="4"/>
    <n v="1"/>
    <n v="0"/>
    <n v="1"/>
    <n v="1"/>
    <n v="0"/>
    <n v="1"/>
    <x v="2"/>
    <x v="0"/>
    <x v="1"/>
  </r>
  <r>
    <n v="1458"/>
    <n v="28"/>
    <x v="0"/>
    <x v="2"/>
    <n v="4.3"/>
    <n v="7.1"/>
    <x v="1"/>
    <x v="0"/>
    <n v="5.9"/>
    <n v="6"/>
    <n v="4"/>
    <x v="1"/>
    <n v="4"/>
    <n v="2"/>
    <n v="0"/>
    <n v="1"/>
    <n v="0"/>
    <n v="1"/>
    <n v="1"/>
    <x v="0"/>
    <x v="1"/>
    <x v="1"/>
  </r>
  <r>
    <n v="1459"/>
    <n v="49"/>
    <x v="0"/>
    <x v="0"/>
    <n v="3.7"/>
    <n v="3.1"/>
    <x v="2"/>
    <x v="1"/>
    <n v="6.7"/>
    <n v="8"/>
    <n v="6.1"/>
    <x v="0"/>
    <n v="8"/>
    <n v="4"/>
    <n v="1"/>
    <n v="0"/>
    <n v="1"/>
    <n v="1"/>
    <n v="1"/>
    <x v="0"/>
    <x v="0"/>
    <x v="2"/>
  </r>
  <r>
    <n v="1460"/>
    <n v="40"/>
    <x v="1"/>
    <x v="1"/>
    <n v="5.3"/>
    <n v="1.7"/>
    <x v="1"/>
    <x v="0"/>
    <n v="8"/>
    <n v="7"/>
    <n v="8"/>
    <x v="1"/>
    <n v="2"/>
    <n v="0"/>
    <n v="1"/>
    <n v="1"/>
    <n v="1"/>
    <n v="1"/>
    <n v="1"/>
    <x v="2"/>
    <x v="1"/>
    <x v="1"/>
  </r>
  <r>
    <n v="1461"/>
    <n v="22"/>
    <x v="0"/>
    <x v="1"/>
    <n v="11.4"/>
    <n v="6.3"/>
    <x v="2"/>
    <x v="1"/>
    <n v="5.2"/>
    <n v="2"/>
    <n v="3.6"/>
    <x v="0"/>
    <n v="1"/>
    <n v="3"/>
    <n v="1"/>
    <n v="1"/>
    <n v="1"/>
    <n v="1"/>
    <n v="0"/>
    <x v="0"/>
    <x v="2"/>
    <x v="0"/>
  </r>
  <r>
    <n v="1462"/>
    <n v="19"/>
    <x v="0"/>
    <x v="0"/>
    <n v="5.4"/>
    <n v="5.2"/>
    <x v="1"/>
    <x v="0"/>
    <n v="5.6"/>
    <n v="6"/>
    <n v="4.0999999999999996"/>
    <x v="0"/>
    <n v="7"/>
    <n v="1"/>
    <n v="0"/>
    <n v="0"/>
    <n v="1"/>
    <n v="0"/>
    <n v="1"/>
    <x v="0"/>
    <x v="1"/>
    <x v="1"/>
  </r>
  <r>
    <n v="1463"/>
    <n v="23"/>
    <x v="1"/>
    <x v="1"/>
    <n v="11.9"/>
    <n v="5"/>
    <x v="2"/>
    <x v="1"/>
    <n v="5.5"/>
    <n v="9"/>
    <n v="4.8"/>
    <x v="2"/>
    <n v="6"/>
    <n v="0"/>
    <n v="0"/>
    <n v="1"/>
    <n v="0"/>
    <n v="1"/>
    <n v="1"/>
    <x v="0"/>
    <x v="0"/>
    <x v="0"/>
  </r>
  <r>
    <n v="1464"/>
    <n v="35"/>
    <x v="0"/>
    <x v="1"/>
    <n v="6.9"/>
    <n v="1.4"/>
    <x v="2"/>
    <x v="1"/>
    <n v="5.2"/>
    <n v="6"/>
    <n v="7.1"/>
    <x v="1"/>
    <n v="5"/>
    <n v="2"/>
    <n v="1"/>
    <n v="1"/>
    <n v="1"/>
    <n v="0"/>
    <n v="1"/>
    <x v="0"/>
    <x v="1"/>
    <x v="1"/>
  </r>
  <r>
    <n v="1465"/>
    <n v="44"/>
    <x v="0"/>
    <x v="0"/>
    <n v="3.8"/>
    <n v="2"/>
    <x v="1"/>
    <x v="0"/>
    <n v="8.6"/>
    <n v="4"/>
    <n v="7.1"/>
    <x v="0"/>
    <n v="8"/>
    <n v="2"/>
    <n v="1"/>
    <n v="0"/>
    <n v="0"/>
    <n v="1"/>
    <n v="0"/>
    <x v="2"/>
    <x v="1"/>
    <x v="2"/>
  </r>
  <r>
    <n v="1466"/>
    <n v="25"/>
    <x v="1"/>
    <x v="1"/>
    <n v="10.9"/>
    <n v="5.4"/>
    <x v="1"/>
    <x v="0"/>
    <n v="8"/>
    <n v="7"/>
    <n v="10.1"/>
    <x v="2"/>
    <n v="2"/>
    <n v="3"/>
    <n v="1"/>
    <n v="0"/>
    <n v="1"/>
    <n v="1"/>
    <n v="0"/>
    <x v="2"/>
    <x v="1"/>
    <x v="0"/>
  </r>
  <r>
    <n v="1467"/>
    <n v="58"/>
    <x v="1"/>
    <x v="2"/>
    <n v="6.6"/>
    <n v="2.5"/>
    <x v="1"/>
    <x v="0"/>
    <n v="3.7"/>
    <n v="3"/>
    <n v="9.5"/>
    <x v="1"/>
    <n v="2"/>
    <n v="0"/>
    <n v="1"/>
    <n v="1"/>
    <n v="1"/>
    <n v="0"/>
    <n v="1"/>
    <x v="1"/>
    <x v="2"/>
    <x v="1"/>
  </r>
  <r>
    <n v="1468"/>
    <n v="49"/>
    <x v="0"/>
    <x v="2"/>
    <n v="9.1"/>
    <n v="4.5"/>
    <x v="1"/>
    <x v="0"/>
    <n v="3.6"/>
    <n v="5"/>
    <n v="11.1"/>
    <x v="1"/>
    <n v="9"/>
    <n v="3"/>
    <n v="0"/>
    <n v="0"/>
    <n v="1"/>
    <n v="1"/>
    <n v="0"/>
    <x v="1"/>
    <x v="1"/>
    <x v="0"/>
  </r>
  <r>
    <n v="1469"/>
    <n v="41"/>
    <x v="0"/>
    <x v="0"/>
    <n v="11.8"/>
    <n v="4.8"/>
    <x v="2"/>
    <x v="1"/>
    <n v="5.6"/>
    <n v="1"/>
    <n v="10.3"/>
    <x v="0"/>
    <n v="1"/>
    <n v="2"/>
    <n v="1"/>
    <n v="0"/>
    <n v="0"/>
    <n v="0"/>
    <n v="1"/>
    <x v="0"/>
    <x v="2"/>
    <x v="0"/>
  </r>
  <r>
    <n v="1470"/>
    <n v="56"/>
    <x v="1"/>
    <x v="1"/>
    <n v="2.5"/>
    <n v="3"/>
    <x v="1"/>
    <x v="0"/>
    <n v="3.6"/>
    <n v="10"/>
    <n v="4.5"/>
    <x v="0"/>
    <n v="6"/>
    <n v="2"/>
    <n v="0"/>
    <n v="0"/>
    <n v="0"/>
    <n v="0"/>
    <n v="1"/>
    <x v="1"/>
    <x v="0"/>
    <x v="2"/>
  </r>
  <r>
    <n v="1471"/>
    <n v="18"/>
    <x v="0"/>
    <x v="2"/>
    <n v="3"/>
    <n v="7.6"/>
    <x v="1"/>
    <x v="0"/>
    <n v="6.7"/>
    <n v="3"/>
    <n v="5.3"/>
    <x v="0"/>
    <n v="3"/>
    <n v="4"/>
    <n v="1"/>
    <n v="1"/>
    <n v="0"/>
    <n v="0"/>
    <n v="0"/>
    <x v="0"/>
    <x v="2"/>
    <x v="2"/>
  </r>
  <r>
    <n v="1472"/>
    <n v="21"/>
    <x v="0"/>
    <x v="2"/>
    <n v="9.1999999999999993"/>
    <n v="6.9"/>
    <x v="1"/>
    <x v="0"/>
    <n v="3.9"/>
    <n v="8"/>
    <n v="7"/>
    <x v="1"/>
    <n v="5"/>
    <n v="2"/>
    <n v="0"/>
    <n v="0"/>
    <n v="1"/>
    <n v="1"/>
    <n v="1"/>
    <x v="1"/>
    <x v="0"/>
    <x v="0"/>
  </r>
  <r>
    <n v="1473"/>
    <n v="20"/>
    <x v="0"/>
    <x v="1"/>
    <n v="4.8"/>
    <n v="6.1"/>
    <x v="2"/>
    <x v="1"/>
    <n v="6.1"/>
    <n v="9"/>
    <n v="2.1"/>
    <x v="0"/>
    <n v="8"/>
    <n v="1"/>
    <n v="0"/>
    <n v="1"/>
    <n v="1"/>
    <n v="1"/>
    <n v="1"/>
    <x v="0"/>
    <x v="0"/>
    <x v="1"/>
  </r>
  <r>
    <n v="1474"/>
    <n v="20"/>
    <x v="1"/>
    <x v="1"/>
    <n v="3.8"/>
    <n v="1.5"/>
    <x v="2"/>
    <x v="1"/>
    <n v="3"/>
    <n v="9"/>
    <n v="11"/>
    <x v="1"/>
    <n v="7"/>
    <n v="4"/>
    <n v="0"/>
    <n v="1"/>
    <n v="0"/>
    <n v="1"/>
    <n v="1"/>
    <x v="1"/>
    <x v="0"/>
    <x v="2"/>
  </r>
  <r>
    <n v="1475"/>
    <n v="38"/>
    <x v="0"/>
    <x v="2"/>
    <n v="2.4"/>
    <n v="1.7"/>
    <x v="2"/>
    <x v="1"/>
    <n v="4.9000000000000004"/>
    <n v="10"/>
    <n v="2.4"/>
    <x v="2"/>
    <n v="4"/>
    <n v="3"/>
    <n v="1"/>
    <n v="0"/>
    <n v="1"/>
    <n v="0"/>
    <n v="1"/>
    <x v="1"/>
    <x v="0"/>
    <x v="2"/>
  </r>
  <r>
    <n v="1476"/>
    <n v="24"/>
    <x v="0"/>
    <x v="2"/>
    <n v="2.2000000000000002"/>
    <n v="4.4000000000000004"/>
    <x v="2"/>
    <x v="1"/>
    <n v="7.1"/>
    <n v="2"/>
    <n v="5.2"/>
    <x v="1"/>
    <n v="8"/>
    <n v="2"/>
    <n v="0"/>
    <n v="1"/>
    <n v="0"/>
    <n v="0"/>
    <n v="1"/>
    <x v="2"/>
    <x v="2"/>
    <x v="2"/>
  </r>
  <r>
    <n v="1477"/>
    <n v="50"/>
    <x v="1"/>
    <x v="0"/>
    <n v="9.6999999999999993"/>
    <n v="2.1"/>
    <x v="1"/>
    <x v="0"/>
    <n v="5.9"/>
    <n v="4"/>
    <n v="7.7"/>
    <x v="0"/>
    <n v="10"/>
    <n v="1"/>
    <n v="0"/>
    <n v="0"/>
    <n v="0"/>
    <n v="1"/>
    <n v="0"/>
    <x v="0"/>
    <x v="1"/>
    <x v="0"/>
  </r>
  <r>
    <n v="1478"/>
    <n v="35"/>
    <x v="0"/>
    <x v="0"/>
    <n v="3.3"/>
    <n v="7.8"/>
    <x v="2"/>
    <x v="1"/>
    <n v="8.9"/>
    <n v="5"/>
    <n v="7.2"/>
    <x v="1"/>
    <n v="2"/>
    <n v="4"/>
    <n v="1"/>
    <n v="0"/>
    <n v="0"/>
    <n v="1"/>
    <n v="1"/>
    <x v="2"/>
    <x v="1"/>
    <x v="2"/>
  </r>
  <r>
    <n v="1479"/>
    <n v="57"/>
    <x v="0"/>
    <x v="2"/>
    <n v="6.7"/>
    <n v="2.1"/>
    <x v="1"/>
    <x v="0"/>
    <n v="8.1999999999999993"/>
    <n v="3"/>
    <n v="8.5"/>
    <x v="0"/>
    <n v="7"/>
    <n v="1"/>
    <n v="1"/>
    <n v="0"/>
    <n v="0"/>
    <n v="0"/>
    <n v="0"/>
    <x v="2"/>
    <x v="2"/>
    <x v="1"/>
  </r>
  <r>
    <n v="1480"/>
    <n v="50"/>
    <x v="1"/>
    <x v="0"/>
    <n v="8.1"/>
    <n v="4.4000000000000004"/>
    <x v="2"/>
    <x v="1"/>
    <n v="5.2"/>
    <n v="1"/>
    <n v="7.3"/>
    <x v="2"/>
    <n v="5"/>
    <n v="4"/>
    <n v="1"/>
    <n v="0"/>
    <n v="1"/>
    <n v="0"/>
    <n v="0"/>
    <x v="0"/>
    <x v="2"/>
    <x v="0"/>
  </r>
  <r>
    <n v="1481"/>
    <n v="33"/>
    <x v="1"/>
    <x v="2"/>
    <n v="6.3"/>
    <n v="3.5"/>
    <x v="1"/>
    <x v="0"/>
    <n v="3.3"/>
    <n v="6"/>
    <n v="4.3"/>
    <x v="0"/>
    <n v="6"/>
    <n v="4"/>
    <n v="1"/>
    <n v="0"/>
    <n v="0"/>
    <n v="1"/>
    <n v="1"/>
    <x v="1"/>
    <x v="1"/>
    <x v="1"/>
  </r>
  <r>
    <n v="1482"/>
    <n v="32"/>
    <x v="1"/>
    <x v="2"/>
    <n v="2.2999999999999998"/>
    <n v="5.5"/>
    <x v="1"/>
    <x v="0"/>
    <n v="8.1"/>
    <n v="10"/>
    <n v="4"/>
    <x v="0"/>
    <n v="3"/>
    <n v="4"/>
    <n v="1"/>
    <n v="1"/>
    <n v="0"/>
    <n v="1"/>
    <n v="1"/>
    <x v="2"/>
    <x v="0"/>
    <x v="2"/>
  </r>
  <r>
    <n v="1483"/>
    <n v="39"/>
    <x v="1"/>
    <x v="0"/>
    <n v="9.8000000000000007"/>
    <n v="1.9"/>
    <x v="1"/>
    <x v="0"/>
    <n v="8.5"/>
    <n v="2"/>
    <n v="11.1"/>
    <x v="0"/>
    <n v="10"/>
    <n v="3"/>
    <n v="1"/>
    <n v="1"/>
    <n v="1"/>
    <n v="1"/>
    <n v="0"/>
    <x v="2"/>
    <x v="2"/>
    <x v="0"/>
  </r>
  <r>
    <n v="1484"/>
    <n v="18"/>
    <x v="0"/>
    <x v="0"/>
    <n v="2.1"/>
    <n v="4"/>
    <x v="1"/>
    <x v="0"/>
    <n v="7.9"/>
    <n v="9"/>
    <n v="4.5999999999999996"/>
    <x v="0"/>
    <n v="7"/>
    <n v="4"/>
    <n v="0"/>
    <n v="0"/>
    <n v="0"/>
    <n v="0"/>
    <n v="1"/>
    <x v="2"/>
    <x v="0"/>
    <x v="2"/>
  </r>
  <r>
    <n v="1485"/>
    <n v="47"/>
    <x v="0"/>
    <x v="1"/>
    <n v="9.6"/>
    <n v="2.9"/>
    <x v="1"/>
    <x v="0"/>
    <n v="3.8"/>
    <n v="1"/>
    <n v="4.8"/>
    <x v="0"/>
    <n v="7"/>
    <n v="4"/>
    <n v="0"/>
    <n v="1"/>
    <n v="1"/>
    <n v="0"/>
    <n v="1"/>
    <x v="1"/>
    <x v="2"/>
    <x v="0"/>
  </r>
  <r>
    <n v="1486"/>
    <n v="50"/>
    <x v="1"/>
    <x v="1"/>
    <n v="10.9"/>
    <n v="7.2"/>
    <x v="2"/>
    <x v="1"/>
    <n v="9"/>
    <n v="9"/>
    <n v="6.1"/>
    <x v="0"/>
    <n v="2"/>
    <n v="1"/>
    <n v="1"/>
    <n v="1"/>
    <n v="1"/>
    <n v="1"/>
    <n v="0"/>
    <x v="2"/>
    <x v="0"/>
    <x v="0"/>
  </r>
  <r>
    <n v="1487"/>
    <n v="53"/>
    <x v="1"/>
    <x v="1"/>
    <n v="6.3"/>
    <n v="1.3"/>
    <x v="1"/>
    <x v="0"/>
    <n v="4.5999999999999996"/>
    <n v="7"/>
    <n v="3.4"/>
    <x v="2"/>
    <n v="1"/>
    <n v="4"/>
    <n v="1"/>
    <n v="1"/>
    <n v="0"/>
    <n v="1"/>
    <n v="0"/>
    <x v="1"/>
    <x v="1"/>
    <x v="1"/>
  </r>
  <r>
    <n v="1488"/>
    <n v="28"/>
    <x v="0"/>
    <x v="2"/>
    <n v="7.4"/>
    <n v="7.4"/>
    <x v="1"/>
    <x v="0"/>
    <n v="7.3"/>
    <n v="10"/>
    <n v="7.1"/>
    <x v="2"/>
    <n v="10"/>
    <n v="3"/>
    <n v="0"/>
    <n v="1"/>
    <n v="1"/>
    <n v="1"/>
    <n v="1"/>
    <x v="2"/>
    <x v="0"/>
    <x v="1"/>
  </r>
  <r>
    <n v="1489"/>
    <n v="40"/>
    <x v="1"/>
    <x v="0"/>
    <n v="6.8"/>
    <n v="6.8"/>
    <x v="1"/>
    <x v="0"/>
    <n v="8.4"/>
    <n v="2"/>
    <n v="8.6999999999999993"/>
    <x v="1"/>
    <n v="2"/>
    <n v="1"/>
    <n v="0"/>
    <n v="0"/>
    <n v="1"/>
    <n v="0"/>
    <n v="0"/>
    <x v="2"/>
    <x v="2"/>
    <x v="1"/>
  </r>
  <r>
    <n v="1490"/>
    <n v="24"/>
    <x v="0"/>
    <x v="2"/>
    <n v="5.9"/>
    <n v="3.1"/>
    <x v="1"/>
    <x v="0"/>
    <n v="4.4000000000000004"/>
    <n v="6"/>
    <n v="9.9"/>
    <x v="0"/>
    <n v="8"/>
    <n v="4"/>
    <n v="0"/>
    <n v="0"/>
    <n v="1"/>
    <n v="0"/>
    <n v="1"/>
    <x v="1"/>
    <x v="1"/>
    <x v="1"/>
  </r>
  <r>
    <n v="1491"/>
    <n v="19"/>
    <x v="1"/>
    <x v="0"/>
    <n v="10.9"/>
    <n v="6.5"/>
    <x v="2"/>
    <x v="1"/>
    <n v="8.4"/>
    <n v="8"/>
    <n v="9.1"/>
    <x v="1"/>
    <n v="10"/>
    <n v="1"/>
    <n v="1"/>
    <n v="0"/>
    <n v="1"/>
    <n v="1"/>
    <n v="1"/>
    <x v="2"/>
    <x v="0"/>
    <x v="0"/>
  </r>
  <r>
    <n v="1492"/>
    <n v="29"/>
    <x v="0"/>
    <x v="2"/>
    <n v="10.9"/>
    <n v="1.2"/>
    <x v="2"/>
    <x v="1"/>
    <n v="4.9000000000000004"/>
    <n v="2"/>
    <n v="3.5"/>
    <x v="2"/>
    <n v="3"/>
    <n v="3"/>
    <n v="0"/>
    <n v="1"/>
    <n v="1"/>
    <n v="0"/>
    <n v="0"/>
    <x v="1"/>
    <x v="2"/>
    <x v="0"/>
  </r>
  <r>
    <n v="1493"/>
    <n v="52"/>
    <x v="1"/>
    <x v="1"/>
    <n v="5.4"/>
    <n v="7.8"/>
    <x v="1"/>
    <x v="0"/>
    <n v="8.9"/>
    <n v="5"/>
    <n v="6.6"/>
    <x v="2"/>
    <n v="4"/>
    <n v="1"/>
    <n v="0"/>
    <n v="1"/>
    <n v="1"/>
    <n v="0"/>
    <n v="0"/>
    <x v="2"/>
    <x v="1"/>
    <x v="1"/>
  </r>
  <r>
    <n v="1494"/>
    <n v="49"/>
    <x v="1"/>
    <x v="1"/>
    <n v="8.1999999999999993"/>
    <n v="4.7"/>
    <x v="1"/>
    <x v="0"/>
    <n v="4.7"/>
    <n v="6"/>
    <n v="2.4"/>
    <x v="0"/>
    <n v="8"/>
    <n v="3"/>
    <n v="1"/>
    <n v="0"/>
    <n v="1"/>
    <n v="1"/>
    <n v="1"/>
    <x v="1"/>
    <x v="1"/>
    <x v="0"/>
  </r>
  <r>
    <n v="1495"/>
    <n v="26"/>
    <x v="0"/>
    <x v="1"/>
    <n v="11.3"/>
    <n v="3.1"/>
    <x v="1"/>
    <x v="0"/>
    <n v="8.6999999999999993"/>
    <n v="3"/>
    <n v="2.2000000000000002"/>
    <x v="0"/>
    <n v="3"/>
    <n v="2"/>
    <n v="1"/>
    <n v="0"/>
    <n v="0"/>
    <n v="1"/>
    <n v="0"/>
    <x v="2"/>
    <x v="2"/>
    <x v="0"/>
  </r>
  <r>
    <n v="1496"/>
    <n v="56"/>
    <x v="1"/>
    <x v="2"/>
    <n v="11.6"/>
    <n v="3.5"/>
    <x v="1"/>
    <x v="0"/>
    <n v="3.3"/>
    <n v="2"/>
    <n v="6.4"/>
    <x v="1"/>
    <n v="6"/>
    <n v="4"/>
    <n v="1"/>
    <n v="1"/>
    <n v="0"/>
    <n v="1"/>
    <n v="1"/>
    <x v="1"/>
    <x v="2"/>
    <x v="0"/>
  </r>
  <r>
    <n v="1497"/>
    <n v="18"/>
    <x v="0"/>
    <x v="0"/>
    <n v="7.1"/>
    <n v="1.5"/>
    <x v="2"/>
    <x v="1"/>
    <n v="7.3"/>
    <n v="6"/>
    <n v="4.5"/>
    <x v="2"/>
    <n v="2"/>
    <n v="3"/>
    <n v="0"/>
    <n v="0"/>
    <n v="1"/>
    <n v="1"/>
    <n v="1"/>
    <x v="2"/>
    <x v="1"/>
    <x v="1"/>
  </r>
  <r>
    <n v="1498"/>
    <n v="43"/>
    <x v="0"/>
    <x v="0"/>
    <n v="6.5"/>
    <n v="7.9"/>
    <x v="2"/>
    <x v="1"/>
    <n v="6.2"/>
    <n v="3"/>
    <n v="8.8000000000000007"/>
    <x v="1"/>
    <n v="3"/>
    <n v="4"/>
    <n v="1"/>
    <n v="1"/>
    <n v="1"/>
    <n v="0"/>
    <n v="1"/>
    <x v="0"/>
    <x v="2"/>
    <x v="1"/>
  </r>
  <r>
    <n v="1499"/>
    <n v="44"/>
    <x v="0"/>
    <x v="1"/>
    <n v="4.8"/>
    <n v="1.3"/>
    <x v="1"/>
    <x v="0"/>
    <n v="5.9"/>
    <n v="2"/>
    <n v="9.1999999999999993"/>
    <x v="1"/>
    <n v="1"/>
    <n v="3"/>
    <n v="0"/>
    <n v="0"/>
    <n v="1"/>
    <n v="0"/>
    <n v="1"/>
    <x v="0"/>
    <x v="2"/>
    <x v="1"/>
  </r>
  <r>
    <n v="1500"/>
    <n v="24"/>
    <x v="0"/>
    <x v="1"/>
    <n v="11.6"/>
    <n v="5.6"/>
    <x v="1"/>
    <x v="0"/>
    <n v="4.3"/>
    <n v="1"/>
    <n v="11"/>
    <x v="1"/>
    <n v="9"/>
    <n v="0"/>
    <n v="0"/>
    <n v="0"/>
    <n v="0"/>
    <n v="1"/>
    <n v="0"/>
    <x v="1"/>
    <x v="2"/>
    <x v="0"/>
  </r>
  <r>
    <n v="1501"/>
    <n v="18"/>
    <x v="0"/>
    <x v="1"/>
    <n v="3.4"/>
    <n v="4.0999999999999996"/>
    <x v="1"/>
    <x v="0"/>
    <n v="7.2"/>
    <n v="8"/>
    <n v="9.6"/>
    <x v="0"/>
    <n v="4"/>
    <n v="0"/>
    <n v="1"/>
    <n v="1"/>
    <n v="0"/>
    <n v="0"/>
    <n v="1"/>
    <x v="2"/>
    <x v="0"/>
    <x v="2"/>
  </r>
  <r>
    <n v="1502"/>
    <n v="40"/>
    <x v="1"/>
    <x v="1"/>
    <n v="7.8"/>
    <n v="7.6"/>
    <x v="1"/>
    <x v="0"/>
    <n v="4.0999999999999996"/>
    <n v="1"/>
    <n v="2.5"/>
    <x v="2"/>
    <n v="6"/>
    <n v="0"/>
    <n v="0"/>
    <n v="0"/>
    <n v="0"/>
    <n v="0"/>
    <n v="0"/>
    <x v="1"/>
    <x v="2"/>
    <x v="1"/>
  </r>
  <r>
    <n v="1503"/>
    <n v="49"/>
    <x v="1"/>
    <x v="0"/>
    <n v="4.8"/>
    <n v="2.7"/>
    <x v="1"/>
    <x v="0"/>
    <n v="6.3"/>
    <n v="5"/>
    <n v="5.7"/>
    <x v="1"/>
    <n v="7"/>
    <n v="3"/>
    <n v="1"/>
    <n v="0"/>
    <n v="1"/>
    <n v="0"/>
    <n v="1"/>
    <x v="0"/>
    <x v="1"/>
    <x v="1"/>
  </r>
  <r>
    <n v="1504"/>
    <n v="27"/>
    <x v="0"/>
    <x v="2"/>
    <n v="4.8"/>
    <n v="4.7"/>
    <x v="2"/>
    <x v="1"/>
    <n v="4.5"/>
    <n v="6"/>
    <n v="4.7"/>
    <x v="2"/>
    <n v="2"/>
    <n v="4"/>
    <n v="1"/>
    <n v="0"/>
    <n v="0"/>
    <n v="0"/>
    <n v="0"/>
    <x v="1"/>
    <x v="1"/>
    <x v="1"/>
  </r>
  <r>
    <n v="1505"/>
    <n v="57"/>
    <x v="1"/>
    <x v="2"/>
    <n v="6"/>
    <n v="4.4000000000000004"/>
    <x v="2"/>
    <x v="1"/>
    <n v="8.6999999999999993"/>
    <n v="3"/>
    <n v="5.9"/>
    <x v="2"/>
    <n v="8"/>
    <n v="0"/>
    <n v="1"/>
    <n v="0"/>
    <n v="0"/>
    <n v="0"/>
    <n v="0"/>
    <x v="2"/>
    <x v="2"/>
    <x v="1"/>
  </r>
  <r>
    <n v="1506"/>
    <n v="24"/>
    <x v="0"/>
    <x v="2"/>
    <n v="12"/>
    <n v="5.9"/>
    <x v="1"/>
    <x v="0"/>
    <n v="3.2"/>
    <n v="7"/>
    <n v="3.6"/>
    <x v="1"/>
    <n v="9"/>
    <n v="4"/>
    <n v="1"/>
    <n v="0"/>
    <n v="0"/>
    <n v="1"/>
    <n v="0"/>
    <x v="1"/>
    <x v="1"/>
    <x v="0"/>
  </r>
  <r>
    <n v="1507"/>
    <n v="30"/>
    <x v="1"/>
    <x v="2"/>
    <n v="2.5"/>
    <n v="1.5"/>
    <x v="2"/>
    <x v="1"/>
    <n v="4.2"/>
    <n v="2"/>
    <n v="3"/>
    <x v="1"/>
    <n v="10"/>
    <n v="3"/>
    <n v="0"/>
    <n v="0"/>
    <n v="0"/>
    <n v="0"/>
    <n v="0"/>
    <x v="1"/>
    <x v="2"/>
    <x v="2"/>
  </r>
  <r>
    <n v="1508"/>
    <n v="55"/>
    <x v="1"/>
    <x v="1"/>
    <n v="7.8"/>
    <n v="2.4"/>
    <x v="2"/>
    <x v="1"/>
    <n v="4.5"/>
    <n v="7"/>
    <n v="7.2"/>
    <x v="0"/>
    <n v="2"/>
    <n v="4"/>
    <n v="1"/>
    <n v="1"/>
    <n v="1"/>
    <n v="1"/>
    <n v="0"/>
    <x v="1"/>
    <x v="1"/>
    <x v="1"/>
  </r>
  <r>
    <n v="1509"/>
    <n v="40"/>
    <x v="1"/>
    <x v="1"/>
    <n v="2.8"/>
    <n v="2.5"/>
    <x v="2"/>
    <x v="1"/>
    <n v="5.5"/>
    <n v="2"/>
    <n v="9.1999999999999993"/>
    <x v="2"/>
    <n v="5"/>
    <n v="4"/>
    <n v="0"/>
    <n v="1"/>
    <n v="0"/>
    <n v="0"/>
    <n v="0"/>
    <x v="0"/>
    <x v="2"/>
    <x v="2"/>
  </r>
  <r>
    <n v="1510"/>
    <n v="20"/>
    <x v="1"/>
    <x v="1"/>
    <n v="3.5"/>
    <n v="6.2"/>
    <x v="1"/>
    <x v="0"/>
    <n v="4.4000000000000004"/>
    <n v="5"/>
    <n v="9"/>
    <x v="1"/>
    <n v="2"/>
    <n v="0"/>
    <n v="0"/>
    <n v="1"/>
    <n v="0"/>
    <n v="1"/>
    <n v="1"/>
    <x v="1"/>
    <x v="1"/>
    <x v="2"/>
  </r>
  <r>
    <n v="1511"/>
    <n v="26"/>
    <x v="0"/>
    <x v="2"/>
    <n v="6.4"/>
    <n v="2.2999999999999998"/>
    <x v="2"/>
    <x v="1"/>
    <n v="5.9"/>
    <n v="7"/>
    <n v="6.5"/>
    <x v="1"/>
    <n v="5"/>
    <n v="1"/>
    <n v="1"/>
    <n v="1"/>
    <n v="1"/>
    <n v="1"/>
    <n v="1"/>
    <x v="0"/>
    <x v="1"/>
    <x v="1"/>
  </r>
  <r>
    <n v="1512"/>
    <n v="49"/>
    <x v="0"/>
    <x v="1"/>
    <n v="7.1"/>
    <n v="5"/>
    <x v="2"/>
    <x v="1"/>
    <n v="8.1999999999999993"/>
    <n v="3"/>
    <n v="7.2"/>
    <x v="2"/>
    <n v="7"/>
    <n v="2"/>
    <n v="0"/>
    <n v="1"/>
    <n v="1"/>
    <n v="1"/>
    <n v="1"/>
    <x v="2"/>
    <x v="2"/>
    <x v="1"/>
  </r>
  <r>
    <n v="1513"/>
    <n v="39"/>
    <x v="1"/>
    <x v="1"/>
    <n v="4.5999999999999996"/>
    <n v="2.5"/>
    <x v="1"/>
    <x v="0"/>
    <n v="7.3"/>
    <n v="4"/>
    <n v="7.2"/>
    <x v="1"/>
    <n v="6"/>
    <n v="3"/>
    <n v="1"/>
    <n v="0"/>
    <n v="0"/>
    <n v="1"/>
    <n v="1"/>
    <x v="2"/>
    <x v="1"/>
    <x v="1"/>
  </r>
  <r>
    <n v="1514"/>
    <n v="30"/>
    <x v="1"/>
    <x v="0"/>
    <n v="5.2"/>
    <n v="7"/>
    <x v="2"/>
    <x v="1"/>
    <n v="6.5"/>
    <n v="1"/>
    <n v="8.9"/>
    <x v="2"/>
    <n v="4"/>
    <n v="3"/>
    <n v="1"/>
    <n v="0"/>
    <n v="1"/>
    <n v="1"/>
    <n v="1"/>
    <x v="0"/>
    <x v="2"/>
    <x v="1"/>
  </r>
  <r>
    <n v="1515"/>
    <n v="53"/>
    <x v="0"/>
    <x v="0"/>
    <n v="2.9"/>
    <n v="7.6"/>
    <x v="1"/>
    <x v="0"/>
    <n v="3.5"/>
    <n v="3"/>
    <n v="2.5"/>
    <x v="1"/>
    <n v="2"/>
    <n v="3"/>
    <n v="1"/>
    <n v="1"/>
    <n v="1"/>
    <n v="0"/>
    <n v="1"/>
    <x v="1"/>
    <x v="2"/>
    <x v="2"/>
  </r>
  <r>
    <n v="1516"/>
    <n v="23"/>
    <x v="1"/>
    <x v="1"/>
    <n v="5"/>
    <n v="4.5999999999999996"/>
    <x v="2"/>
    <x v="1"/>
    <n v="7.2"/>
    <n v="9"/>
    <n v="9.1"/>
    <x v="2"/>
    <n v="7"/>
    <n v="2"/>
    <n v="0"/>
    <n v="0"/>
    <n v="0"/>
    <n v="1"/>
    <n v="1"/>
    <x v="2"/>
    <x v="0"/>
    <x v="1"/>
  </r>
  <r>
    <n v="1517"/>
    <n v="20"/>
    <x v="0"/>
    <x v="0"/>
    <n v="11.7"/>
    <n v="3.5"/>
    <x v="1"/>
    <x v="0"/>
    <n v="4"/>
    <n v="10"/>
    <n v="7.8"/>
    <x v="1"/>
    <n v="10"/>
    <n v="1"/>
    <n v="1"/>
    <n v="0"/>
    <n v="1"/>
    <n v="0"/>
    <n v="1"/>
    <x v="1"/>
    <x v="0"/>
    <x v="0"/>
  </r>
  <r>
    <n v="1518"/>
    <n v="41"/>
    <x v="0"/>
    <x v="0"/>
    <n v="11.4"/>
    <n v="2.6"/>
    <x v="1"/>
    <x v="0"/>
    <n v="7.7"/>
    <n v="5"/>
    <n v="4"/>
    <x v="1"/>
    <n v="9"/>
    <n v="4"/>
    <n v="1"/>
    <n v="0"/>
    <n v="0"/>
    <n v="1"/>
    <n v="0"/>
    <x v="2"/>
    <x v="1"/>
    <x v="0"/>
  </r>
  <r>
    <n v="1519"/>
    <n v="33"/>
    <x v="0"/>
    <x v="1"/>
    <n v="5.3"/>
    <n v="1.3"/>
    <x v="2"/>
    <x v="1"/>
    <n v="4.5"/>
    <n v="8"/>
    <n v="2.5"/>
    <x v="0"/>
    <n v="1"/>
    <n v="3"/>
    <n v="0"/>
    <n v="0"/>
    <n v="0"/>
    <n v="1"/>
    <n v="1"/>
    <x v="1"/>
    <x v="0"/>
    <x v="1"/>
  </r>
  <r>
    <n v="1520"/>
    <n v="21"/>
    <x v="1"/>
    <x v="1"/>
    <n v="7.7"/>
    <n v="2.9"/>
    <x v="2"/>
    <x v="1"/>
    <n v="5.5"/>
    <n v="2"/>
    <n v="3.1"/>
    <x v="2"/>
    <n v="3"/>
    <n v="4"/>
    <n v="1"/>
    <n v="0"/>
    <n v="0"/>
    <n v="1"/>
    <n v="0"/>
    <x v="0"/>
    <x v="2"/>
    <x v="1"/>
  </r>
  <r>
    <n v="1521"/>
    <n v="52"/>
    <x v="0"/>
    <x v="1"/>
    <n v="11.1"/>
    <n v="5.6"/>
    <x v="1"/>
    <x v="0"/>
    <n v="5.0999999999999996"/>
    <n v="3"/>
    <n v="7.2"/>
    <x v="0"/>
    <n v="7"/>
    <n v="0"/>
    <n v="1"/>
    <n v="1"/>
    <n v="0"/>
    <n v="1"/>
    <n v="0"/>
    <x v="0"/>
    <x v="2"/>
    <x v="0"/>
  </r>
  <r>
    <n v="1522"/>
    <n v="28"/>
    <x v="1"/>
    <x v="1"/>
    <n v="2.1"/>
    <n v="4.7"/>
    <x v="1"/>
    <x v="0"/>
    <n v="8.1999999999999993"/>
    <n v="7"/>
    <n v="9.6"/>
    <x v="1"/>
    <n v="9"/>
    <n v="0"/>
    <n v="1"/>
    <n v="1"/>
    <n v="0"/>
    <n v="1"/>
    <n v="1"/>
    <x v="2"/>
    <x v="1"/>
    <x v="2"/>
  </r>
  <r>
    <n v="1523"/>
    <n v="43"/>
    <x v="0"/>
    <x v="2"/>
    <n v="10.1"/>
    <n v="7.6"/>
    <x v="2"/>
    <x v="1"/>
    <n v="3.8"/>
    <n v="10"/>
    <n v="5.3"/>
    <x v="2"/>
    <n v="5"/>
    <n v="0"/>
    <n v="1"/>
    <n v="0"/>
    <n v="1"/>
    <n v="1"/>
    <n v="0"/>
    <x v="1"/>
    <x v="0"/>
    <x v="0"/>
  </r>
  <r>
    <n v="1524"/>
    <n v="20"/>
    <x v="1"/>
    <x v="2"/>
    <n v="11.5"/>
    <n v="3.8"/>
    <x v="2"/>
    <x v="1"/>
    <n v="6.4"/>
    <n v="4"/>
    <n v="5.8"/>
    <x v="2"/>
    <n v="7"/>
    <n v="3"/>
    <n v="1"/>
    <n v="1"/>
    <n v="1"/>
    <n v="1"/>
    <n v="1"/>
    <x v="0"/>
    <x v="1"/>
    <x v="0"/>
  </r>
  <r>
    <n v="1525"/>
    <n v="28"/>
    <x v="1"/>
    <x v="1"/>
    <n v="2.9"/>
    <n v="5.9"/>
    <x v="2"/>
    <x v="1"/>
    <n v="3.9"/>
    <n v="9"/>
    <n v="11.3"/>
    <x v="1"/>
    <n v="10"/>
    <n v="2"/>
    <n v="1"/>
    <n v="1"/>
    <n v="1"/>
    <n v="0"/>
    <n v="1"/>
    <x v="1"/>
    <x v="0"/>
    <x v="2"/>
  </r>
  <r>
    <n v="1526"/>
    <n v="32"/>
    <x v="1"/>
    <x v="0"/>
    <n v="3.6"/>
    <n v="4.4000000000000004"/>
    <x v="2"/>
    <x v="1"/>
    <n v="7.2"/>
    <n v="7"/>
    <n v="4.0999999999999996"/>
    <x v="1"/>
    <n v="7"/>
    <n v="3"/>
    <n v="0"/>
    <n v="1"/>
    <n v="1"/>
    <n v="1"/>
    <n v="1"/>
    <x v="2"/>
    <x v="1"/>
    <x v="2"/>
  </r>
  <r>
    <n v="1527"/>
    <n v="55"/>
    <x v="0"/>
    <x v="1"/>
    <n v="11.6"/>
    <n v="4.5999999999999996"/>
    <x v="1"/>
    <x v="0"/>
    <n v="8.4"/>
    <n v="1"/>
    <n v="3"/>
    <x v="1"/>
    <n v="4"/>
    <n v="0"/>
    <n v="1"/>
    <n v="1"/>
    <n v="1"/>
    <n v="0"/>
    <n v="0"/>
    <x v="2"/>
    <x v="2"/>
    <x v="0"/>
  </r>
  <r>
    <n v="1528"/>
    <n v="47"/>
    <x v="0"/>
    <x v="1"/>
    <n v="7.4"/>
    <n v="2.9"/>
    <x v="1"/>
    <x v="0"/>
    <n v="5.6"/>
    <n v="4"/>
    <n v="5.4"/>
    <x v="1"/>
    <n v="5"/>
    <n v="0"/>
    <n v="1"/>
    <n v="0"/>
    <n v="0"/>
    <n v="0"/>
    <n v="1"/>
    <x v="0"/>
    <x v="1"/>
    <x v="1"/>
  </r>
  <r>
    <n v="1529"/>
    <n v="44"/>
    <x v="1"/>
    <x v="0"/>
    <n v="2.1"/>
    <n v="4.2"/>
    <x v="1"/>
    <x v="0"/>
    <n v="5.9"/>
    <n v="10"/>
    <n v="9.5"/>
    <x v="2"/>
    <n v="2"/>
    <n v="3"/>
    <n v="1"/>
    <n v="1"/>
    <n v="1"/>
    <n v="0"/>
    <n v="0"/>
    <x v="0"/>
    <x v="0"/>
    <x v="2"/>
  </r>
  <r>
    <n v="1530"/>
    <n v="18"/>
    <x v="1"/>
    <x v="2"/>
    <n v="4.5999999999999996"/>
    <n v="4.3"/>
    <x v="2"/>
    <x v="1"/>
    <n v="8.6"/>
    <n v="6"/>
    <n v="8.3000000000000007"/>
    <x v="0"/>
    <n v="8"/>
    <n v="2"/>
    <n v="1"/>
    <n v="0"/>
    <n v="1"/>
    <n v="0"/>
    <n v="1"/>
    <x v="2"/>
    <x v="1"/>
    <x v="1"/>
  </r>
  <r>
    <n v="1531"/>
    <n v="55"/>
    <x v="1"/>
    <x v="1"/>
    <n v="6.5"/>
    <n v="5.9"/>
    <x v="2"/>
    <x v="1"/>
    <n v="6.1"/>
    <n v="6"/>
    <n v="6.2"/>
    <x v="2"/>
    <n v="1"/>
    <n v="2"/>
    <n v="0"/>
    <n v="1"/>
    <n v="0"/>
    <n v="1"/>
    <n v="0"/>
    <x v="0"/>
    <x v="1"/>
    <x v="1"/>
  </r>
  <r>
    <n v="1532"/>
    <n v="49"/>
    <x v="0"/>
    <x v="1"/>
    <n v="8.9"/>
    <n v="7.6"/>
    <x v="1"/>
    <x v="0"/>
    <n v="5.9"/>
    <n v="10"/>
    <n v="11.6"/>
    <x v="2"/>
    <n v="2"/>
    <n v="4"/>
    <n v="1"/>
    <n v="1"/>
    <n v="1"/>
    <n v="0"/>
    <n v="1"/>
    <x v="0"/>
    <x v="0"/>
    <x v="0"/>
  </r>
  <r>
    <n v="1533"/>
    <n v="55"/>
    <x v="0"/>
    <x v="2"/>
    <n v="9.3000000000000007"/>
    <n v="3.3"/>
    <x v="1"/>
    <x v="0"/>
    <n v="6.5"/>
    <n v="6"/>
    <n v="9.3000000000000007"/>
    <x v="2"/>
    <n v="3"/>
    <n v="1"/>
    <n v="0"/>
    <n v="0"/>
    <n v="1"/>
    <n v="1"/>
    <n v="0"/>
    <x v="0"/>
    <x v="1"/>
    <x v="0"/>
  </r>
  <r>
    <n v="1534"/>
    <n v="42"/>
    <x v="0"/>
    <x v="2"/>
    <n v="12"/>
    <n v="1.3"/>
    <x v="1"/>
    <x v="0"/>
    <n v="7.1"/>
    <n v="5"/>
    <n v="2.6"/>
    <x v="2"/>
    <n v="7"/>
    <n v="0"/>
    <n v="1"/>
    <n v="0"/>
    <n v="0"/>
    <n v="0"/>
    <n v="0"/>
    <x v="2"/>
    <x v="1"/>
    <x v="0"/>
  </r>
  <r>
    <n v="1535"/>
    <n v="28"/>
    <x v="0"/>
    <x v="0"/>
    <n v="4.9000000000000004"/>
    <n v="4.5"/>
    <x v="1"/>
    <x v="0"/>
    <n v="3.6"/>
    <n v="3"/>
    <n v="9.4"/>
    <x v="1"/>
    <n v="6"/>
    <n v="2"/>
    <n v="1"/>
    <n v="1"/>
    <n v="0"/>
    <n v="0"/>
    <n v="0"/>
    <x v="1"/>
    <x v="2"/>
    <x v="1"/>
  </r>
  <r>
    <n v="1536"/>
    <n v="48"/>
    <x v="1"/>
    <x v="2"/>
    <n v="7.4"/>
    <n v="4.8"/>
    <x v="1"/>
    <x v="0"/>
    <n v="7.9"/>
    <n v="2"/>
    <n v="2.2000000000000002"/>
    <x v="0"/>
    <n v="7"/>
    <n v="0"/>
    <n v="0"/>
    <n v="1"/>
    <n v="0"/>
    <n v="0"/>
    <n v="0"/>
    <x v="2"/>
    <x v="2"/>
    <x v="1"/>
  </r>
  <r>
    <n v="1537"/>
    <n v="21"/>
    <x v="1"/>
    <x v="2"/>
    <n v="7.3"/>
    <n v="2.2000000000000002"/>
    <x v="1"/>
    <x v="0"/>
    <n v="5.6"/>
    <n v="3"/>
    <n v="8.5"/>
    <x v="2"/>
    <n v="5"/>
    <n v="1"/>
    <n v="0"/>
    <n v="0"/>
    <n v="0"/>
    <n v="0"/>
    <n v="1"/>
    <x v="0"/>
    <x v="2"/>
    <x v="1"/>
  </r>
  <r>
    <n v="1538"/>
    <n v="39"/>
    <x v="0"/>
    <x v="2"/>
    <n v="6.1"/>
    <n v="6.3"/>
    <x v="2"/>
    <x v="1"/>
    <n v="3.4"/>
    <n v="9"/>
    <n v="4.0999999999999996"/>
    <x v="2"/>
    <n v="4"/>
    <n v="0"/>
    <n v="1"/>
    <n v="1"/>
    <n v="1"/>
    <n v="1"/>
    <n v="1"/>
    <x v="1"/>
    <x v="0"/>
    <x v="1"/>
  </r>
  <r>
    <n v="1539"/>
    <n v="34"/>
    <x v="0"/>
    <x v="0"/>
    <n v="3.7"/>
    <n v="7.9"/>
    <x v="1"/>
    <x v="0"/>
    <n v="7.7"/>
    <n v="3"/>
    <n v="9"/>
    <x v="0"/>
    <n v="7"/>
    <n v="2"/>
    <n v="1"/>
    <n v="0"/>
    <n v="0"/>
    <n v="0"/>
    <n v="0"/>
    <x v="2"/>
    <x v="2"/>
    <x v="2"/>
  </r>
  <r>
    <n v="1540"/>
    <n v="31"/>
    <x v="1"/>
    <x v="2"/>
    <n v="11.8"/>
    <n v="7.6"/>
    <x v="1"/>
    <x v="0"/>
    <n v="5.3"/>
    <n v="3"/>
    <n v="5.0999999999999996"/>
    <x v="1"/>
    <n v="3"/>
    <n v="4"/>
    <n v="1"/>
    <n v="0"/>
    <n v="1"/>
    <n v="0"/>
    <n v="1"/>
    <x v="0"/>
    <x v="2"/>
    <x v="0"/>
  </r>
  <r>
    <n v="1541"/>
    <n v="55"/>
    <x v="0"/>
    <x v="2"/>
    <n v="10.5"/>
    <n v="2.4"/>
    <x v="1"/>
    <x v="0"/>
    <n v="3.6"/>
    <n v="1"/>
    <n v="10.7"/>
    <x v="2"/>
    <n v="10"/>
    <n v="3"/>
    <n v="1"/>
    <n v="0"/>
    <n v="0"/>
    <n v="0"/>
    <n v="0"/>
    <x v="1"/>
    <x v="2"/>
    <x v="0"/>
  </r>
  <r>
    <n v="1542"/>
    <n v="43"/>
    <x v="0"/>
    <x v="0"/>
    <n v="7"/>
    <n v="7.1"/>
    <x v="1"/>
    <x v="0"/>
    <n v="6.8"/>
    <n v="2"/>
    <n v="5.4"/>
    <x v="1"/>
    <n v="7"/>
    <n v="3"/>
    <n v="1"/>
    <n v="1"/>
    <n v="1"/>
    <n v="1"/>
    <n v="1"/>
    <x v="0"/>
    <x v="2"/>
    <x v="1"/>
  </r>
  <r>
    <n v="1543"/>
    <n v="48"/>
    <x v="0"/>
    <x v="2"/>
    <n v="8"/>
    <n v="5.9"/>
    <x v="1"/>
    <x v="0"/>
    <n v="8.3000000000000007"/>
    <n v="3"/>
    <n v="8.1999999999999993"/>
    <x v="2"/>
    <n v="2"/>
    <n v="2"/>
    <n v="1"/>
    <n v="0"/>
    <n v="0"/>
    <n v="0"/>
    <n v="0"/>
    <x v="2"/>
    <x v="2"/>
    <x v="1"/>
  </r>
  <r>
    <n v="1544"/>
    <n v="56"/>
    <x v="0"/>
    <x v="2"/>
    <n v="4.3"/>
    <n v="4.2"/>
    <x v="1"/>
    <x v="0"/>
    <n v="8.3000000000000007"/>
    <n v="2"/>
    <n v="4.9000000000000004"/>
    <x v="2"/>
    <n v="8"/>
    <n v="2"/>
    <n v="0"/>
    <n v="0"/>
    <n v="0"/>
    <n v="0"/>
    <n v="0"/>
    <x v="2"/>
    <x v="2"/>
    <x v="1"/>
  </r>
  <r>
    <n v="1545"/>
    <n v="28"/>
    <x v="0"/>
    <x v="0"/>
    <n v="7.4"/>
    <n v="4.8"/>
    <x v="1"/>
    <x v="0"/>
    <n v="8.6999999999999993"/>
    <n v="8"/>
    <n v="11.2"/>
    <x v="0"/>
    <n v="6"/>
    <n v="1"/>
    <n v="1"/>
    <n v="1"/>
    <n v="0"/>
    <n v="0"/>
    <n v="1"/>
    <x v="2"/>
    <x v="0"/>
    <x v="1"/>
  </r>
  <r>
    <n v="1546"/>
    <n v="58"/>
    <x v="0"/>
    <x v="1"/>
    <n v="8.9"/>
    <n v="6.9"/>
    <x v="2"/>
    <x v="1"/>
    <n v="8.1999999999999993"/>
    <n v="6"/>
    <n v="9.8000000000000007"/>
    <x v="0"/>
    <n v="3"/>
    <n v="0"/>
    <n v="1"/>
    <n v="0"/>
    <n v="0"/>
    <n v="1"/>
    <n v="0"/>
    <x v="2"/>
    <x v="1"/>
    <x v="0"/>
  </r>
  <r>
    <n v="1547"/>
    <n v="40"/>
    <x v="1"/>
    <x v="0"/>
    <n v="7.2"/>
    <n v="4.4000000000000004"/>
    <x v="1"/>
    <x v="0"/>
    <n v="3"/>
    <n v="7"/>
    <n v="4.4000000000000004"/>
    <x v="1"/>
    <n v="3"/>
    <n v="1"/>
    <n v="1"/>
    <n v="1"/>
    <n v="1"/>
    <n v="0"/>
    <n v="1"/>
    <x v="1"/>
    <x v="1"/>
    <x v="1"/>
  </r>
  <r>
    <n v="1548"/>
    <n v="57"/>
    <x v="0"/>
    <x v="2"/>
    <n v="11.9"/>
    <n v="3.6"/>
    <x v="2"/>
    <x v="1"/>
    <n v="5.3"/>
    <n v="1"/>
    <n v="11.5"/>
    <x v="2"/>
    <n v="5"/>
    <n v="3"/>
    <n v="0"/>
    <n v="1"/>
    <n v="1"/>
    <n v="0"/>
    <n v="1"/>
    <x v="0"/>
    <x v="2"/>
    <x v="0"/>
  </r>
  <r>
    <n v="1549"/>
    <n v="51"/>
    <x v="0"/>
    <x v="2"/>
    <n v="8.1"/>
    <n v="4.5"/>
    <x v="2"/>
    <x v="1"/>
    <n v="7.9"/>
    <n v="6"/>
    <n v="5.6"/>
    <x v="1"/>
    <n v="3"/>
    <n v="0"/>
    <n v="0"/>
    <n v="0"/>
    <n v="0"/>
    <n v="0"/>
    <n v="0"/>
    <x v="2"/>
    <x v="1"/>
    <x v="0"/>
  </r>
  <r>
    <n v="1550"/>
    <n v="42"/>
    <x v="1"/>
    <x v="2"/>
    <n v="5.7"/>
    <n v="5.0999999999999996"/>
    <x v="2"/>
    <x v="1"/>
    <n v="5.2"/>
    <n v="2"/>
    <n v="8.5"/>
    <x v="0"/>
    <n v="6"/>
    <n v="1"/>
    <n v="0"/>
    <n v="1"/>
    <n v="1"/>
    <n v="0"/>
    <n v="1"/>
    <x v="0"/>
    <x v="2"/>
    <x v="1"/>
  </r>
  <r>
    <n v="1551"/>
    <n v="53"/>
    <x v="1"/>
    <x v="0"/>
    <n v="9.6999999999999993"/>
    <n v="2.2999999999999998"/>
    <x v="1"/>
    <x v="0"/>
    <n v="6.6"/>
    <n v="6"/>
    <n v="9.4"/>
    <x v="0"/>
    <n v="2"/>
    <n v="3"/>
    <n v="1"/>
    <n v="1"/>
    <n v="1"/>
    <n v="1"/>
    <n v="0"/>
    <x v="0"/>
    <x v="1"/>
    <x v="0"/>
  </r>
  <r>
    <n v="1552"/>
    <n v="22"/>
    <x v="1"/>
    <x v="2"/>
    <n v="3.7"/>
    <n v="7.3"/>
    <x v="1"/>
    <x v="0"/>
    <n v="6.6"/>
    <n v="3"/>
    <n v="2.2000000000000002"/>
    <x v="0"/>
    <n v="8"/>
    <n v="0"/>
    <n v="0"/>
    <n v="1"/>
    <n v="1"/>
    <n v="0"/>
    <n v="0"/>
    <x v="0"/>
    <x v="2"/>
    <x v="2"/>
  </r>
  <r>
    <n v="1553"/>
    <n v="20"/>
    <x v="0"/>
    <x v="2"/>
    <n v="5.8"/>
    <n v="5.7"/>
    <x v="1"/>
    <x v="0"/>
    <n v="5.2"/>
    <n v="7"/>
    <n v="11.6"/>
    <x v="0"/>
    <n v="9"/>
    <n v="4"/>
    <n v="1"/>
    <n v="0"/>
    <n v="0"/>
    <n v="1"/>
    <n v="0"/>
    <x v="0"/>
    <x v="1"/>
    <x v="1"/>
  </r>
  <r>
    <n v="1554"/>
    <n v="58"/>
    <x v="1"/>
    <x v="0"/>
    <n v="5.5"/>
    <n v="5.4"/>
    <x v="1"/>
    <x v="0"/>
    <n v="8.4"/>
    <n v="3"/>
    <n v="5.4"/>
    <x v="0"/>
    <n v="7"/>
    <n v="4"/>
    <n v="1"/>
    <n v="0"/>
    <n v="1"/>
    <n v="0"/>
    <n v="1"/>
    <x v="2"/>
    <x v="2"/>
    <x v="1"/>
  </r>
  <r>
    <n v="1555"/>
    <n v="46"/>
    <x v="0"/>
    <x v="1"/>
    <n v="6.3"/>
    <n v="1.7"/>
    <x v="1"/>
    <x v="0"/>
    <n v="6"/>
    <n v="9"/>
    <n v="3.9"/>
    <x v="1"/>
    <n v="3"/>
    <n v="1"/>
    <n v="1"/>
    <n v="0"/>
    <n v="1"/>
    <n v="0"/>
    <n v="1"/>
    <x v="0"/>
    <x v="0"/>
    <x v="1"/>
  </r>
  <r>
    <n v="1556"/>
    <n v="38"/>
    <x v="0"/>
    <x v="1"/>
    <n v="9.8000000000000007"/>
    <n v="5.2"/>
    <x v="1"/>
    <x v="0"/>
    <n v="5.8"/>
    <n v="3"/>
    <n v="10.5"/>
    <x v="1"/>
    <n v="10"/>
    <n v="2"/>
    <n v="1"/>
    <n v="1"/>
    <n v="0"/>
    <n v="0"/>
    <n v="1"/>
    <x v="0"/>
    <x v="2"/>
    <x v="0"/>
  </r>
  <r>
    <n v="1557"/>
    <n v="57"/>
    <x v="0"/>
    <x v="2"/>
    <n v="6.8"/>
    <n v="1.8"/>
    <x v="1"/>
    <x v="0"/>
    <n v="9"/>
    <n v="7"/>
    <n v="9"/>
    <x v="0"/>
    <n v="4"/>
    <n v="0"/>
    <n v="1"/>
    <n v="0"/>
    <n v="1"/>
    <n v="1"/>
    <n v="1"/>
    <x v="2"/>
    <x v="1"/>
    <x v="1"/>
  </r>
  <r>
    <n v="1558"/>
    <n v="25"/>
    <x v="1"/>
    <x v="0"/>
    <n v="9.9"/>
    <n v="1.6"/>
    <x v="1"/>
    <x v="0"/>
    <n v="6"/>
    <n v="4"/>
    <n v="2.9"/>
    <x v="2"/>
    <n v="10"/>
    <n v="1"/>
    <n v="1"/>
    <n v="0"/>
    <n v="1"/>
    <n v="0"/>
    <n v="0"/>
    <x v="0"/>
    <x v="1"/>
    <x v="0"/>
  </r>
  <r>
    <n v="1559"/>
    <n v="47"/>
    <x v="1"/>
    <x v="2"/>
    <n v="7.8"/>
    <n v="4.7"/>
    <x v="1"/>
    <x v="0"/>
    <n v="4.0999999999999996"/>
    <n v="8"/>
    <n v="3.2"/>
    <x v="2"/>
    <n v="2"/>
    <n v="2"/>
    <n v="1"/>
    <n v="1"/>
    <n v="0"/>
    <n v="0"/>
    <n v="1"/>
    <x v="1"/>
    <x v="0"/>
    <x v="1"/>
  </r>
  <r>
    <n v="1560"/>
    <n v="58"/>
    <x v="1"/>
    <x v="0"/>
    <n v="5.4"/>
    <n v="3.8"/>
    <x v="1"/>
    <x v="0"/>
    <n v="6.1"/>
    <n v="2"/>
    <n v="9.1999999999999993"/>
    <x v="2"/>
    <n v="9"/>
    <n v="2"/>
    <n v="0"/>
    <n v="0"/>
    <n v="0"/>
    <n v="0"/>
    <n v="0"/>
    <x v="0"/>
    <x v="2"/>
    <x v="1"/>
  </r>
  <r>
    <n v="1561"/>
    <n v="45"/>
    <x v="1"/>
    <x v="0"/>
    <n v="10.1"/>
    <n v="5.0999999999999996"/>
    <x v="2"/>
    <x v="1"/>
    <n v="7.9"/>
    <n v="8"/>
    <n v="2.7"/>
    <x v="2"/>
    <n v="5"/>
    <n v="0"/>
    <n v="0"/>
    <n v="1"/>
    <n v="1"/>
    <n v="1"/>
    <n v="1"/>
    <x v="2"/>
    <x v="0"/>
    <x v="0"/>
  </r>
  <r>
    <n v="1562"/>
    <n v="54"/>
    <x v="1"/>
    <x v="1"/>
    <n v="4.4000000000000004"/>
    <n v="1.6"/>
    <x v="1"/>
    <x v="0"/>
    <n v="7.7"/>
    <n v="9"/>
    <n v="11.2"/>
    <x v="2"/>
    <n v="2"/>
    <n v="0"/>
    <n v="0"/>
    <n v="0"/>
    <n v="1"/>
    <n v="1"/>
    <n v="1"/>
    <x v="2"/>
    <x v="0"/>
    <x v="1"/>
  </r>
  <r>
    <n v="1563"/>
    <n v="46"/>
    <x v="0"/>
    <x v="1"/>
    <n v="4.2"/>
    <n v="4"/>
    <x v="1"/>
    <x v="0"/>
    <n v="7.7"/>
    <n v="8"/>
    <n v="9.4"/>
    <x v="0"/>
    <n v="10"/>
    <n v="2"/>
    <n v="1"/>
    <n v="1"/>
    <n v="0"/>
    <n v="0"/>
    <n v="1"/>
    <x v="2"/>
    <x v="0"/>
    <x v="1"/>
  </r>
  <r>
    <n v="1564"/>
    <n v="33"/>
    <x v="0"/>
    <x v="0"/>
    <n v="7"/>
    <n v="2.2000000000000002"/>
    <x v="1"/>
    <x v="0"/>
    <n v="7.2"/>
    <n v="6"/>
    <n v="5.4"/>
    <x v="1"/>
    <n v="6"/>
    <n v="3"/>
    <n v="0"/>
    <n v="1"/>
    <n v="1"/>
    <n v="1"/>
    <n v="1"/>
    <x v="2"/>
    <x v="1"/>
    <x v="1"/>
  </r>
  <r>
    <n v="1565"/>
    <n v="51"/>
    <x v="0"/>
    <x v="2"/>
    <n v="4.5999999999999996"/>
    <n v="7.9"/>
    <x v="2"/>
    <x v="1"/>
    <n v="4.5"/>
    <n v="10"/>
    <n v="5.6"/>
    <x v="0"/>
    <n v="7"/>
    <n v="1"/>
    <n v="1"/>
    <n v="1"/>
    <n v="0"/>
    <n v="0"/>
    <n v="1"/>
    <x v="1"/>
    <x v="0"/>
    <x v="1"/>
  </r>
  <r>
    <n v="1566"/>
    <n v="17"/>
    <x v="0"/>
    <x v="1"/>
    <n v="2.1"/>
    <n v="4.9000000000000004"/>
    <x v="1"/>
    <x v="0"/>
    <n v="8.1999999999999993"/>
    <n v="1"/>
    <n v="7.1"/>
    <x v="2"/>
    <n v="2"/>
    <n v="0"/>
    <n v="0"/>
    <n v="1"/>
    <n v="0"/>
    <n v="0"/>
    <n v="0"/>
    <x v="2"/>
    <x v="2"/>
    <x v="2"/>
  </r>
  <r>
    <n v="1567"/>
    <n v="29"/>
    <x v="1"/>
    <x v="2"/>
    <n v="8.5"/>
    <n v="5.8"/>
    <x v="1"/>
    <x v="0"/>
    <n v="8.4"/>
    <n v="7"/>
    <n v="5.6"/>
    <x v="2"/>
    <n v="1"/>
    <n v="2"/>
    <n v="0"/>
    <n v="0"/>
    <n v="0"/>
    <n v="0"/>
    <n v="0"/>
    <x v="2"/>
    <x v="1"/>
    <x v="0"/>
  </r>
  <r>
    <n v="1568"/>
    <n v="28"/>
    <x v="1"/>
    <x v="1"/>
    <n v="7.1"/>
    <n v="3.3"/>
    <x v="2"/>
    <x v="1"/>
    <n v="4.2"/>
    <n v="1"/>
    <n v="9.8000000000000007"/>
    <x v="1"/>
    <n v="7"/>
    <n v="3"/>
    <n v="1"/>
    <n v="1"/>
    <n v="0"/>
    <n v="0"/>
    <n v="1"/>
    <x v="1"/>
    <x v="2"/>
    <x v="1"/>
  </r>
  <r>
    <n v="1569"/>
    <n v="44"/>
    <x v="0"/>
    <x v="1"/>
    <n v="6.5"/>
    <n v="1.7"/>
    <x v="1"/>
    <x v="0"/>
    <n v="3.8"/>
    <n v="7"/>
    <n v="11.7"/>
    <x v="0"/>
    <n v="1"/>
    <n v="4"/>
    <n v="0"/>
    <n v="1"/>
    <n v="1"/>
    <n v="1"/>
    <n v="1"/>
    <x v="1"/>
    <x v="1"/>
    <x v="1"/>
  </r>
  <r>
    <n v="1570"/>
    <n v="27"/>
    <x v="1"/>
    <x v="2"/>
    <n v="11.7"/>
    <n v="7.8"/>
    <x v="2"/>
    <x v="1"/>
    <n v="8.9"/>
    <n v="2"/>
    <n v="7.8"/>
    <x v="1"/>
    <n v="3"/>
    <n v="2"/>
    <n v="1"/>
    <n v="1"/>
    <n v="0"/>
    <n v="1"/>
    <n v="1"/>
    <x v="2"/>
    <x v="2"/>
    <x v="0"/>
  </r>
  <r>
    <n v="1571"/>
    <n v="54"/>
    <x v="1"/>
    <x v="1"/>
    <n v="7.7"/>
    <n v="3"/>
    <x v="2"/>
    <x v="1"/>
    <n v="8.1999999999999993"/>
    <n v="8"/>
    <n v="6.5"/>
    <x v="2"/>
    <n v="4"/>
    <n v="3"/>
    <n v="0"/>
    <n v="1"/>
    <n v="0"/>
    <n v="1"/>
    <n v="0"/>
    <x v="2"/>
    <x v="0"/>
    <x v="1"/>
  </r>
  <r>
    <n v="1572"/>
    <n v="17"/>
    <x v="0"/>
    <x v="1"/>
    <n v="10.6"/>
    <n v="4"/>
    <x v="2"/>
    <x v="1"/>
    <n v="8.4"/>
    <n v="2"/>
    <n v="4.2"/>
    <x v="2"/>
    <n v="2"/>
    <n v="4"/>
    <n v="0"/>
    <n v="1"/>
    <n v="0"/>
    <n v="0"/>
    <n v="1"/>
    <x v="2"/>
    <x v="2"/>
    <x v="0"/>
  </r>
  <r>
    <n v="1573"/>
    <n v="47"/>
    <x v="0"/>
    <x v="2"/>
    <n v="3.4"/>
    <n v="5.5"/>
    <x v="2"/>
    <x v="1"/>
    <n v="8.3000000000000007"/>
    <n v="3"/>
    <n v="8.5"/>
    <x v="1"/>
    <n v="7"/>
    <n v="3"/>
    <n v="0"/>
    <n v="1"/>
    <n v="1"/>
    <n v="0"/>
    <n v="0"/>
    <x v="2"/>
    <x v="2"/>
    <x v="2"/>
  </r>
  <r>
    <n v="1574"/>
    <n v="28"/>
    <x v="1"/>
    <x v="1"/>
    <n v="7.7"/>
    <n v="1.2"/>
    <x v="1"/>
    <x v="0"/>
    <n v="6.3"/>
    <n v="3"/>
    <n v="8.9"/>
    <x v="2"/>
    <n v="5"/>
    <n v="0"/>
    <n v="1"/>
    <n v="0"/>
    <n v="0"/>
    <n v="0"/>
    <n v="1"/>
    <x v="0"/>
    <x v="2"/>
    <x v="1"/>
  </r>
  <r>
    <n v="1575"/>
    <n v="42"/>
    <x v="1"/>
    <x v="1"/>
    <n v="10.7"/>
    <n v="6.7"/>
    <x v="2"/>
    <x v="1"/>
    <n v="6.9"/>
    <n v="1"/>
    <n v="8.9"/>
    <x v="0"/>
    <n v="1"/>
    <n v="2"/>
    <n v="1"/>
    <n v="1"/>
    <n v="1"/>
    <n v="1"/>
    <n v="1"/>
    <x v="0"/>
    <x v="2"/>
    <x v="0"/>
  </r>
  <r>
    <n v="1576"/>
    <n v="56"/>
    <x v="0"/>
    <x v="1"/>
    <n v="7.8"/>
    <n v="4.8"/>
    <x v="2"/>
    <x v="1"/>
    <n v="6.3"/>
    <n v="5"/>
    <n v="2.2999999999999998"/>
    <x v="2"/>
    <n v="8"/>
    <n v="4"/>
    <n v="0"/>
    <n v="0"/>
    <n v="0"/>
    <n v="0"/>
    <n v="1"/>
    <x v="0"/>
    <x v="1"/>
    <x v="1"/>
  </r>
  <r>
    <n v="1577"/>
    <n v="32"/>
    <x v="0"/>
    <x v="2"/>
    <n v="9.1999999999999993"/>
    <n v="2.9"/>
    <x v="1"/>
    <x v="0"/>
    <n v="3.3"/>
    <n v="5"/>
    <n v="11"/>
    <x v="2"/>
    <n v="10"/>
    <n v="3"/>
    <n v="0"/>
    <n v="1"/>
    <n v="0"/>
    <n v="0"/>
    <n v="1"/>
    <x v="1"/>
    <x v="1"/>
    <x v="0"/>
  </r>
  <r>
    <n v="1578"/>
    <n v="55"/>
    <x v="0"/>
    <x v="0"/>
    <n v="5.7"/>
    <n v="1.4"/>
    <x v="1"/>
    <x v="0"/>
    <n v="7.5"/>
    <n v="10"/>
    <n v="5.4"/>
    <x v="0"/>
    <n v="7"/>
    <n v="4"/>
    <n v="1"/>
    <n v="1"/>
    <n v="0"/>
    <n v="1"/>
    <n v="0"/>
    <x v="2"/>
    <x v="0"/>
    <x v="1"/>
  </r>
  <r>
    <n v="1579"/>
    <n v="46"/>
    <x v="1"/>
    <x v="2"/>
    <n v="2.9"/>
    <n v="2.1"/>
    <x v="1"/>
    <x v="0"/>
    <n v="6"/>
    <n v="5"/>
    <n v="9.4"/>
    <x v="2"/>
    <n v="4"/>
    <n v="1"/>
    <n v="0"/>
    <n v="0"/>
    <n v="0"/>
    <n v="0"/>
    <n v="1"/>
    <x v="0"/>
    <x v="1"/>
    <x v="2"/>
  </r>
  <r>
    <n v="1580"/>
    <n v="49"/>
    <x v="0"/>
    <x v="0"/>
    <n v="6.6"/>
    <n v="7.3"/>
    <x v="2"/>
    <x v="1"/>
    <n v="6.9"/>
    <n v="9"/>
    <n v="9.6"/>
    <x v="1"/>
    <n v="2"/>
    <n v="2"/>
    <n v="0"/>
    <n v="1"/>
    <n v="0"/>
    <n v="1"/>
    <n v="1"/>
    <x v="0"/>
    <x v="0"/>
    <x v="1"/>
  </r>
  <r>
    <n v="1581"/>
    <n v="39"/>
    <x v="0"/>
    <x v="1"/>
    <n v="5.9"/>
    <n v="5.8"/>
    <x v="1"/>
    <x v="0"/>
    <n v="6"/>
    <n v="6"/>
    <n v="8.5"/>
    <x v="1"/>
    <n v="7"/>
    <n v="0"/>
    <n v="1"/>
    <n v="1"/>
    <n v="1"/>
    <n v="0"/>
    <n v="1"/>
    <x v="0"/>
    <x v="1"/>
    <x v="1"/>
  </r>
  <r>
    <n v="1582"/>
    <n v="50"/>
    <x v="1"/>
    <x v="0"/>
    <n v="10.7"/>
    <n v="2.7"/>
    <x v="2"/>
    <x v="1"/>
    <n v="6"/>
    <n v="6"/>
    <n v="5.9"/>
    <x v="2"/>
    <n v="2"/>
    <n v="4"/>
    <n v="0"/>
    <n v="0"/>
    <n v="1"/>
    <n v="1"/>
    <n v="1"/>
    <x v="0"/>
    <x v="1"/>
    <x v="0"/>
  </r>
  <r>
    <n v="1583"/>
    <n v="21"/>
    <x v="1"/>
    <x v="2"/>
    <n v="4.4000000000000004"/>
    <n v="1.5"/>
    <x v="2"/>
    <x v="1"/>
    <n v="4"/>
    <n v="3"/>
    <n v="8.1"/>
    <x v="0"/>
    <n v="6"/>
    <n v="3"/>
    <n v="0"/>
    <n v="0"/>
    <n v="0"/>
    <n v="0"/>
    <n v="0"/>
    <x v="1"/>
    <x v="2"/>
    <x v="1"/>
  </r>
  <r>
    <n v="1584"/>
    <n v="34"/>
    <x v="1"/>
    <x v="2"/>
    <n v="11.7"/>
    <n v="5.8"/>
    <x v="1"/>
    <x v="0"/>
    <n v="4.7"/>
    <n v="5"/>
    <n v="2.4"/>
    <x v="0"/>
    <n v="1"/>
    <n v="4"/>
    <n v="1"/>
    <n v="0"/>
    <n v="0"/>
    <n v="0"/>
    <n v="0"/>
    <x v="1"/>
    <x v="1"/>
    <x v="0"/>
  </r>
  <r>
    <n v="1585"/>
    <n v="45"/>
    <x v="1"/>
    <x v="1"/>
    <n v="11.6"/>
    <n v="5"/>
    <x v="1"/>
    <x v="0"/>
    <n v="4"/>
    <n v="10"/>
    <n v="9.6"/>
    <x v="1"/>
    <n v="7"/>
    <n v="3"/>
    <n v="1"/>
    <n v="0"/>
    <n v="1"/>
    <n v="1"/>
    <n v="1"/>
    <x v="1"/>
    <x v="0"/>
    <x v="0"/>
  </r>
  <r>
    <n v="1586"/>
    <n v="22"/>
    <x v="1"/>
    <x v="0"/>
    <n v="4.5"/>
    <n v="3.8"/>
    <x v="1"/>
    <x v="0"/>
    <n v="4.2"/>
    <n v="7"/>
    <n v="3"/>
    <x v="2"/>
    <n v="7"/>
    <n v="4"/>
    <n v="1"/>
    <n v="1"/>
    <n v="1"/>
    <n v="1"/>
    <n v="0"/>
    <x v="1"/>
    <x v="1"/>
    <x v="1"/>
  </r>
  <r>
    <n v="1587"/>
    <n v="25"/>
    <x v="0"/>
    <x v="1"/>
    <n v="5.5"/>
    <n v="3.5"/>
    <x v="1"/>
    <x v="0"/>
    <n v="8.8000000000000007"/>
    <n v="3"/>
    <n v="6"/>
    <x v="0"/>
    <n v="4"/>
    <n v="0"/>
    <n v="1"/>
    <n v="0"/>
    <n v="0"/>
    <n v="0"/>
    <n v="0"/>
    <x v="2"/>
    <x v="2"/>
    <x v="1"/>
  </r>
  <r>
    <n v="1588"/>
    <n v="56"/>
    <x v="0"/>
    <x v="1"/>
    <n v="11"/>
    <n v="2.5"/>
    <x v="1"/>
    <x v="0"/>
    <n v="3.9"/>
    <n v="2"/>
    <n v="3"/>
    <x v="0"/>
    <n v="4"/>
    <n v="0"/>
    <n v="0"/>
    <n v="0"/>
    <n v="0"/>
    <n v="1"/>
    <n v="0"/>
    <x v="1"/>
    <x v="2"/>
    <x v="0"/>
  </r>
  <r>
    <n v="1589"/>
    <n v="47"/>
    <x v="1"/>
    <x v="2"/>
    <n v="11.7"/>
    <n v="5.7"/>
    <x v="1"/>
    <x v="0"/>
    <n v="4.5999999999999996"/>
    <n v="5"/>
    <n v="10.4"/>
    <x v="1"/>
    <n v="10"/>
    <n v="2"/>
    <n v="1"/>
    <n v="0"/>
    <n v="1"/>
    <n v="0"/>
    <n v="0"/>
    <x v="1"/>
    <x v="1"/>
    <x v="0"/>
  </r>
  <r>
    <n v="1590"/>
    <n v="49"/>
    <x v="1"/>
    <x v="0"/>
    <n v="6.4"/>
    <n v="7.8"/>
    <x v="2"/>
    <x v="1"/>
    <n v="6.5"/>
    <n v="3"/>
    <n v="7.5"/>
    <x v="1"/>
    <n v="5"/>
    <n v="0"/>
    <n v="1"/>
    <n v="1"/>
    <n v="0"/>
    <n v="0"/>
    <n v="0"/>
    <x v="0"/>
    <x v="2"/>
    <x v="1"/>
  </r>
  <r>
    <n v="1591"/>
    <n v="43"/>
    <x v="1"/>
    <x v="0"/>
    <n v="5.2"/>
    <n v="2.2000000000000002"/>
    <x v="2"/>
    <x v="1"/>
    <n v="6.7"/>
    <n v="5"/>
    <n v="8.9"/>
    <x v="0"/>
    <n v="2"/>
    <n v="4"/>
    <n v="0"/>
    <n v="0"/>
    <n v="1"/>
    <n v="1"/>
    <n v="1"/>
    <x v="0"/>
    <x v="1"/>
    <x v="1"/>
  </r>
  <r>
    <n v="1592"/>
    <n v="30"/>
    <x v="1"/>
    <x v="0"/>
    <n v="7.3"/>
    <n v="5.2"/>
    <x v="1"/>
    <x v="0"/>
    <n v="3.9"/>
    <n v="9"/>
    <n v="8.8000000000000007"/>
    <x v="1"/>
    <n v="9"/>
    <n v="4"/>
    <n v="1"/>
    <n v="1"/>
    <n v="1"/>
    <n v="1"/>
    <n v="0"/>
    <x v="1"/>
    <x v="0"/>
    <x v="1"/>
  </r>
  <r>
    <n v="1593"/>
    <n v="45"/>
    <x v="1"/>
    <x v="0"/>
    <n v="8.9"/>
    <n v="4"/>
    <x v="2"/>
    <x v="1"/>
    <n v="7.8"/>
    <n v="10"/>
    <n v="10.4"/>
    <x v="0"/>
    <n v="10"/>
    <n v="0"/>
    <n v="1"/>
    <n v="1"/>
    <n v="0"/>
    <n v="1"/>
    <n v="1"/>
    <x v="2"/>
    <x v="0"/>
    <x v="0"/>
  </r>
  <r>
    <n v="1594"/>
    <n v="52"/>
    <x v="0"/>
    <x v="1"/>
    <n v="4.7"/>
    <n v="4.0999999999999996"/>
    <x v="2"/>
    <x v="1"/>
    <n v="7.7"/>
    <n v="1"/>
    <n v="3.3"/>
    <x v="2"/>
    <n v="4"/>
    <n v="1"/>
    <n v="0"/>
    <n v="1"/>
    <n v="1"/>
    <n v="0"/>
    <n v="0"/>
    <x v="2"/>
    <x v="2"/>
    <x v="1"/>
  </r>
  <r>
    <n v="1595"/>
    <n v="44"/>
    <x v="0"/>
    <x v="1"/>
    <n v="9.4"/>
    <n v="2.8"/>
    <x v="2"/>
    <x v="1"/>
    <n v="4.4000000000000004"/>
    <n v="4"/>
    <n v="8.6"/>
    <x v="1"/>
    <n v="9"/>
    <n v="4"/>
    <n v="1"/>
    <n v="1"/>
    <n v="1"/>
    <n v="1"/>
    <n v="1"/>
    <x v="1"/>
    <x v="1"/>
    <x v="0"/>
  </r>
  <r>
    <n v="1596"/>
    <n v="37"/>
    <x v="0"/>
    <x v="2"/>
    <n v="2.5"/>
    <n v="6.8"/>
    <x v="2"/>
    <x v="1"/>
    <n v="4.7"/>
    <n v="10"/>
    <n v="7.8"/>
    <x v="1"/>
    <n v="3"/>
    <n v="2"/>
    <n v="1"/>
    <n v="0"/>
    <n v="0"/>
    <n v="1"/>
    <n v="1"/>
    <x v="1"/>
    <x v="0"/>
    <x v="2"/>
  </r>
  <r>
    <n v="1597"/>
    <n v="19"/>
    <x v="0"/>
    <x v="1"/>
    <n v="2.5"/>
    <n v="4.4000000000000004"/>
    <x v="2"/>
    <x v="1"/>
    <n v="8.6"/>
    <n v="5"/>
    <n v="2.2999999999999998"/>
    <x v="2"/>
    <n v="9"/>
    <n v="1"/>
    <n v="0"/>
    <n v="0"/>
    <n v="0"/>
    <n v="0"/>
    <n v="1"/>
    <x v="2"/>
    <x v="1"/>
    <x v="2"/>
  </r>
  <r>
    <n v="1598"/>
    <n v="35"/>
    <x v="1"/>
    <x v="1"/>
    <n v="5.9"/>
    <n v="4.8"/>
    <x v="2"/>
    <x v="1"/>
    <n v="8"/>
    <n v="2"/>
    <n v="4"/>
    <x v="0"/>
    <n v="1"/>
    <n v="0"/>
    <n v="1"/>
    <n v="1"/>
    <n v="1"/>
    <n v="0"/>
    <n v="0"/>
    <x v="2"/>
    <x v="2"/>
    <x v="1"/>
  </r>
  <r>
    <n v="1599"/>
    <n v="47"/>
    <x v="0"/>
    <x v="2"/>
    <n v="5.5"/>
    <n v="3.1"/>
    <x v="1"/>
    <x v="0"/>
    <n v="7.2"/>
    <n v="2"/>
    <n v="4.7"/>
    <x v="0"/>
    <n v="7"/>
    <n v="3"/>
    <n v="1"/>
    <n v="0"/>
    <n v="0"/>
    <n v="0"/>
    <n v="0"/>
    <x v="2"/>
    <x v="2"/>
    <x v="1"/>
  </r>
  <r>
    <n v="1600"/>
    <n v="51"/>
    <x v="1"/>
    <x v="2"/>
    <n v="5.2"/>
    <n v="2.2999999999999998"/>
    <x v="1"/>
    <x v="0"/>
    <n v="3.5"/>
    <n v="1"/>
    <n v="2.7"/>
    <x v="1"/>
    <n v="4"/>
    <n v="4"/>
    <n v="0"/>
    <n v="0"/>
    <n v="1"/>
    <n v="0"/>
    <n v="0"/>
    <x v="1"/>
    <x v="2"/>
    <x v="1"/>
  </r>
  <r>
    <n v="1601"/>
    <n v="19"/>
    <x v="1"/>
    <x v="2"/>
    <n v="6.9"/>
    <n v="1.6"/>
    <x v="1"/>
    <x v="0"/>
    <n v="5.5"/>
    <n v="8"/>
    <n v="5.5"/>
    <x v="0"/>
    <n v="7"/>
    <n v="3"/>
    <n v="0"/>
    <n v="0"/>
    <n v="0"/>
    <n v="1"/>
    <n v="0"/>
    <x v="0"/>
    <x v="0"/>
    <x v="1"/>
  </r>
  <r>
    <n v="1602"/>
    <n v="42"/>
    <x v="1"/>
    <x v="1"/>
    <n v="5.2"/>
    <n v="6"/>
    <x v="2"/>
    <x v="1"/>
    <n v="6.4"/>
    <n v="2"/>
    <n v="2.2999999999999998"/>
    <x v="0"/>
    <n v="10"/>
    <n v="2"/>
    <n v="1"/>
    <n v="0"/>
    <n v="0"/>
    <n v="0"/>
    <n v="0"/>
    <x v="0"/>
    <x v="2"/>
    <x v="1"/>
  </r>
  <r>
    <n v="1603"/>
    <n v="32"/>
    <x v="0"/>
    <x v="1"/>
    <n v="3.9"/>
    <n v="2.4"/>
    <x v="1"/>
    <x v="0"/>
    <n v="4.0999999999999996"/>
    <n v="3"/>
    <n v="7.5"/>
    <x v="2"/>
    <n v="6"/>
    <n v="1"/>
    <n v="1"/>
    <n v="1"/>
    <n v="1"/>
    <n v="0"/>
    <n v="0"/>
    <x v="1"/>
    <x v="2"/>
    <x v="2"/>
  </r>
  <r>
    <n v="1604"/>
    <n v="27"/>
    <x v="1"/>
    <x v="2"/>
    <n v="5.0999999999999996"/>
    <n v="5.8"/>
    <x v="1"/>
    <x v="0"/>
    <n v="5.7"/>
    <n v="2"/>
    <n v="4.0999999999999996"/>
    <x v="2"/>
    <n v="4"/>
    <n v="3"/>
    <n v="1"/>
    <n v="0"/>
    <n v="1"/>
    <n v="0"/>
    <n v="0"/>
    <x v="0"/>
    <x v="2"/>
    <x v="1"/>
  </r>
  <r>
    <n v="1605"/>
    <n v="37"/>
    <x v="0"/>
    <x v="2"/>
    <n v="11.7"/>
    <n v="3.7"/>
    <x v="1"/>
    <x v="0"/>
    <n v="6.6"/>
    <n v="4"/>
    <n v="4.9000000000000004"/>
    <x v="2"/>
    <n v="4"/>
    <n v="2"/>
    <n v="0"/>
    <n v="0"/>
    <n v="1"/>
    <n v="0"/>
    <n v="0"/>
    <x v="0"/>
    <x v="1"/>
    <x v="0"/>
  </r>
  <r>
    <n v="1606"/>
    <n v="32"/>
    <x v="0"/>
    <x v="2"/>
    <n v="6.1"/>
    <n v="3.9"/>
    <x v="2"/>
    <x v="1"/>
    <n v="5"/>
    <n v="1"/>
    <n v="11.1"/>
    <x v="1"/>
    <n v="8"/>
    <n v="3"/>
    <n v="1"/>
    <n v="1"/>
    <n v="1"/>
    <n v="1"/>
    <n v="1"/>
    <x v="0"/>
    <x v="2"/>
    <x v="1"/>
  </r>
  <r>
    <n v="1607"/>
    <n v="25"/>
    <x v="1"/>
    <x v="1"/>
    <n v="6.4"/>
    <n v="4.3"/>
    <x v="1"/>
    <x v="0"/>
    <n v="7.7"/>
    <n v="3"/>
    <n v="7"/>
    <x v="2"/>
    <n v="7"/>
    <n v="3"/>
    <n v="1"/>
    <n v="0"/>
    <n v="0"/>
    <n v="0"/>
    <n v="0"/>
    <x v="2"/>
    <x v="2"/>
    <x v="1"/>
  </r>
  <r>
    <n v="1608"/>
    <n v="16"/>
    <x v="1"/>
    <x v="1"/>
    <n v="7.8"/>
    <n v="3.6"/>
    <x v="2"/>
    <x v="1"/>
    <n v="8"/>
    <n v="5"/>
    <n v="4.7"/>
    <x v="2"/>
    <n v="4"/>
    <n v="2"/>
    <n v="0"/>
    <n v="0"/>
    <n v="1"/>
    <n v="0"/>
    <n v="1"/>
    <x v="2"/>
    <x v="1"/>
    <x v="1"/>
  </r>
  <r>
    <n v="1609"/>
    <n v="37"/>
    <x v="1"/>
    <x v="0"/>
    <n v="11.8"/>
    <n v="1.7"/>
    <x v="1"/>
    <x v="0"/>
    <n v="4.9000000000000004"/>
    <n v="10"/>
    <n v="8"/>
    <x v="0"/>
    <n v="6"/>
    <n v="4"/>
    <n v="1"/>
    <n v="0"/>
    <n v="1"/>
    <n v="1"/>
    <n v="1"/>
    <x v="1"/>
    <x v="0"/>
    <x v="0"/>
  </r>
  <r>
    <n v="1610"/>
    <n v="41"/>
    <x v="0"/>
    <x v="1"/>
    <n v="4.4000000000000004"/>
    <n v="3.2"/>
    <x v="1"/>
    <x v="0"/>
    <n v="8"/>
    <n v="1"/>
    <n v="4"/>
    <x v="2"/>
    <n v="6"/>
    <n v="3"/>
    <n v="1"/>
    <n v="1"/>
    <n v="0"/>
    <n v="0"/>
    <n v="0"/>
    <x v="2"/>
    <x v="2"/>
    <x v="1"/>
  </r>
  <r>
    <n v="1611"/>
    <n v="33"/>
    <x v="1"/>
    <x v="1"/>
    <n v="8.8000000000000007"/>
    <n v="5.6"/>
    <x v="1"/>
    <x v="0"/>
    <n v="3.6"/>
    <n v="4"/>
    <n v="2.7"/>
    <x v="1"/>
    <n v="1"/>
    <n v="2"/>
    <n v="1"/>
    <n v="0"/>
    <n v="1"/>
    <n v="0"/>
    <n v="1"/>
    <x v="1"/>
    <x v="1"/>
    <x v="0"/>
  </r>
  <r>
    <n v="1612"/>
    <n v="29"/>
    <x v="0"/>
    <x v="1"/>
    <n v="9.1999999999999993"/>
    <n v="5.7"/>
    <x v="2"/>
    <x v="1"/>
    <n v="8"/>
    <n v="6"/>
    <n v="2.2000000000000002"/>
    <x v="2"/>
    <n v="2"/>
    <n v="3"/>
    <n v="0"/>
    <n v="0"/>
    <n v="0"/>
    <n v="1"/>
    <n v="1"/>
    <x v="2"/>
    <x v="1"/>
    <x v="0"/>
  </r>
  <r>
    <n v="1613"/>
    <n v="44"/>
    <x v="1"/>
    <x v="2"/>
    <n v="8.1"/>
    <n v="3"/>
    <x v="2"/>
    <x v="1"/>
    <n v="3.9"/>
    <n v="4"/>
    <n v="11.5"/>
    <x v="1"/>
    <n v="4"/>
    <n v="4"/>
    <n v="0"/>
    <n v="1"/>
    <n v="1"/>
    <n v="0"/>
    <n v="1"/>
    <x v="1"/>
    <x v="1"/>
    <x v="0"/>
  </r>
  <r>
    <n v="1614"/>
    <n v="27"/>
    <x v="1"/>
    <x v="1"/>
    <n v="2.9"/>
    <n v="4.2"/>
    <x v="2"/>
    <x v="1"/>
    <n v="3.5"/>
    <n v="7"/>
    <n v="9.1999999999999993"/>
    <x v="0"/>
    <n v="6"/>
    <n v="2"/>
    <n v="1"/>
    <n v="0"/>
    <n v="0"/>
    <n v="1"/>
    <n v="1"/>
    <x v="1"/>
    <x v="1"/>
    <x v="2"/>
  </r>
  <r>
    <n v="1615"/>
    <n v="51"/>
    <x v="0"/>
    <x v="2"/>
    <n v="8.8000000000000007"/>
    <n v="2.4"/>
    <x v="2"/>
    <x v="1"/>
    <n v="6.9"/>
    <n v="7"/>
    <n v="10"/>
    <x v="0"/>
    <n v="6"/>
    <n v="3"/>
    <n v="1"/>
    <n v="1"/>
    <n v="0"/>
    <n v="1"/>
    <n v="1"/>
    <x v="0"/>
    <x v="1"/>
    <x v="0"/>
  </r>
  <r>
    <n v="1616"/>
    <n v="50"/>
    <x v="0"/>
    <x v="0"/>
    <n v="2.6"/>
    <n v="2.5"/>
    <x v="2"/>
    <x v="1"/>
    <n v="5.8"/>
    <n v="6"/>
    <n v="11.8"/>
    <x v="2"/>
    <n v="1"/>
    <n v="0"/>
    <n v="0"/>
    <n v="1"/>
    <n v="0"/>
    <n v="0"/>
    <n v="1"/>
    <x v="0"/>
    <x v="1"/>
    <x v="2"/>
  </r>
  <r>
    <n v="1617"/>
    <n v="27"/>
    <x v="0"/>
    <x v="0"/>
    <n v="8"/>
    <n v="1.2"/>
    <x v="1"/>
    <x v="0"/>
    <n v="8.4"/>
    <n v="9"/>
    <n v="11.3"/>
    <x v="0"/>
    <n v="8"/>
    <n v="4"/>
    <n v="1"/>
    <n v="1"/>
    <n v="1"/>
    <n v="1"/>
    <n v="1"/>
    <x v="2"/>
    <x v="0"/>
    <x v="1"/>
  </r>
  <r>
    <n v="1618"/>
    <n v="22"/>
    <x v="0"/>
    <x v="2"/>
    <n v="9.4"/>
    <n v="7.3"/>
    <x v="1"/>
    <x v="0"/>
    <n v="5.2"/>
    <n v="2"/>
    <n v="9.4"/>
    <x v="2"/>
    <n v="2"/>
    <n v="3"/>
    <n v="0"/>
    <n v="0"/>
    <n v="1"/>
    <n v="0"/>
    <n v="1"/>
    <x v="0"/>
    <x v="2"/>
    <x v="0"/>
  </r>
  <r>
    <n v="1619"/>
    <n v="44"/>
    <x v="0"/>
    <x v="2"/>
    <n v="4.0999999999999996"/>
    <n v="2.5"/>
    <x v="2"/>
    <x v="1"/>
    <n v="4.7"/>
    <n v="10"/>
    <n v="8.9"/>
    <x v="0"/>
    <n v="5"/>
    <n v="1"/>
    <n v="0"/>
    <n v="0"/>
    <n v="1"/>
    <n v="1"/>
    <n v="1"/>
    <x v="1"/>
    <x v="0"/>
    <x v="1"/>
  </r>
  <r>
    <n v="1620"/>
    <n v="26"/>
    <x v="0"/>
    <x v="2"/>
    <n v="10.4"/>
    <n v="2.6"/>
    <x v="2"/>
    <x v="1"/>
    <n v="6"/>
    <n v="8"/>
    <n v="5.4"/>
    <x v="1"/>
    <n v="4"/>
    <n v="2"/>
    <n v="0"/>
    <n v="0"/>
    <n v="1"/>
    <n v="1"/>
    <n v="0"/>
    <x v="0"/>
    <x v="0"/>
    <x v="0"/>
  </r>
  <r>
    <n v="1621"/>
    <n v="48"/>
    <x v="1"/>
    <x v="1"/>
    <n v="2.2999999999999998"/>
    <n v="3"/>
    <x v="1"/>
    <x v="0"/>
    <n v="5.7"/>
    <n v="8"/>
    <n v="3"/>
    <x v="0"/>
    <n v="5"/>
    <n v="3"/>
    <n v="0"/>
    <n v="0"/>
    <n v="1"/>
    <n v="0"/>
    <n v="0"/>
    <x v="0"/>
    <x v="0"/>
    <x v="2"/>
  </r>
  <r>
    <n v="1622"/>
    <n v="21"/>
    <x v="1"/>
    <x v="0"/>
    <n v="10.4"/>
    <n v="1.9"/>
    <x v="2"/>
    <x v="1"/>
    <n v="5.0999999999999996"/>
    <n v="10"/>
    <n v="7.7"/>
    <x v="2"/>
    <n v="5"/>
    <n v="4"/>
    <n v="0"/>
    <n v="0"/>
    <n v="1"/>
    <n v="1"/>
    <n v="0"/>
    <x v="0"/>
    <x v="0"/>
    <x v="0"/>
  </r>
  <r>
    <n v="1623"/>
    <n v="30"/>
    <x v="0"/>
    <x v="2"/>
    <n v="6.6"/>
    <n v="5.5"/>
    <x v="1"/>
    <x v="0"/>
    <n v="7.2"/>
    <n v="4"/>
    <n v="7.8"/>
    <x v="2"/>
    <n v="10"/>
    <n v="4"/>
    <n v="1"/>
    <n v="1"/>
    <n v="0"/>
    <n v="0"/>
    <n v="1"/>
    <x v="2"/>
    <x v="1"/>
    <x v="1"/>
  </r>
  <r>
    <n v="1624"/>
    <n v="47"/>
    <x v="1"/>
    <x v="1"/>
    <n v="4.2"/>
    <n v="1.5"/>
    <x v="2"/>
    <x v="1"/>
    <n v="7.6"/>
    <n v="6"/>
    <n v="11.5"/>
    <x v="2"/>
    <n v="8"/>
    <n v="1"/>
    <n v="0"/>
    <n v="1"/>
    <n v="0"/>
    <n v="0"/>
    <n v="1"/>
    <x v="2"/>
    <x v="1"/>
    <x v="1"/>
  </r>
  <r>
    <n v="1625"/>
    <n v="26"/>
    <x v="0"/>
    <x v="0"/>
    <n v="3.3"/>
    <n v="1.9"/>
    <x v="1"/>
    <x v="0"/>
    <n v="8.1"/>
    <n v="6"/>
    <n v="6.4"/>
    <x v="1"/>
    <n v="10"/>
    <n v="1"/>
    <n v="1"/>
    <n v="1"/>
    <n v="0"/>
    <n v="1"/>
    <n v="1"/>
    <x v="2"/>
    <x v="1"/>
    <x v="2"/>
  </r>
  <r>
    <n v="1626"/>
    <n v="38"/>
    <x v="1"/>
    <x v="1"/>
    <n v="11.5"/>
    <n v="5.5"/>
    <x v="2"/>
    <x v="1"/>
    <n v="8.8000000000000007"/>
    <n v="5"/>
    <n v="8.9"/>
    <x v="0"/>
    <n v="7"/>
    <n v="3"/>
    <n v="1"/>
    <n v="1"/>
    <n v="0"/>
    <n v="0"/>
    <n v="0"/>
    <x v="2"/>
    <x v="1"/>
    <x v="0"/>
  </r>
  <r>
    <n v="1627"/>
    <n v="41"/>
    <x v="1"/>
    <x v="0"/>
    <n v="2.7"/>
    <n v="3.4"/>
    <x v="2"/>
    <x v="1"/>
    <n v="4.5999999999999996"/>
    <n v="1"/>
    <n v="7.7"/>
    <x v="2"/>
    <n v="9"/>
    <n v="0"/>
    <n v="1"/>
    <n v="0"/>
    <n v="0"/>
    <n v="0"/>
    <n v="0"/>
    <x v="1"/>
    <x v="2"/>
    <x v="2"/>
  </r>
  <r>
    <n v="1628"/>
    <n v="49"/>
    <x v="0"/>
    <x v="1"/>
    <n v="4"/>
    <n v="6"/>
    <x v="1"/>
    <x v="0"/>
    <n v="7.3"/>
    <n v="3"/>
    <n v="3.8"/>
    <x v="1"/>
    <n v="1"/>
    <n v="4"/>
    <n v="0"/>
    <n v="1"/>
    <n v="0"/>
    <n v="1"/>
    <n v="0"/>
    <x v="2"/>
    <x v="2"/>
    <x v="2"/>
  </r>
  <r>
    <n v="1629"/>
    <n v="49"/>
    <x v="0"/>
    <x v="0"/>
    <n v="5.5"/>
    <n v="4.9000000000000004"/>
    <x v="1"/>
    <x v="0"/>
    <n v="5.4"/>
    <n v="7"/>
    <n v="7.9"/>
    <x v="1"/>
    <n v="6"/>
    <n v="0"/>
    <n v="1"/>
    <n v="1"/>
    <n v="0"/>
    <n v="0"/>
    <n v="0"/>
    <x v="0"/>
    <x v="1"/>
    <x v="1"/>
  </r>
  <r>
    <n v="1630"/>
    <n v="44"/>
    <x v="0"/>
    <x v="0"/>
    <n v="8.1999999999999993"/>
    <n v="2.8"/>
    <x v="2"/>
    <x v="1"/>
    <n v="7.1"/>
    <n v="8"/>
    <n v="7.4"/>
    <x v="1"/>
    <n v="6"/>
    <n v="0"/>
    <n v="1"/>
    <n v="0"/>
    <n v="0"/>
    <n v="1"/>
    <n v="1"/>
    <x v="2"/>
    <x v="0"/>
    <x v="0"/>
  </r>
  <r>
    <n v="1631"/>
    <n v="19"/>
    <x v="1"/>
    <x v="1"/>
    <n v="7.4"/>
    <n v="5.6"/>
    <x v="2"/>
    <x v="1"/>
    <n v="5.9"/>
    <n v="2"/>
    <n v="6.9"/>
    <x v="0"/>
    <n v="2"/>
    <n v="3"/>
    <n v="1"/>
    <n v="1"/>
    <n v="0"/>
    <n v="1"/>
    <n v="1"/>
    <x v="0"/>
    <x v="2"/>
    <x v="1"/>
  </r>
  <r>
    <n v="1632"/>
    <n v="32"/>
    <x v="0"/>
    <x v="2"/>
    <n v="3.3"/>
    <n v="1.8"/>
    <x v="1"/>
    <x v="0"/>
    <n v="9"/>
    <n v="3"/>
    <n v="7.1"/>
    <x v="0"/>
    <n v="8"/>
    <n v="2"/>
    <n v="0"/>
    <n v="0"/>
    <n v="0"/>
    <n v="1"/>
    <n v="0"/>
    <x v="2"/>
    <x v="2"/>
    <x v="2"/>
  </r>
  <r>
    <n v="1633"/>
    <n v="50"/>
    <x v="1"/>
    <x v="0"/>
    <n v="4.9000000000000004"/>
    <n v="4.8"/>
    <x v="2"/>
    <x v="1"/>
    <n v="7.4"/>
    <n v="4"/>
    <n v="3.6"/>
    <x v="0"/>
    <n v="6"/>
    <n v="2"/>
    <n v="1"/>
    <n v="0"/>
    <n v="0"/>
    <n v="0"/>
    <n v="0"/>
    <x v="2"/>
    <x v="1"/>
    <x v="1"/>
  </r>
  <r>
    <n v="1634"/>
    <n v="28"/>
    <x v="0"/>
    <x v="2"/>
    <n v="4.4000000000000004"/>
    <n v="4.0999999999999996"/>
    <x v="1"/>
    <x v="0"/>
    <n v="8.6999999999999993"/>
    <n v="5"/>
    <n v="6.6"/>
    <x v="1"/>
    <n v="10"/>
    <n v="2"/>
    <n v="0"/>
    <n v="0"/>
    <n v="0"/>
    <n v="0"/>
    <n v="0"/>
    <x v="2"/>
    <x v="1"/>
    <x v="1"/>
  </r>
  <r>
    <n v="1635"/>
    <n v="56"/>
    <x v="1"/>
    <x v="1"/>
    <n v="4.0999999999999996"/>
    <n v="2.9"/>
    <x v="1"/>
    <x v="0"/>
    <n v="8"/>
    <n v="3"/>
    <n v="8.1"/>
    <x v="0"/>
    <n v="9"/>
    <n v="1"/>
    <n v="0"/>
    <n v="1"/>
    <n v="0"/>
    <n v="0"/>
    <n v="0"/>
    <x v="2"/>
    <x v="2"/>
    <x v="1"/>
  </r>
  <r>
    <n v="1636"/>
    <n v="54"/>
    <x v="1"/>
    <x v="2"/>
    <n v="6.1"/>
    <n v="5.2"/>
    <x v="2"/>
    <x v="1"/>
    <n v="8.4"/>
    <n v="5"/>
    <n v="6.9"/>
    <x v="2"/>
    <n v="10"/>
    <n v="4"/>
    <n v="1"/>
    <n v="1"/>
    <n v="0"/>
    <n v="0"/>
    <n v="0"/>
    <x v="2"/>
    <x v="1"/>
    <x v="1"/>
  </r>
  <r>
    <n v="1637"/>
    <n v="30"/>
    <x v="0"/>
    <x v="2"/>
    <n v="9"/>
    <n v="7.1"/>
    <x v="1"/>
    <x v="0"/>
    <n v="7.9"/>
    <n v="8"/>
    <n v="6.9"/>
    <x v="1"/>
    <n v="5"/>
    <n v="1"/>
    <n v="1"/>
    <n v="1"/>
    <n v="1"/>
    <n v="0"/>
    <n v="0"/>
    <x v="2"/>
    <x v="0"/>
    <x v="0"/>
  </r>
  <r>
    <n v="1638"/>
    <n v="44"/>
    <x v="1"/>
    <x v="2"/>
    <n v="4.2"/>
    <n v="8"/>
    <x v="1"/>
    <x v="0"/>
    <n v="5.8"/>
    <n v="8"/>
    <n v="2.8"/>
    <x v="0"/>
    <n v="7"/>
    <n v="4"/>
    <n v="0"/>
    <n v="1"/>
    <n v="0"/>
    <n v="1"/>
    <n v="0"/>
    <x v="0"/>
    <x v="0"/>
    <x v="1"/>
  </r>
  <r>
    <n v="1639"/>
    <n v="44"/>
    <x v="1"/>
    <x v="2"/>
    <n v="5.7"/>
    <n v="5.3"/>
    <x v="2"/>
    <x v="1"/>
    <n v="4.5"/>
    <n v="2"/>
    <n v="3.9"/>
    <x v="1"/>
    <n v="6"/>
    <n v="4"/>
    <n v="0"/>
    <n v="1"/>
    <n v="0"/>
    <n v="0"/>
    <n v="1"/>
    <x v="1"/>
    <x v="2"/>
    <x v="1"/>
  </r>
  <r>
    <n v="1640"/>
    <n v="26"/>
    <x v="0"/>
    <x v="2"/>
    <n v="5.9"/>
    <n v="3.8"/>
    <x v="1"/>
    <x v="0"/>
    <n v="5.2"/>
    <n v="6"/>
    <n v="5.2"/>
    <x v="1"/>
    <n v="5"/>
    <n v="4"/>
    <n v="1"/>
    <n v="1"/>
    <n v="1"/>
    <n v="0"/>
    <n v="0"/>
    <x v="0"/>
    <x v="1"/>
    <x v="1"/>
  </r>
  <r>
    <n v="1641"/>
    <n v="47"/>
    <x v="1"/>
    <x v="0"/>
    <n v="11.8"/>
    <n v="2.6"/>
    <x v="1"/>
    <x v="0"/>
    <n v="3.1"/>
    <n v="4"/>
    <n v="6.2"/>
    <x v="0"/>
    <n v="6"/>
    <n v="3"/>
    <n v="1"/>
    <n v="0"/>
    <n v="0"/>
    <n v="0"/>
    <n v="0"/>
    <x v="1"/>
    <x v="1"/>
    <x v="0"/>
  </r>
  <r>
    <n v="1642"/>
    <n v="17"/>
    <x v="0"/>
    <x v="0"/>
    <n v="11.5"/>
    <n v="2.8"/>
    <x v="1"/>
    <x v="0"/>
    <n v="6.1"/>
    <n v="9"/>
    <n v="7.9"/>
    <x v="1"/>
    <n v="4"/>
    <n v="2"/>
    <n v="1"/>
    <n v="0"/>
    <n v="1"/>
    <n v="1"/>
    <n v="0"/>
    <x v="0"/>
    <x v="0"/>
    <x v="0"/>
  </r>
  <r>
    <n v="1643"/>
    <n v="29"/>
    <x v="0"/>
    <x v="0"/>
    <n v="10"/>
    <n v="4.4000000000000004"/>
    <x v="1"/>
    <x v="0"/>
    <n v="6"/>
    <n v="10"/>
    <n v="10.6"/>
    <x v="0"/>
    <n v="3"/>
    <n v="1"/>
    <n v="1"/>
    <n v="1"/>
    <n v="1"/>
    <n v="1"/>
    <n v="1"/>
    <x v="0"/>
    <x v="0"/>
    <x v="0"/>
  </r>
  <r>
    <n v="1644"/>
    <n v="35"/>
    <x v="0"/>
    <x v="1"/>
    <n v="4.4000000000000004"/>
    <n v="3.6"/>
    <x v="2"/>
    <x v="1"/>
    <n v="6.2"/>
    <n v="2"/>
    <n v="3.6"/>
    <x v="0"/>
    <n v="1"/>
    <n v="1"/>
    <n v="1"/>
    <n v="1"/>
    <n v="0"/>
    <n v="1"/>
    <n v="1"/>
    <x v="0"/>
    <x v="2"/>
    <x v="1"/>
  </r>
  <r>
    <n v="1645"/>
    <n v="37"/>
    <x v="0"/>
    <x v="2"/>
    <n v="2.7"/>
    <n v="7.4"/>
    <x v="1"/>
    <x v="0"/>
    <n v="8.8000000000000007"/>
    <n v="8"/>
    <n v="2.2000000000000002"/>
    <x v="0"/>
    <n v="1"/>
    <n v="3"/>
    <n v="0"/>
    <n v="0"/>
    <n v="1"/>
    <n v="1"/>
    <n v="1"/>
    <x v="2"/>
    <x v="0"/>
    <x v="2"/>
  </r>
  <r>
    <n v="1646"/>
    <n v="26"/>
    <x v="1"/>
    <x v="0"/>
    <n v="5.2"/>
    <n v="3.6"/>
    <x v="2"/>
    <x v="1"/>
    <n v="8.5"/>
    <n v="1"/>
    <n v="6.5"/>
    <x v="1"/>
    <n v="6"/>
    <n v="4"/>
    <n v="0"/>
    <n v="0"/>
    <n v="0"/>
    <n v="0"/>
    <n v="0"/>
    <x v="2"/>
    <x v="2"/>
    <x v="1"/>
  </r>
  <r>
    <n v="1647"/>
    <n v="42"/>
    <x v="1"/>
    <x v="1"/>
    <n v="4.7"/>
    <n v="3.6"/>
    <x v="1"/>
    <x v="0"/>
    <n v="4"/>
    <n v="6"/>
    <n v="6.3"/>
    <x v="1"/>
    <n v="9"/>
    <n v="2"/>
    <n v="0"/>
    <n v="0"/>
    <n v="0"/>
    <n v="1"/>
    <n v="1"/>
    <x v="1"/>
    <x v="1"/>
    <x v="1"/>
  </r>
  <r>
    <n v="1648"/>
    <n v="18"/>
    <x v="1"/>
    <x v="0"/>
    <n v="7.1"/>
    <n v="3.7"/>
    <x v="2"/>
    <x v="1"/>
    <n v="5.2"/>
    <n v="10"/>
    <n v="7.5"/>
    <x v="0"/>
    <n v="8"/>
    <n v="0"/>
    <n v="0"/>
    <n v="1"/>
    <n v="0"/>
    <n v="1"/>
    <n v="1"/>
    <x v="0"/>
    <x v="0"/>
    <x v="1"/>
  </r>
  <r>
    <n v="1649"/>
    <n v="32"/>
    <x v="0"/>
    <x v="0"/>
    <n v="9.8000000000000007"/>
    <n v="6.9"/>
    <x v="1"/>
    <x v="0"/>
    <n v="5.5"/>
    <n v="1"/>
    <n v="10.3"/>
    <x v="1"/>
    <n v="2"/>
    <n v="0"/>
    <n v="0"/>
    <n v="1"/>
    <n v="0"/>
    <n v="0"/>
    <n v="0"/>
    <x v="0"/>
    <x v="2"/>
    <x v="0"/>
  </r>
  <r>
    <n v="1650"/>
    <n v="59"/>
    <x v="1"/>
    <x v="2"/>
    <n v="10.6"/>
    <n v="5.6"/>
    <x v="2"/>
    <x v="1"/>
    <n v="5.2"/>
    <n v="2"/>
    <n v="10"/>
    <x v="0"/>
    <n v="9"/>
    <n v="3"/>
    <n v="1"/>
    <n v="1"/>
    <n v="0"/>
    <n v="0"/>
    <n v="0"/>
    <x v="0"/>
    <x v="2"/>
    <x v="0"/>
  </r>
  <r>
    <n v="1651"/>
    <n v="43"/>
    <x v="1"/>
    <x v="1"/>
    <n v="10.4"/>
    <n v="5.3"/>
    <x v="1"/>
    <x v="0"/>
    <n v="7.8"/>
    <n v="3"/>
    <n v="3"/>
    <x v="2"/>
    <n v="8"/>
    <n v="2"/>
    <n v="0"/>
    <n v="0"/>
    <n v="0"/>
    <n v="0"/>
    <n v="0"/>
    <x v="2"/>
    <x v="2"/>
    <x v="0"/>
  </r>
  <r>
    <n v="1652"/>
    <n v="44"/>
    <x v="0"/>
    <x v="2"/>
    <n v="5.6"/>
    <n v="3.3"/>
    <x v="1"/>
    <x v="0"/>
    <n v="6.1"/>
    <n v="9"/>
    <n v="11.3"/>
    <x v="1"/>
    <n v="9"/>
    <n v="0"/>
    <n v="1"/>
    <n v="1"/>
    <n v="1"/>
    <n v="0"/>
    <n v="0"/>
    <x v="0"/>
    <x v="0"/>
    <x v="1"/>
  </r>
  <r>
    <n v="1653"/>
    <n v="36"/>
    <x v="0"/>
    <x v="2"/>
    <n v="8.9"/>
    <n v="6.7"/>
    <x v="1"/>
    <x v="0"/>
    <n v="6.4"/>
    <n v="5"/>
    <n v="3.1"/>
    <x v="1"/>
    <n v="4"/>
    <n v="0"/>
    <n v="0"/>
    <n v="1"/>
    <n v="1"/>
    <n v="0"/>
    <n v="0"/>
    <x v="0"/>
    <x v="1"/>
    <x v="0"/>
  </r>
  <r>
    <n v="1654"/>
    <n v="31"/>
    <x v="1"/>
    <x v="0"/>
    <n v="5.0999999999999996"/>
    <n v="1.3"/>
    <x v="1"/>
    <x v="0"/>
    <n v="8.1"/>
    <n v="10"/>
    <n v="8.3000000000000007"/>
    <x v="2"/>
    <n v="9"/>
    <n v="1"/>
    <n v="0"/>
    <n v="1"/>
    <n v="0"/>
    <n v="1"/>
    <n v="0"/>
    <x v="2"/>
    <x v="0"/>
    <x v="1"/>
  </r>
  <r>
    <n v="1655"/>
    <n v="52"/>
    <x v="0"/>
    <x v="2"/>
    <n v="2.6"/>
    <n v="7.1"/>
    <x v="2"/>
    <x v="1"/>
    <n v="7.8"/>
    <n v="10"/>
    <n v="8.6999999999999993"/>
    <x v="2"/>
    <n v="2"/>
    <n v="2"/>
    <n v="1"/>
    <n v="1"/>
    <n v="0"/>
    <n v="0"/>
    <n v="1"/>
    <x v="2"/>
    <x v="0"/>
    <x v="2"/>
  </r>
  <r>
    <n v="1656"/>
    <n v="35"/>
    <x v="0"/>
    <x v="1"/>
    <n v="9"/>
    <n v="4.5999999999999996"/>
    <x v="2"/>
    <x v="1"/>
    <n v="3.8"/>
    <n v="2"/>
    <n v="8.8000000000000007"/>
    <x v="2"/>
    <n v="1"/>
    <n v="0"/>
    <n v="0"/>
    <n v="1"/>
    <n v="1"/>
    <n v="0"/>
    <n v="1"/>
    <x v="1"/>
    <x v="2"/>
    <x v="0"/>
  </r>
  <r>
    <n v="1657"/>
    <n v="21"/>
    <x v="0"/>
    <x v="2"/>
    <n v="2.1"/>
    <n v="3.8"/>
    <x v="1"/>
    <x v="0"/>
    <n v="7.3"/>
    <n v="10"/>
    <n v="4.7"/>
    <x v="0"/>
    <n v="9"/>
    <n v="1"/>
    <n v="0"/>
    <n v="1"/>
    <n v="1"/>
    <n v="0"/>
    <n v="0"/>
    <x v="2"/>
    <x v="0"/>
    <x v="2"/>
  </r>
  <r>
    <n v="1658"/>
    <n v="34"/>
    <x v="0"/>
    <x v="2"/>
    <n v="6.1"/>
    <n v="4.5"/>
    <x v="2"/>
    <x v="1"/>
    <n v="5.6"/>
    <n v="5"/>
    <n v="5.3"/>
    <x v="0"/>
    <n v="10"/>
    <n v="2"/>
    <n v="0"/>
    <n v="0"/>
    <n v="0"/>
    <n v="0"/>
    <n v="1"/>
    <x v="0"/>
    <x v="1"/>
    <x v="1"/>
  </r>
  <r>
    <n v="1659"/>
    <n v="20"/>
    <x v="1"/>
    <x v="2"/>
    <n v="5.3"/>
    <n v="5.7"/>
    <x v="1"/>
    <x v="0"/>
    <n v="4.8"/>
    <n v="5"/>
    <n v="7.5"/>
    <x v="2"/>
    <n v="8"/>
    <n v="4"/>
    <n v="0"/>
    <n v="1"/>
    <n v="0"/>
    <n v="1"/>
    <n v="0"/>
    <x v="1"/>
    <x v="1"/>
    <x v="1"/>
  </r>
  <r>
    <n v="1660"/>
    <n v="18"/>
    <x v="0"/>
    <x v="0"/>
    <n v="8.9"/>
    <n v="1.1000000000000001"/>
    <x v="1"/>
    <x v="0"/>
    <n v="3.3"/>
    <n v="1"/>
    <n v="4"/>
    <x v="0"/>
    <n v="7"/>
    <n v="2"/>
    <n v="1"/>
    <n v="0"/>
    <n v="0"/>
    <n v="0"/>
    <n v="0"/>
    <x v="1"/>
    <x v="2"/>
    <x v="0"/>
  </r>
  <r>
    <n v="1661"/>
    <n v="16"/>
    <x v="0"/>
    <x v="1"/>
    <n v="9.6999999999999993"/>
    <n v="7.1"/>
    <x v="2"/>
    <x v="1"/>
    <n v="5.9"/>
    <n v="3"/>
    <n v="2.2000000000000002"/>
    <x v="1"/>
    <n v="8"/>
    <n v="3"/>
    <n v="0"/>
    <n v="0"/>
    <n v="0"/>
    <n v="1"/>
    <n v="0"/>
    <x v="0"/>
    <x v="2"/>
    <x v="0"/>
  </r>
  <r>
    <n v="1662"/>
    <n v="53"/>
    <x v="0"/>
    <x v="0"/>
    <n v="5"/>
    <n v="4.0999999999999996"/>
    <x v="2"/>
    <x v="1"/>
    <n v="5.0999999999999996"/>
    <n v="5"/>
    <n v="7.6"/>
    <x v="2"/>
    <n v="1"/>
    <n v="1"/>
    <n v="0"/>
    <n v="0"/>
    <n v="1"/>
    <n v="0"/>
    <n v="1"/>
    <x v="0"/>
    <x v="1"/>
    <x v="1"/>
  </r>
  <r>
    <n v="1663"/>
    <n v="30"/>
    <x v="0"/>
    <x v="0"/>
    <n v="10.1"/>
    <n v="3.4"/>
    <x v="2"/>
    <x v="1"/>
    <n v="4.5"/>
    <n v="9"/>
    <n v="6.7"/>
    <x v="1"/>
    <n v="9"/>
    <n v="4"/>
    <n v="0"/>
    <n v="1"/>
    <n v="0"/>
    <n v="1"/>
    <n v="1"/>
    <x v="1"/>
    <x v="0"/>
    <x v="0"/>
  </r>
  <r>
    <n v="1664"/>
    <n v="49"/>
    <x v="0"/>
    <x v="0"/>
    <n v="4.9000000000000004"/>
    <n v="2"/>
    <x v="1"/>
    <x v="0"/>
    <n v="7.2"/>
    <n v="10"/>
    <n v="8.6"/>
    <x v="0"/>
    <n v="10"/>
    <n v="1"/>
    <n v="0"/>
    <n v="1"/>
    <n v="0"/>
    <n v="1"/>
    <n v="1"/>
    <x v="2"/>
    <x v="0"/>
    <x v="1"/>
  </r>
  <r>
    <n v="1665"/>
    <n v="50"/>
    <x v="0"/>
    <x v="0"/>
    <n v="6.5"/>
    <n v="4.0999999999999996"/>
    <x v="1"/>
    <x v="0"/>
    <n v="7.6"/>
    <n v="1"/>
    <n v="3.5"/>
    <x v="2"/>
    <n v="9"/>
    <n v="1"/>
    <n v="0"/>
    <n v="1"/>
    <n v="0"/>
    <n v="1"/>
    <n v="1"/>
    <x v="2"/>
    <x v="2"/>
    <x v="1"/>
  </r>
  <r>
    <n v="1666"/>
    <n v="40"/>
    <x v="0"/>
    <x v="0"/>
    <n v="9.3000000000000007"/>
    <n v="4.5"/>
    <x v="2"/>
    <x v="1"/>
    <n v="4.5"/>
    <n v="8"/>
    <n v="10.4"/>
    <x v="0"/>
    <n v="9"/>
    <n v="0"/>
    <n v="0"/>
    <n v="1"/>
    <n v="1"/>
    <n v="0"/>
    <n v="0"/>
    <x v="1"/>
    <x v="0"/>
    <x v="0"/>
  </r>
  <r>
    <n v="1667"/>
    <n v="39"/>
    <x v="0"/>
    <x v="1"/>
    <n v="8.9"/>
    <n v="3.8"/>
    <x v="1"/>
    <x v="0"/>
    <n v="3.3"/>
    <n v="1"/>
    <n v="3.5"/>
    <x v="1"/>
    <n v="6"/>
    <n v="2"/>
    <n v="0"/>
    <n v="0"/>
    <n v="0"/>
    <n v="0"/>
    <n v="0"/>
    <x v="1"/>
    <x v="2"/>
    <x v="0"/>
  </r>
  <r>
    <n v="1668"/>
    <n v="27"/>
    <x v="1"/>
    <x v="2"/>
    <n v="11.9"/>
    <n v="5.8"/>
    <x v="2"/>
    <x v="1"/>
    <n v="8.1"/>
    <n v="9"/>
    <n v="10.9"/>
    <x v="0"/>
    <n v="4"/>
    <n v="1"/>
    <n v="0"/>
    <n v="1"/>
    <n v="1"/>
    <n v="1"/>
    <n v="1"/>
    <x v="2"/>
    <x v="0"/>
    <x v="0"/>
  </r>
  <r>
    <n v="1669"/>
    <n v="33"/>
    <x v="0"/>
    <x v="0"/>
    <n v="4.3"/>
    <n v="3.9"/>
    <x v="2"/>
    <x v="1"/>
    <n v="3.1"/>
    <n v="6"/>
    <n v="6.5"/>
    <x v="1"/>
    <n v="2"/>
    <n v="1"/>
    <n v="1"/>
    <n v="0"/>
    <n v="0"/>
    <n v="0"/>
    <n v="1"/>
    <x v="1"/>
    <x v="1"/>
    <x v="1"/>
  </r>
  <r>
    <n v="1670"/>
    <n v="30"/>
    <x v="1"/>
    <x v="0"/>
    <n v="8.6"/>
    <n v="7.7"/>
    <x v="2"/>
    <x v="1"/>
    <n v="8.6"/>
    <n v="1"/>
    <n v="7.5"/>
    <x v="0"/>
    <n v="4"/>
    <n v="3"/>
    <n v="1"/>
    <n v="1"/>
    <n v="0"/>
    <n v="0"/>
    <n v="0"/>
    <x v="2"/>
    <x v="2"/>
    <x v="0"/>
  </r>
  <r>
    <n v="1671"/>
    <n v="59"/>
    <x v="0"/>
    <x v="1"/>
    <n v="8.1"/>
    <n v="5.2"/>
    <x v="2"/>
    <x v="1"/>
    <n v="6.8"/>
    <n v="8"/>
    <n v="11"/>
    <x v="1"/>
    <n v="7"/>
    <n v="3"/>
    <n v="1"/>
    <n v="1"/>
    <n v="0"/>
    <n v="1"/>
    <n v="1"/>
    <x v="0"/>
    <x v="0"/>
    <x v="0"/>
  </r>
  <r>
    <n v="1672"/>
    <n v="31"/>
    <x v="0"/>
    <x v="1"/>
    <n v="11.2"/>
    <n v="6.7"/>
    <x v="2"/>
    <x v="1"/>
    <n v="4.9000000000000004"/>
    <n v="5"/>
    <n v="5"/>
    <x v="0"/>
    <n v="1"/>
    <n v="3"/>
    <n v="0"/>
    <n v="0"/>
    <n v="0"/>
    <n v="1"/>
    <n v="0"/>
    <x v="1"/>
    <x v="1"/>
    <x v="0"/>
  </r>
  <r>
    <n v="1673"/>
    <n v="42"/>
    <x v="0"/>
    <x v="2"/>
    <n v="3.6"/>
    <n v="1.8"/>
    <x v="2"/>
    <x v="1"/>
    <n v="4.5"/>
    <n v="7"/>
    <n v="3.8"/>
    <x v="2"/>
    <n v="9"/>
    <n v="1"/>
    <n v="0"/>
    <n v="0"/>
    <n v="0"/>
    <n v="0"/>
    <n v="1"/>
    <x v="1"/>
    <x v="1"/>
    <x v="2"/>
  </r>
  <r>
    <n v="1674"/>
    <n v="23"/>
    <x v="0"/>
    <x v="1"/>
    <n v="9.5"/>
    <n v="3.8"/>
    <x v="1"/>
    <x v="0"/>
    <n v="3.1"/>
    <n v="7"/>
    <n v="6.5"/>
    <x v="2"/>
    <n v="3"/>
    <n v="4"/>
    <n v="1"/>
    <n v="0"/>
    <n v="1"/>
    <n v="1"/>
    <n v="1"/>
    <x v="1"/>
    <x v="1"/>
    <x v="0"/>
  </r>
  <r>
    <n v="1675"/>
    <n v="40"/>
    <x v="1"/>
    <x v="2"/>
    <n v="7.7"/>
    <n v="3.4"/>
    <x v="1"/>
    <x v="0"/>
    <n v="4.4000000000000004"/>
    <n v="7"/>
    <n v="4.4000000000000004"/>
    <x v="0"/>
    <n v="4"/>
    <n v="2"/>
    <n v="1"/>
    <n v="1"/>
    <n v="0"/>
    <n v="1"/>
    <n v="0"/>
    <x v="1"/>
    <x v="1"/>
    <x v="1"/>
  </r>
  <r>
    <n v="1676"/>
    <n v="32"/>
    <x v="0"/>
    <x v="0"/>
    <n v="4.7"/>
    <n v="5"/>
    <x v="2"/>
    <x v="1"/>
    <n v="3.8"/>
    <n v="6"/>
    <n v="7.3"/>
    <x v="1"/>
    <n v="5"/>
    <n v="1"/>
    <n v="1"/>
    <n v="0"/>
    <n v="1"/>
    <n v="1"/>
    <n v="1"/>
    <x v="1"/>
    <x v="1"/>
    <x v="1"/>
  </r>
  <r>
    <n v="1677"/>
    <n v="44"/>
    <x v="0"/>
    <x v="0"/>
    <n v="6.7"/>
    <n v="7"/>
    <x v="2"/>
    <x v="1"/>
    <n v="6.7"/>
    <n v="8"/>
    <n v="4.8"/>
    <x v="0"/>
    <n v="3"/>
    <n v="0"/>
    <n v="1"/>
    <n v="0"/>
    <n v="1"/>
    <n v="1"/>
    <n v="1"/>
    <x v="0"/>
    <x v="0"/>
    <x v="1"/>
  </r>
  <r>
    <n v="1678"/>
    <n v="23"/>
    <x v="1"/>
    <x v="2"/>
    <n v="5.3"/>
    <n v="1.5"/>
    <x v="2"/>
    <x v="1"/>
    <n v="4"/>
    <n v="9"/>
    <n v="10.6"/>
    <x v="2"/>
    <n v="4"/>
    <n v="4"/>
    <n v="0"/>
    <n v="0"/>
    <n v="1"/>
    <n v="1"/>
    <n v="1"/>
    <x v="1"/>
    <x v="0"/>
    <x v="1"/>
  </r>
  <r>
    <n v="1679"/>
    <n v="30"/>
    <x v="1"/>
    <x v="1"/>
    <n v="7.8"/>
    <n v="1.5"/>
    <x v="1"/>
    <x v="0"/>
    <n v="6.2"/>
    <n v="2"/>
    <n v="8.1"/>
    <x v="1"/>
    <n v="5"/>
    <n v="4"/>
    <n v="1"/>
    <n v="1"/>
    <n v="0"/>
    <n v="0"/>
    <n v="0"/>
    <x v="0"/>
    <x v="2"/>
    <x v="1"/>
  </r>
  <r>
    <n v="1680"/>
    <n v="42"/>
    <x v="0"/>
    <x v="2"/>
    <n v="10.9"/>
    <n v="7"/>
    <x v="2"/>
    <x v="1"/>
    <n v="6.5"/>
    <n v="7"/>
    <n v="2"/>
    <x v="0"/>
    <n v="1"/>
    <n v="2"/>
    <n v="0"/>
    <n v="0"/>
    <n v="0"/>
    <n v="0"/>
    <n v="0"/>
    <x v="0"/>
    <x v="1"/>
    <x v="0"/>
  </r>
  <r>
    <n v="1681"/>
    <n v="22"/>
    <x v="1"/>
    <x v="1"/>
    <n v="7.7"/>
    <n v="2.5"/>
    <x v="2"/>
    <x v="1"/>
    <n v="4.8"/>
    <n v="2"/>
    <n v="10.1"/>
    <x v="0"/>
    <n v="9"/>
    <n v="4"/>
    <n v="1"/>
    <n v="0"/>
    <n v="1"/>
    <n v="0"/>
    <n v="0"/>
    <x v="1"/>
    <x v="2"/>
    <x v="1"/>
  </r>
  <r>
    <n v="1682"/>
    <n v="18"/>
    <x v="1"/>
    <x v="0"/>
    <n v="8.3000000000000007"/>
    <n v="5.7"/>
    <x v="2"/>
    <x v="1"/>
    <n v="3.2"/>
    <n v="6"/>
    <n v="5.3"/>
    <x v="1"/>
    <n v="10"/>
    <n v="2"/>
    <n v="0"/>
    <n v="1"/>
    <n v="1"/>
    <n v="1"/>
    <n v="0"/>
    <x v="1"/>
    <x v="1"/>
    <x v="0"/>
  </r>
  <r>
    <n v="1683"/>
    <n v="44"/>
    <x v="1"/>
    <x v="1"/>
    <n v="7.2"/>
    <n v="4.8"/>
    <x v="1"/>
    <x v="0"/>
    <n v="3.2"/>
    <n v="2"/>
    <n v="5.2"/>
    <x v="0"/>
    <n v="10"/>
    <n v="4"/>
    <n v="0"/>
    <n v="0"/>
    <n v="0"/>
    <n v="0"/>
    <n v="1"/>
    <x v="1"/>
    <x v="2"/>
    <x v="1"/>
  </r>
  <r>
    <n v="1684"/>
    <n v="59"/>
    <x v="0"/>
    <x v="2"/>
    <n v="2.5"/>
    <n v="6.8"/>
    <x v="2"/>
    <x v="1"/>
    <n v="3.2"/>
    <n v="10"/>
    <n v="5.8"/>
    <x v="2"/>
    <n v="4"/>
    <n v="2"/>
    <n v="0"/>
    <n v="0"/>
    <n v="0"/>
    <n v="0"/>
    <n v="1"/>
    <x v="1"/>
    <x v="0"/>
    <x v="2"/>
  </r>
  <r>
    <n v="1685"/>
    <n v="39"/>
    <x v="0"/>
    <x v="2"/>
    <n v="4.3"/>
    <n v="1.9"/>
    <x v="1"/>
    <x v="0"/>
    <n v="7.4"/>
    <n v="6"/>
    <n v="8.3000000000000007"/>
    <x v="2"/>
    <n v="9"/>
    <n v="3"/>
    <n v="0"/>
    <n v="0"/>
    <n v="0"/>
    <n v="0"/>
    <n v="0"/>
    <x v="2"/>
    <x v="1"/>
    <x v="1"/>
  </r>
  <r>
    <n v="1686"/>
    <n v="18"/>
    <x v="0"/>
    <x v="0"/>
    <n v="6.9"/>
    <n v="1.9"/>
    <x v="1"/>
    <x v="0"/>
    <n v="4.9000000000000004"/>
    <n v="2"/>
    <n v="6.4"/>
    <x v="1"/>
    <n v="4"/>
    <n v="3"/>
    <n v="1"/>
    <n v="1"/>
    <n v="1"/>
    <n v="0"/>
    <n v="0"/>
    <x v="1"/>
    <x v="2"/>
    <x v="1"/>
  </r>
  <r>
    <n v="1687"/>
    <n v="35"/>
    <x v="1"/>
    <x v="1"/>
    <n v="5.0999999999999996"/>
    <n v="4.9000000000000004"/>
    <x v="2"/>
    <x v="1"/>
    <n v="7.8"/>
    <n v="1"/>
    <n v="8.3000000000000007"/>
    <x v="0"/>
    <n v="1"/>
    <n v="4"/>
    <n v="0"/>
    <n v="0"/>
    <n v="0"/>
    <n v="1"/>
    <n v="0"/>
    <x v="2"/>
    <x v="2"/>
    <x v="1"/>
  </r>
  <r>
    <n v="1688"/>
    <n v="30"/>
    <x v="0"/>
    <x v="1"/>
    <n v="3.8"/>
    <n v="7.6"/>
    <x v="1"/>
    <x v="0"/>
    <n v="5.6"/>
    <n v="7"/>
    <n v="3.5"/>
    <x v="0"/>
    <n v="5"/>
    <n v="4"/>
    <n v="0"/>
    <n v="0"/>
    <n v="0"/>
    <n v="0"/>
    <n v="1"/>
    <x v="0"/>
    <x v="1"/>
    <x v="2"/>
  </r>
  <r>
    <n v="1689"/>
    <n v="40"/>
    <x v="1"/>
    <x v="1"/>
    <n v="7"/>
    <n v="3.9"/>
    <x v="1"/>
    <x v="0"/>
    <n v="5.7"/>
    <n v="3"/>
    <n v="11.7"/>
    <x v="2"/>
    <n v="9"/>
    <n v="2"/>
    <n v="1"/>
    <n v="0"/>
    <n v="0"/>
    <n v="0"/>
    <n v="0"/>
    <x v="0"/>
    <x v="2"/>
    <x v="1"/>
  </r>
  <r>
    <n v="1690"/>
    <n v="45"/>
    <x v="0"/>
    <x v="0"/>
    <n v="5.2"/>
    <n v="3.3"/>
    <x v="1"/>
    <x v="0"/>
    <n v="6.1"/>
    <n v="4"/>
    <n v="9.3000000000000007"/>
    <x v="1"/>
    <n v="3"/>
    <n v="2"/>
    <n v="1"/>
    <n v="0"/>
    <n v="1"/>
    <n v="0"/>
    <n v="1"/>
    <x v="0"/>
    <x v="1"/>
    <x v="1"/>
  </r>
  <r>
    <n v="1691"/>
    <n v="29"/>
    <x v="0"/>
    <x v="1"/>
    <n v="4.5999999999999996"/>
    <n v="5.2"/>
    <x v="2"/>
    <x v="1"/>
    <n v="7.3"/>
    <n v="6"/>
    <n v="4.5"/>
    <x v="1"/>
    <n v="5"/>
    <n v="1"/>
    <n v="1"/>
    <n v="0"/>
    <n v="0"/>
    <n v="1"/>
    <n v="1"/>
    <x v="2"/>
    <x v="1"/>
    <x v="1"/>
  </r>
  <r>
    <n v="1692"/>
    <n v="22"/>
    <x v="1"/>
    <x v="2"/>
    <n v="6.6"/>
    <n v="7.5"/>
    <x v="1"/>
    <x v="0"/>
    <n v="4.5999999999999996"/>
    <n v="5"/>
    <n v="9.1999999999999993"/>
    <x v="1"/>
    <n v="3"/>
    <n v="3"/>
    <n v="1"/>
    <n v="0"/>
    <n v="1"/>
    <n v="0"/>
    <n v="1"/>
    <x v="1"/>
    <x v="1"/>
    <x v="1"/>
  </r>
  <r>
    <n v="1693"/>
    <n v="32"/>
    <x v="0"/>
    <x v="1"/>
    <n v="3.3"/>
    <n v="6.9"/>
    <x v="2"/>
    <x v="1"/>
    <n v="3.7"/>
    <n v="4"/>
    <n v="7.8"/>
    <x v="2"/>
    <n v="3"/>
    <n v="1"/>
    <n v="0"/>
    <n v="0"/>
    <n v="1"/>
    <n v="1"/>
    <n v="1"/>
    <x v="1"/>
    <x v="1"/>
    <x v="2"/>
  </r>
  <r>
    <n v="1694"/>
    <n v="59"/>
    <x v="1"/>
    <x v="0"/>
    <n v="11.3"/>
    <n v="8"/>
    <x v="2"/>
    <x v="1"/>
    <n v="6.3"/>
    <n v="9"/>
    <n v="3.1"/>
    <x v="2"/>
    <n v="1"/>
    <n v="1"/>
    <n v="1"/>
    <n v="1"/>
    <n v="1"/>
    <n v="1"/>
    <n v="1"/>
    <x v="0"/>
    <x v="0"/>
    <x v="0"/>
  </r>
  <r>
    <n v="1695"/>
    <n v="35"/>
    <x v="1"/>
    <x v="1"/>
    <n v="10.7"/>
    <n v="1.2"/>
    <x v="2"/>
    <x v="1"/>
    <n v="5"/>
    <n v="6"/>
    <n v="3.8"/>
    <x v="1"/>
    <n v="2"/>
    <n v="0"/>
    <n v="0"/>
    <n v="1"/>
    <n v="1"/>
    <n v="1"/>
    <n v="1"/>
    <x v="0"/>
    <x v="1"/>
    <x v="0"/>
  </r>
  <r>
    <n v="1696"/>
    <n v="51"/>
    <x v="0"/>
    <x v="1"/>
    <n v="9.1"/>
    <n v="1.8"/>
    <x v="1"/>
    <x v="0"/>
    <n v="5.7"/>
    <n v="6"/>
    <n v="2.4"/>
    <x v="1"/>
    <n v="2"/>
    <n v="2"/>
    <n v="1"/>
    <n v="1"/>
    <n v="0"/>
    <n v="1"/>
    <n v="0"/>
    <x v="0"/>
    <x v="1"/>
    <x v="0"/>
  </r>
  <r>
    <n v="1697"/>
    <n v="24"/>
    <x v="1"/>
    <x v="2"/>
    <n v="3.1"/>
    <n v="5.3"/>
    <x v="2"/>
    <x v="1"/>
    <n v="6.9"/>
    <n v="2"/>
    <n v="10.1"/>
    <x v="0"/>
    <n v="9"/>
    <n v="0"/>
    <n v="0"/>
    <n v="0"/>
    <n v="1"/>
    <n v="0"/>
    <n v="1"/>
    <x v="0"/>
    <x v="2"/>
    <x v="2"/>
  </r>
  <r>
    <n v="1698"/>
    <n v="53"/>
    <x v="0"/>
    <x v="1"/>
    <n v="9.8000000000000007"/>
    <n v="6.7"/>
    <x v="1"/>
    <x v="0"/>
    <n v="6"/>
    <n v="6"/>
    <n v="7.5"/>
    <x v="0"/>
    <n v="7"/>
    <n v="0"/>
    <n v="1"/>
    <n v="1"/>
    <n v="1"/>
    <n v="1"/>
    <n v="0"/>
    <x v="0"/>
    <x v="1"/>
    <x v="0"/>
  </r>
  <r>
    <n v="1699"/>
    <n v="37"/>
    <x v="0"/>
    <x v="2"/>
    <n v="10.1"/>
    <n v="3"/>
    <x v="1"/>
    <x v="0"/>
    <n v="6.7"/>
    <n v="7"/>
    <n v="5.2"/>
    <x v="1"/>
    <n v="8"/>
    <n v="1"/>
    <n v="1"/>
    <n v="0"/>
    <n v="1"/>
    <n v="1"/>
    <n v="0"/>
    <x v="0"/>
    <x v="1"/>
    <x v="0"/>
  </r>
  <r>
    <n v="1700"/>
    <n v="17"/>
    <x v="1"/>
    <x v="2"/>
    <n v="9.6999999999999993"/>
    <n v="2.7"/>
    <x v="1"/>
    <x v="0"/>
    <n v="6.3"/>
    <n v="8"/>
    <n v="3.3"/>
    <x v="2"/>
    <n v="2"/>
    <n v="0"/>
    <n v="1"/>
    <n v="0"/>
    <n v="1"/>
    <n v="1"/>
    <n v="1"/>
    <x v="0"/>
    <x v="0"/>
    <x v="0"/>
  </r>
  <r>
    <n v="1701"/>
    <n v="39"/>
    <x v="0"/>
    <x v="0"/>
    <n v="3.1"/>
    <n v="6.5"/>
    <x v="1"/>
    <x v="0"/>
    <n v="7.4"/>
    <n v="8"/>
    <n v="6.8"/>
    <x v="2"/>
    <n v="9"/>
    <n v="2"/>
    <n v="1"/>
    <n v="0"/>
    <n v="1"/>
    <n v="1"/>
    <n v="1"/>
    <x v="2"/>
    <x v="0"/>
    <x v="2"/>
  </r>
  <r>
    <n v="1702"/>
    <n v="23"/>
    <x v="1"/>
    <x v="2"/>
    <n v="8.4"/>
    <n v="1.4"/>
    <x v="2"/>
    <x v="1"/>
    <n v="7.2"/>
    <n v="9"/>
    <n v="7.3"/>
    <x v="0"/>
    <n v="3"/>
    <n v="1"/>
    <n v="0"/>
    <n v="1"/>
    <n v="1"/>
    <n v="1"/>
    <n v="0"/>
    <x v="2"/>
    <x v="0"/>
    <x v="0"/>
  </r>
  <r>
    <n v="1703"/>
    <n v="26"/>
    <x v="0"/>
    <x v="2"/>
    <n v="10.3"/>
    <n v="3.6"/>
    <x v="2"/>
    <x v="1"/>
    <n v="6.2"/>
    <n v="10"/>
    <n v="9"/>
    <x v="1"/>
    <n v="10"/>
    <n v="2"/>
    <n v="1"/>
    <n v="1"/>
    <n v="1"/>
    <n v="1"/>
    <n v="1"/>
    <x v="0"/>
    <x v="0"/>
    <x v="0"/>
  </r>
  <r>
    <n v="1704"/>
    <n v="28"/>
    <x v="0"/>
    <x v="0"/>
    <n v="7.8"/>
    <n v="4.5"/>
    <x v="1"/>
    <x v="0"/>
    <n v="7.1"/>
    <n v="3"/>
    <n v="11.7"/>
    <x v="2"/>
    <n v="2"/>
    <n v="4"/>
    <n v="0"/>
    <n v="0"/>
    <n v="0"/>
    <n v="1"/>
    <n v="1"/>
    <x v="2"/>
    <x v="2"/>
    <x v="1"/>
  </r>
  <r>
    <n v="1705"/>
    <n v="32"/>
    <x v="0"/>
    <x v="2"/>
    <n v="8.5"/>
    <n v="4.9000000000000004"/>
    <x v="2"/>
    <x v="1"/>
    <n v="8.1999999999999993"/>
    <n v="10"/>
    <n v="6.3"/>
    <x v="2"/>
    <n v="1"/>
    <n v="0"/>
    <n v="0"/>
    <n v="0"/>
    <n v="0"/>
    <n v="1"/>
    <n v="1"/>
    <x v="2"/>
    <x v="0"/>
    <x v="0"/>
  </r>
  <r>
    <n v="1706"/>
    <n v="23"/>
    <x v="0"/>
    <x v="0"/>
    <n v="6.6"/>
    <n v="6.1"/>
    <x v="2"/>
    <x v="1"/>
    <n v="5.6"/>
    <n v="7"/>
    <n v="6.1"/>
    <x v="2"/>
    <n v="9"/>
    <n v="1"/>
    <n v="1"/>
    <n v="1"/>
    <n v="0"/>
    <n v="1"/>
    <n v="1"/>
    <x v="0"/>
    <x v="1"/>
    <x v="1"/>
  </r>
  <r>
    <n v="1707"/>
    <n v="36"/>
    <x v="0"/>
    <x v="1"/>
    <n v="7.3"/>
    <n v="3.5"/>
    <x v="2"/>
    <x v="1"/>
    <n v="5.5"/>
    <n v="7"/>
    <n v="5.7"/>
    <x v="2"/>
    <n v="8"/>
    <n v="3"/>
    <n v="1"/>
    <n v="1"/>
    <n v="0"/>
    <n v="1"/>
    <n v="0"/>
    <x v="0"/>
    <x v="1"/>
    <x v="1"/>
  </r>
  <r>
    <n v="1708"/>
    <n v="33"/>
    <x v="1"/>
    <x v="0"/>
    <n v="2.2999999999999998"/>
    <n v="5.3"/>
    <x v="1"/>
    <x v="0"/>
    <n v="7.6"/>
    <n v="1"/>
    <n v="10.3"/>
    <x v="0"/>
    <n v="4"/>
    <n v="2"/>
    <n v="0"/>
    <n v="1"/>
    <n v="0"/>
    <n v="0"/>
    <n v="0"/>
    <x v="2"/>
    <x v="2"/>
    <x v="2"/>
  </r>
  <r>
    <n v="1709"/>
    <n v="45"/>
    <x v="1"/>
    <x v="2"/>
    <n v="8.4"/>
    <n v="5.0999999999999996"/>
    <x v="2"/>
    <x v="1"/>
    <n v="6.5"/>
    <n v="8"/>
    <n v="3.6"/>
    <x v="2"/>
    <n v="7"/>
    <n v="0"/>
    <n v="0"/>
    <n v="1"/>
    <n v="0"/>
    <n v="1"/>
    <n v="1"/>
    <x v="0"/>
    <x v="0"/>
    <x v="0"/>
  </r>
  <r>
    <n v="1710"/>
    <n v="33"/>
    <x v="1"/>
    <x v="0"/>
    <n v="2.8"/>
    <n v="4.8"/>
    <x v="1"/>
    <x v="0"/>
    <n v="3.4"/>
    <n v="4"/>
    <n v="5.4"/>
    <x v="2"/>
    <n v="3"/>
    <n v="2"/>
    <n v="0"/>
    <n v="1"/>
    <n v="1"/>
    <n v="0"/>
    <n v="0"/>
    <x v="1"/>
    <x v="1"/>
    <x v="2"/>
  </r>
  <r>
    <n v="1711"/>
    <n v="46"/>
    <x v="1"/>
    <x v="2"/>
    <n v="6.4"/>
    <n v="5.5"/>
    <x v="2"/>
    <x v="1"/>
    <n v="8.4"/>
    <n v="5"/>
    <n v="9.1999999999999993"/>
    <x v="1"/>
    <n v="3"/>
    <n v="2"/>
    <n v="0"/>
    <n v="1"/>
    <n v="1"/>
    <n v="1"/>
    <n v="1"/>
    <x v="2"/>
    <x v="1"/>
    <x v="1"/>
  </r>
  <r>
    <n v="1712"/>
    <n v="53"/>
    <x v="1"/>
    <x v="1"/>
    <n v="4.9000000000000004"/>
    <n v="2.8"/>
    <x v="1"/>
    <x v="0"/>
    <n v="3.2"/>
    <n v="6"/>
    <n v="2.2000000000000002"/>
    <x v="1"/>
    <n v="4"/>
    <n v="4"/>
    <n v="0"/>
    <n v="1"/>
    <n v="0"/>
    <n v="0"/>
    <n v="0"/>
    <x v="1"/>
    <x v="1"/>
    <x v="1"/>
  </r>
  <r>
    <n v="1713"/>
    <n v="47"/>
    <x v="1"/>
    <x v="0"/>
    <n v="7.5"/>
    <n v="1.6"/>
    <x v="1"/>
    <x v="0"/>
    <n v="7.5"/>
    <n v="3"/>
    <n v="4.9000000000000004"/>
    <x v="0"/>
    <n v="2"/>
    <n v="2"/>
    <n v="1"/>
    <n v="0"/>
    <n v="0"/>
    <n v="1"/>
    <n v="0"/>
    <x v="2"/>
    <x v="2"/>
    <x v="1"/>
  </r>
  <r>
    <n v="1714"/>
    <n v="26"/>
    <x v="0"/>
    <x v="1"/>
    <n v="3.3"/>
    <n v="1.8"/>
    <x v="1"/>
    <x v="0"/>
    <n v="7.6"/>
    <n v="5"/>
    <n v="8.4"/>
    <x v="0"/>
    <n v="10"/>
    <n v="4"/>
    <n v="1"/>
    <n v="0"/>
    <n v="0"/>
    <n v="0"/>
    <n v="0"/>
    <x v="2"/>
    <x v="1"/>
    <x v="2"/>
  </r>
  <r>
    <n v="1715"/>
    <n v="40"/>
    <x v="0"/>
    <x v="2"/>
    <n v="8.9"/>
    <n v="2.6"/>
    <x v="2"/>
    <x v="1"/>
    <n v="8.6999999999999993"/>
    <n v="10"/>
    <n v="3.9"/>
    <x v="0"/>
    <n v="4"/>
    <n v="4"/>
    <n v="0"/>
    <n v="1"/>
    <n v="1"/>
    <n v="1"/>
    <n v="1"/>
    <x v="2"/>
    <x v="0"/>
    <x v="0"/>
  </r>
  <r>
    <n v="1716"/>
    <n v="48"/>
    <x v="1"/>
    <x v="2"/>
    <n v="10"/>
    <n v="4.5"/>
    <x v="1"/>
    <x v="0"/>
    <n v="3.3"/>
    <n v="5"/>
    <n v="5"/>
    <x v="0"/>
    <n v="10"/>
    <n v="4"/>
    <n v="1"/>
    <n v="1"/>
    <n v="1"/>
    <n v="0"/>
    <n v="0"/>
    <x v="1"/>
    <x v="1"/>
    <x v="0"/>
  </r>
  <r>
    <n v="1717"/>
    <n v="53"/>
    <x v="1"/>
    <x v="1"/>
    <n v="3.6"/>
    <n v="6.9"/>
    <x v="2"/>
    <x v="1"/>
    <n v="6.6"/>
    <n v="1"/>
    <n v="6.9"/>
    <x v="2"/>
    <n v="3"/>
    <n v="0"/>
    <n v="0"/>
    <n v="0"/>
    <n v="0"/>
    <n v="0"/>
    <n v="1"/>
    <x v="0"/>
    <x v="2"/>
    <x v="2"/>
  </r>
  <r>
    <n v="1718"/>
    <n v="56"/>
    <x v="0"/>
    <x v="0"/>
    <n v="3"/>
    <n v="5.9"/>
    <x v="1"/>
    <x v="0"/>
    <n v="5.6"/>
    <n v="3"/>
    <n v="6.2"/>
    <x v="1"/>
    <n v="8"/>
    <n v="2"/>
    <n v="1"/>
    <n v="1"/>
    <n v="1"/>
    <n v="0"/>
    <n v="1"/>
    <x v="0"/>
    <x v="2"/>
    <x v="2"/>
  </r>
  <r>
    <n v="1719"/>
    <n v="23"/>
    <x v="0"/>
    <x v="0"/>
    <n v="3.5"/>
    <n v="6.5"/>
    <x v="2"/>
    <x v="1"/>
    <n v="5"/>
    <n v="3"/>
    <n v="3.1"/>
    <x v="2"/>
    <n v="2"/>
    <n v="2"/>
    <n v="0"/>
    <n v="0"/>
    <n v="0"/>
    <n v="0"/>
    <n v="0"/>
    <x v="0"/>
    <x v="2"/>
    <x v="2"/>
  </r>
  <r>
    <n v="1720"/>
    <n v="26"/>
    <x v="0"/>
    <x v="2"/>
    <n v="10.8"/>
    <n v="3.5"/>
    <x v="1"/>
    <x v="0"/>
    <n v="3.5"/>
    <n v="1"/>
    <n v="11.4"/>
    <x v="2"/>
    <n v="9"/>
    <n v="4"/>
    <n v="1"/>
    <n v="0"/>
    <n v="1"/>
    <n v="0"/>
    <n v="0"/>
    <x v="1"/>
    <x v="2"/>
    <x v="0"/>
  </r>
  <r>
    <n v="1721"/>
    <n v="37"/>
    <x v="1"/>
    <x v="1"/>
    <n v="7.3"/>
    <n v="3.8"/>
    <x v="2"/>
    <x v="1"/>
    <n v="6.4"/>
    <n v="7"/>
    <n v="2.4"/>
    <x v="2"/>
    <n v="3"/>
    <n v="2"/>
    <n v="1"/>
    <n v="1"/>
    <n v="1"/>
    <n v="0"/>
    <n v="1"/>
    <x v="0"/>
    <x v="1"/>
    <x v="1"/>
  </r>
  <r>
    <n v="1722"/>
    <n v="39"/>
    <x v="1"/>
    <x v="1"/>
    <n v="6.7"/>
    <n v="3.8"/>
    <x v="1"/>
    <x v="0"/>
    <n v="5.9"/>
    <n v="1"/>
    <n v="9.5"/>
    <x v="1"/>
    <n v="4"/>
    <n v="2"/>
    <n v="0"/>
    <n v="0"/>
    <n v="1"/>
    <n v="0"/>
    <n v="1"/>
    <x v="0"/>
    <x v="2"/>
    <x v="1"/>
  </r>
  <r>
    <n v="1723"/>
    <n v="56"/>
    <x v="1"/>
    <x v="0"/>
    <n v="3.1"/>
    <n v="2.2999999999999998"/>
    <x v="1"/>
    <x v="0"/>
    <n v="3.6"/>
    <n v="7"/>
    <n v="2.7"/>
    <x v="0"/>
    <n v="10"/>
    <n v="4"/>
    <n v="1"/>
    <n v="1"/>
    <n v="1"/>
    <n v="0"/>
    <n v="1"/>
    <x v="1"/>
    <x v="1"/>
    <x v="2"/>
  </r>
  <r>
    <n v="1724"/>
    <n v="32"/>
    <x v="0"/>
    <x v="0"/>
    <n v="8.5"/>
    <n v="1.4"/>
    <x v="1"/>
    <x v="0"/>
    <n v="6.7"/>
    <n v="4"/>
    <n v="6.7"/>
    <x v="0"/>
    <n v="10"/>
    <n v="3"/>
    <n v="0"/>
    <n v="1"/>
    <n v="1"/>
    <n v="1"/>
    <n v="1"/>
    <x v="0"/>
    <x v="1"/>
    <x v="0"/>
  </r>
  <r>
    <n v="1725"/>
    <n v="27"/>
    <x v="0"/>
    <x v="0"/>
    <n v="10.7"/>
    <n v="5.0999999999999996"/>
    <x v="2"/>
    <x v="1"/>
    <n v="7.4"/>
    <n v="9"/>
    <n v="3.8"/>
    <x v="1"/>
    <n v="3"/>
    <n v="3"/>
    <n v="0"/>
    <n v="0"/>
    <n v="1"/>
    <n v="1"/>
    <n v="1"/>
    <x v="2"/>
    <x v="0"/>
    <x v="0"/>
  </r>
  <r>
    <n v="1726"/>
    <n v="47"/>
    <x v="1"/>
    <x v="1"/>
    <n v="10.3"/>
    <n v="7.9"/>
    <x v="1"/>
    <x v="0"/>
    <n v="7.6"/>
    <n v="7"/>
    <n v="3.4"/>
    <x v="1"/>
    <n v="3"/>
    <n v="4"/>
    <n v="1"/>
    <n v="0"/>
    <n v="1"/>
    <n v="1"/>
    <n v="0"/>
    <x v="2"/>
    <x v="1"/>
    <x v="0"/>
  </r>
  <r>
    <n v="1727"/>
    <n v="30"/>
    <x v="1"/>
    <x v="0"/>
    <n v="8.3000000000000007"/>
    <n v="2.2000000000000002"/>
    <x v="1"/>
    <x v="0"/>
    <n v="8.4"/>
    <n v="5"/>
    <n v="3.3"/>
    <x v="0"/>
    <n v="8"/>
    <n v="0"/>
    <n v="0"/>
    <n v="0"/>
    <n v="0"/>
    <n v="1"/>
    <n v="0"/>
    <x v="2"/>
    <x v="1"/>
    <x v="0"/>
  </r>
  <r>
    <n v="1728"/>
    <n v="31"/>
    <x v="0"/>
    <x v="0"/>
    <n v="2.8"/>
    <n v="1.3"/>
    <x v="1"/>
    <x v="0"/>
    <n v="5.5"/>
    <n v="7"/>
    <n v="6.5"/>
    <x v="2"/>
    <n v="8"/>
    <n v="2"/>
    <n v="1"/>
    <n v="1"/>
    <n v="1"/>
    <n v="1"/>
    <n v="1"/>
    <x v="0"/>
    <x v="1"/>
    <x v="2"/>
  </r>
  <r>
    <n v="1729"/>
    <n v="37"/>
    <x v="0"/>
    <x v="2"/>
    <n v="3.1"/>
    <n v="6.5"/>
    <x v="1"/>
    <x v="0"/>
    <n v="8.6999999999999993"/>
    <n v="9"/>
    <n v="7.2"/>
    <x v="0"/>
    <n v="6"/>
    <n v="2"/>
    <n v="1"/>
    <n v="1"/>
    <n v="0"/>
    <n v="1"/>
    <n v="0"/>
    <x v="2"/>
    <x v="0"/>
    <x v="2"/>
  </r>
  <r>
    <n v="1730"/>
    <n v="43"/>
    <x v="0"/>
    <x v="0"/>
    <n v="2.5"/>
    <n v="2.8"/>
    <x v="2"/>
    <x v="1"/>
    <n v="8.1999999999999993"/>
    <n v="10"/>
    <n v="3.3"/>
    <x v="1"/>
    <n v="4"/>
    <n v="3"/>
    <n v="0"/>
    <n v="1"/>
    <n v="0"/>
    <n v="0"/>
    <n v="0"/>
    <x v="2"/>
    <x v="0"/>
    <x v="2"/>
  </r>
  <r>
    <n v="1731"/>
    <n v="35"/>
    <x v="0"/>
    <x v="0"/>
    <n v="4.5999999999999996"/>
    <n v="6.8"/>
    <x v="1"/>
    <x v="0"/>
    <n v="4.8"/>
    <n v="6"/>
    <n v="11.8"/>
    <x v="0"/>
    <n v="1"/>
    <n v="4"/>
    <n v="1"/>
    <n v="1"/>
    <n v="1"/>
    <n v="1"/>
    <n v="0"/>
    <x v="1"/>
    <x v="1"/>
    <x v="1"/>
  </r>
  <r>
    <n v="1732"/>
    <n v="48"/>
    <x v="1"/>
    <x v="1"/>
    <n v="3.4"/>
    <n v="5.9"/>
    <x v="1"/>
    <x v="0"/>
    <n v="4"/>
    <n v="1"/>
    <n v="4.5999999999999996"/>
    <x v="0"/>
    <n v="4"/>
    <n v="0"/>
    <n v="0"/>
    <n v="1"/>
    <n v="0"/>
    <n v="0"/>
    <n v="0"/>
    <x v="1"/>
    <x v="2"/>
    <x v="2"/>
  </r>
  <r>
    <n v="1733"/>
    <n v="25"/>
    <x v="0"/>
    <x v="1"/>
    <n v="4.5999999999999996"/>
    <n v="7.6"/>
    <x v="2"/>
    <x v="1"/>
    <n v="5.6"/>
    <n v="6"/>
    <n v="6.6"/>
    <x v="0"/>
    <n v="8"/>
    <n v="4"/>
    <n v="0"/>
    <n v="1"/>
    <n v="1"/>
    <n v="1"/>
    <n v="1"/>
    <x v="0"/>
    <x v="1"/>
    <x v="1"/>
  </r>
  <r>
    <n v="1734"/>
    <n v="55"/>
    <x v="0"/>
    <x v="2"/>
    <n v="5.9"/>
    <n v="3.9"/>
    <x v="2"/>
    <x v="1"/>
    <n v="5.4"/>
    <n v="1"/>
    <n v="4.2"/>
    <x v="1"/>
    <n v="6"/>
    <n v="3"/>
    <n v="1"/>
    <n v="1"/>
    <n v="0"/>
    <n v="0"/>
    <n v="0"/>
    <x v="0"/>
    <x v="2"/>
    <x v="1"/>
  </r>
  <r>
    <n v="1735"/>
    <n v="47"/>
    <x v="0"/>
    <x v="0"/>
    <n v="11.4"/>
    <n v="5.6"/>
    <x v="2"/>
    <x v="1"/>
    <n v="6.5"/>
    <n v="4"/>
    <n v="6.9"/>
    <x v="1"/>
    <n v="2"/>
    <n v="3"/>
    <n v="0"/>
    <n v="0"/>
    <n v="1"/>
    <n v="1"/>
    <n v="1"/>
    <x v="0"/>
    <x v="1"/>
    <x v="0"/>
  </r>
  <r>
    <n v="1736"/>
    <n v="48"/>
    <x v="1"/>
    <x v="2"/>
    <n v="8.1"/>
    <n v="4.3"/>
    <x v="1"/>
    <x v="0"/>
    <n v="6.5"/>
    <n v="8"/>
    <n v="9.6"/>
    <x v="0"/>
    <n v="3"/>
    <n v="2"/>
    <n v="1"/>
    <n v="1"/>
    <n v="1"/>
    <n v="1"/>
    <n v="0"/>
    <x v="0"/>
    <x v="0"/>
    <x v="0"/>
  </r>
  <r>
    <n v="1737"/>
    <n v="17"/>
    <x v="1"/>
    <x v="1"/>
    <n v="10.3"/>
    <n v="5.4"/>
    <x v="2"/>
    <x v="1"/>
    <n v="7.5"/>
    <n v="5"/>
    <n v="7.2"/>
    <x v="0"/>
    <n v="7"/>
    <n v="1"/>
    <n v="1"/>
    <n v="0"/>
    <n v="0"/>
    <n v="0"/>
    <n v="0"/>
    <x v="2"/>
    <x v="1"/>
    <x v="0"/>
  </r>
  <r>
    <n v="1738"/>
    <n v="48"/>
    <x v="0"/>
    <x v="2"/>
    <n v="9.1"/>
    <n v="4.0999999999999996"/>
    <x v="2"/>
    <x v="1"/>
    <n v="6.1"/>
    <n v="5"/>
    <n v="4.9000000000000004"/>
    <x v="2"/>
    <n v="4"/>
    <n v="0"/>
    <n v="0"/>
    <n v="0"/>
    <n v="1"/>
    <n v="1"/>
    <n v="0"/>
    <x v="0"/>
    <x v="1"/>
    <x v="0"/>
  </r>
  <r>
    <n v="1739"/>
    <n v="48"/>
    <x v="0"/>
    <x v="1"/>
    <n v="3.1"/>
    <n v="2.2999999999999998"/>
    <x v="2"/>
    <x v="1"/>
    <n v="3.6"/>
    <n v="10"/>
    <n v="4.5"/>
    <x v="2"/>
    <n v="4"/>
    <n v="0"/>
    <n v="1"/>
    <n v="1"/>
    <n v="0"/>
    <n v="0"/>
    <n v="0"/>
    <x v="1"/>
    <x v="0"/>
    <x v="2"/>
  </r>
  <r>
    <n v="1740"/>
    <n v="56"/>
    <x v="0"/>
    <x v="2"/>
    <n v="9.4"/>
    <n v="4.5999999999999996"/>
    <x v="1"/>
    <x v="0"/>
    <n v="8.1"/>
    <n v="8"/>
    <n v="9.6"/>
    <x v="0"/>
    <n v="5"/>
    <n v="1"/>
    <n v="0"/>
    <n v="0"/>
    <n v="0"/>
    <n v="0"/>
    <n v="1"/>
    <x v="2"/>
    <x v="0"/>
    <x v="0"/>
  </r>
  <r>
    <n v="1741"/>
    <n v="28"/>
    <x v="1"/>
    <x v="2"/>
    <n v="4.8"/>
    <n v="4.7"/>
    <x v="1"/>
    <x v="0"/>
    <n v="4.9000000000000004"/>
    <n v="8"/>
    <n v="3.2"/>
    <x v="1"/>
    <n v="8"/>
    <n v="3"/>
    <n v="0"/>
    <n v="0"/>
    <n v="1"/>
    <n v="1"/>
    <n v="1"/>
    <x v="1"/>
    <x v="0"/>
    <x v="1"/>
  </r>
  <r>
    <n v="1742"/>
    <n v="45"/>
    <x v="1"/>
    <x v="0"/>
    <n v="8.4"/>
    <n v="6.7"/>
    <x v="1"/>
    <x v="0"/>
    <n v="8.8000000000000007"/>
    <n v="1"/>
    <n v="5.7"/>
    <x v="2"/>
    <n v="7"/>
    <n v="4"/>
    <n v="0"/>
    <n v="0"/>
    <n v="0"/>
    <n v="0"/>
    <n v="0"/>
    <x v="2"/>
    <x v="2"/>
    <x v="0"/>
  </r>
  <r>
    <n v="1743"/>
    <n v="48"/>
    <x v="1"/>
    <x v="2"/>
    <n v="5.4"/>
    <n v="6.1"/>
    <x v="2"/>
    <x v="1"/>
    <n v="3.7"/>
    <n v="5"/>
    <n v="3.5"/>
    <x v="0"/>
    <n v="9"/>
    <n v="0"/>
    <n v="0"/>
    <n v="1"/>
    <n v="0"/>
    <n v="0"/>
    <n v="0"/>
    <x v="1"/>
    <x v="1"/>
    <x v="1"/>
  </r>
  <r>
    <n v="1744"/>
    <n v="28"/>
    <x v="0"/>
    <x v="0"/>
    <n v="12"/>
    <n v="5.6"/>
    <x v="1"/>
    <x v="0"/>
    <n v="8.6999999999999993"/>
    <n v="5"/>
    <n v="4.5999999999999996"/>
    <x v="2"/>
    <n v="5"/>
    <n v="1"/>
    <n v="1"/>
    <n v="0"/>
    <n v="0"/>
    <n v="1"/>
    <n v="1"/>
    <x v="2"/>
    <x v="1"/>
    <x v="0"/>
  </r>
  <r>
    <n v="1745"/>
    <n v="41"/>
    <x v="1"/>
    <x v="0"/>
    <n v="4.5999999999999996"/>
    <n v="1.8"/>
    <x v="2"/>
    <x v="1"/>
    <n v="3.5"/>
    <n v="8"/>
    <n v="3.5"/>
    <x v="2"/>
    <n v="1"/>
    <n v="2"/>
    <n v="0"/>
    <n v="1"/>
    <n v="0"/>
    <n v="1"/>
    <n v="0"/>
    <x v="1"/>
    <x v="0"/>
    <x v="1"/>
  </r>
  <r>
    <n v="1746"/>
    <n v="37"/>
    <x v="0"/>
    <x v="0"/>
    <n v="4.8"/>
    <n v="6"/>
    <x v="2"/>
    <x v="1"/>
    <n v="4.4000000000000004"/>
    <n v="1"/>
    <n v="10.9"/>
    <x v="2"/>
    <n v="4"/>
    <n v="2"/>
    <n v="0"/>
    <n v="1"/>
    <n v="1"/>
    <n v="0"/>
    <n v="1"/>
    <x v="1"/>
    <x v="2"/>
    <x v="1"/>
  </r>
  <r>
    <n v="1747"/>
    <n v="54"/>
    <x v="0"/>
    <x v="0"/>
    <n v="11.3"/>
    <n v="4.5"/>
    <x v="2"/>
    <x v="1"/>
    <n v="3.3"/>
    <n v="7"/>
    <n v="9.3000000000000007"/>
    <x v="1"/>
    <n v="6"/>
    <n v="3"/>
    <n v="0"/>
    <n v="1"/>
    <n v="1"/>
    <n v="0"/>
    <n v="1"/>
    <x v="1"/>
    <x v="1"/>
    <x v="0"/>
  </r>
  <r>
    <n v="1748"/>
    <n v="17"/>
    <x v="0"/>
    <x v="2"/>
    <n v="2.2000000000000002"/>
    <n v="7.3"/>
    <x v="1"/>
    <x v="0"/>
    <n v="7.2"/>
    <n v="7"/>
    <n v="7.6"/>
    <x v="0"/>
    <n v="6"/>
    <n v="0"/>
    <n v="1"/>
    <n v="0"/>
    <n v="1"/>
    <n v="1"/>
    <n v="0"/>
    <x v="2"/>
    <x v="1"/>
    <x v="2"/>
  </r>
  <r>
    <n v="1749"/>
    <n v="53"/>
    <x v="1"/>
    <x v="1"/>
    <n v="9"/>
    <n v="7.4"/>
    <x v="2"/>
    <x v="1"/>
    <n v="8.1"/>
    <n v="9"/>
    <n v="4.2"/>
    <x v="1"/>
    <n v="9"/>
    <n v="4"/>
    <n v="1"/>
    <n v="0"/>
    <n v="0"/>
    <n v="1"/>
    <n v="1"/>
    <x v="2"/>
    <x v="0"/>
    <x v="0"/>
  </r>
  <r>
    <n v="1750"/>
    <n v="54"/>
    <x v="0"/>
    <x v="1"/>
    <n v="9.3000000000000007"/>
    <n v="1.4"/>
    <x v="2"/>
    <x v="1"/>
    <n v="5.6"/>
    <n v="2"/>
    <n v="7.1"/>
    <x v="1"/>
    <n v="10"/>
    <n v="0"/>
    <n v="0"/>
    <n v="1"/>
    <n v="1"/>
    <n v="1"/>
    <n v="1"/>
    <x v="0"/>
    <x v="2"/>
    <x v="0"/>
  </r>
  <r>
    <n v="1751"/>
    <n v="41"/>
    <x v="1"/>
    <x v="1"/>
    <n v="10.4"/>
    <n v="6.7"/>
    <x v="1"/>
    <x v="0"/>
    <n v="8.6"/>
    <n v="3"/>
    <n v="7.2"/>
    <x v="2"/>
    <n v="5"/>
    <n v="2"/>
    <n v="1"/>
    <n v="1"/>
    <n v="1"/>
    <n v="0"/>
    <n v="1"/>
    <x v="2"/>
    <x v="2"/>
    <x v="0"/>
  </r>
  <r>
    <n v="1752"/>
    <n v="30"/>
    <x v="1"/>
    <x v="2"/>
    <n v="11.7"/>
    <n v="1.3"/>
    <x v="2"/>
    <x v="1"/>
    <n v="6.5"/>
    <n v="4"/>
    <n v="7.9"/>
    <x v="0"/>
    <n v="5"/>
    <n v="0"/>
    <n v="1"/>
    <n v="1"/>
    <n v="1"/>
    <n v="0"/>
    <n v="0"/>
    <x v="0"/>
    <x v="1"/>
    <x v="0"/>
  </r>
  <r>
    <n v="1753"/>
    <n v="49"/>
    <x v="0"/>
    <x v="0"/>
    <n v="11.8"/>
    <n v="3.6"/>
    <x v="2"/>
    <x v="1"/>
    <n v="6.8"/>
    <n v="1"/>
    <n v="2.6"/>
    <x v="2"/>
    <n v="6"/>
    <n v="2"/>
    <n v="0"/>
    <n v="0"/>
    <n v="1"/>
    <n v="0"/>
    <n v="0"/>
    <x v="0"/>
    <x v="2"/>
    <x v="0"/>
  </r>
  <r>
    <n v="1754"/>
    <n v="57"/>
    <x v="0"/>
    <x v="1"/>
    <n v="2.7"/>
    <n v="4.8"/>
    <x v="2"/>
    <x v="1"/>
    <n v="8.1"/>
    <n v="7"/>
    <n v="11.7"/>
    <x v="1"/>
    <n v="6"/>
    <n v="1"/>
    <n v="0"/>
    <n v="0"/>
    <n v="1"/>
    <n v="0"/>
    <n v="1"/>
    <x v="2"/>
    <x v="1"/>
    <x v="2"/>
  </r>
  <r>
    <n v="1755"/>
    <n v="59"/>
    <x v="1"/>
    <x v="2"/>
    <n v="10.199999999999999"/>
    <n v="2"/>
    <x v="1"/>
    <x v="0"/>
    <n v="4.8"/>
    <n v="10"/>
    <n v="6.7"/>
    <x v="1"/>
    <n v="3"/>
    <n v="1"/>
    <n v="1"/>
    <n v="0"/>
    <n v="1"/>
    <n v="0"/>
    <n v="1"/>
    <x v="1"/>
    <x v="0"/>
    <x v="0"/>
  </r>
  <r>
    <n v="1756"/>
    <n v="55"/>
    <x v="0"/>
    <x v="0"/>
    <n v="8.5"/>
    <n v="6.2"/>
    <x v="2"/>
    <x v="1"/>
    <n v="5.0999999999999996"/>
    <n v="3"/>
    <n v="11.3"/>
    <x v="0"/>
    <n v="6"/>
    <n v="2"/>
    <n v="1"/>
    <n v="0"/>
    <n v="1"/>
    <n v="1"/>
    <n v="1"/>
    <x v="0"/>
    <x v="2"/>
    <x v="0"/>
  </r>
  <r>
    <n v="1757"/>
    <n v="26"/>
    <x v="1"/>
    <x v="1"/>
    <n v="8.5"/>
    <n v="1.1000000000000001"/>
    <x v="1"/>
    <x v="0"/>
    <n v="8.4"/>
    <n v="3"/>
    <n v="2.1"/>
    <x v="1"/>
    <n v="8"/>
    <n v="4"/>
    <n v="1"/>
    <n v="0"/>
    <n v="0"/>
    <n v="0"/>
    <n v="0"/>
    <x v="2"/>
    <x v="2"/>
    <x v="0"/>
  </r>
  <r>
    <n v="1758"/>
    <n v="18"/>
    <x v="0"/>
    <x v="0"/>
    <n v="3.3"/>
    <n v="2.2000000000000002"/>
    <x v="1"/>
    <x v="0"/>
    <n v="8.4"/>
    <n v="3"/>
    <n v="4.5"/>
    <x v="1"/>
    <n v="6"/>
    <n v="4"/>
    <n v="0"/>
    <n v="0"/>
    <n v="0"/>
    <n v="1"/>
    <n v="0"/>
    <x v="2"/>
    <x v="2"/>
    <x v="2"/>
  </r>
  <r>
    <n v="1759"/>
    <n v="21"/>
    <x v="1"/>
    <x v="1"/>
    <n v="8.5"/>
    <n v="5.0999999999999996"/>
    <x v="2"/>
    <x v="1"/>
    <n v="8.9"/>
    <n v="8"/>
    <n v="3"/>
    <x v="0"/>
    <n v="5"/>
    <n v="0"/>
    <n v="1"/>
    <n v="0"/>
    <n v="0"/>
    <n v="0"/>
    <n v="0"/>
    <x v="2"/>
    <x v="0"/>
    <x v="0"/>
  </r>
  <r>
    <n v="1760"/>
    <n v="24"/>
    <x v="1"/>
    <x v="1"/>
    <n v="11.8"/>
    <n v="6"/>
    <x v="2"/>
    <x v="1"/>
    <n v="8.4"/>
    <n v="9"/>
    <n v="9.6999999999999993"/>
    <x v="2"/>
    <n v="3"/>
    <n v="2"/>
    <n v="1"/>
    <n v="1"/>
    <n v="1"/>
    <n v="1"/>
    <n v="1"/>
    <x v="2"/>
    <x v="0"/>
    <x v="0"/>
  </r>
  <r>
    <n v="1761"/>
    <n v="21"/>
    <x v="1"/>
    <x v="1"/>
    <n v="11.1"/>
    <n v="7.4"/>
    <x v="2"/>
    <x v="1"/>
    <n v="3.8"/>
    <n v="10"/>
    <n v="5.2"/>
    <x v="0"/>
    <n v="1"/>
    <n v="3"/>
    <n v="1"/>
    <n v="0"/>
    <n v="0"/>
    <n v="1"/>
    <n v="1"/>
    <x v="1"/>
    <x v="0"/>
    <x v="0"/>
  </r>
  <r>
    <n v="1762"/>
    <n v="24"/>
    <x v="1"/>
    <x v="0"/>
    <n v="6.4"/>
    <n v="5.9"/>
    <x v="2"/>
    <x v="1"/>
    <n v="7.9"/>
    <n v="2"/>
    <n v="10.4"/>
    <x v="1"/>
    <n v="5"/>
    <n v="4"/>
    <n v="1"/>
    <n v="1"/>
    <n v="0"/>
    <n v="0"/>
    <n v="1"/>
    <x v="2"/>
    <x v="2"/>
    <x v="1"/>
  </r>
  <r>
    <n v="1763"/>
    <n v="54"/>
    <x v="0"/>
    <x v="2"/>
    <n v="2.4"/>
    <n v="5.7"/>
    <x v="1"/>
    <x v="0"/>
    <n v="5.5"/>
    <n v="10"/>
    <n v="10.3"/>
    <x v="0"/>
    <n v="6"/>
    <n v="4"/>
    <n v="0"/>
    <n v="0"/>
    <n v="1"/>
    <n v="1"/>
    <n v="1"/>
    <x v="0"/>
    <x v="0"/>
    <x v="2"/>
  </r>
  <r>
    <n v="1764"/>
    <n v="46"/>
    <x v="0"/>
    <x v="0"/>
    <n v="5.6"/>
    <n v="3.8"/>
    <x v="1"/>
    <x v="0"/>
    <n v="8.9"/>
    <n v="10"/>
    <n v="8.6999999999999993"/>
    <x v="2"/>
    <n v="6"/>
    <n v="1"/>
    <n v="0"/>
    <n v="1"/>
    <n v="0"/>
    <n v="0"/>
    <n v="1"/>
    <x v="2"/>
    <x v="0"/>
    <x v="1"/>
  </r>
  <r>
    <n v="1765"/>
    <n v="47"/>
    <x v="1"/>
    <x v="1"/>
    <n v="10.3"/>
    <n v="1"/>
    <x v="2"/>
    <x v="1"/>
    <n v="5.8"/>
    <n v="1"/>
    <n v="8.6999999999999993"/>
    <x v="1"/>
    <n v="6"/>
    <n v="4"/>
    <n v="0"/>
    <n v="0"/>
    <n v="0"/>
    <n v="1"/>
    <n v="0"/>
    <x v="0"/>
    <x v="2"/>
    <x v="0"/>
  </r>
  <r>
    <n v="1766"/>
    <n v="56"/>
    <x v="1"/>
    <x v="0"/>
    <n v="9"/>
    <n v="1.8"/>
    <x v="1"/>
    <x v="0"/>
    <n v="6.3"/>
    <n v="9"/>
    <n v="9"/>
    <x v="2"/>
    <n v="3"/>
    <n v="4"/>
    <n v="1"/>
    <n v="0"/>
    <n v="1"/>
    <n v="1"/>
    <n v="1"/>
    <x v="0"/>
    <x v="0"/>
    <x v="0"/>
  </r>
  <r>
    <n v="1767"/>
    <n v="27"/>
    <x v="0"/>
    <x v="2"/>
    <n v="6.6"/>
    <n v="4.7"/>
    <x v="2"/>
    <x v="1"/>
    <n v="6.2"/>
    <n v="6"/>
    <n v="8.6999999999999993"/>
    <x v="2"/>
    <n v="4"/>
    <n v="4"/>
    <n v="0"/>
    <n v="0"/>
    <n v="1"/>
    <n v="0"/>
    <n v="1"/>
    <x v="0"/>
    <x v="1"/>
    <x v="1"/>
  </r>
  <r>
    <n v="1768"/>
    <n v="23"/>
    <x v="0"/>
    <x v="0"/>
    <n v="2.6"/>
    <n v="5.7"/>
    <x v="2"/>
    <x v="1"/>
    <n v="4.9000000000000004"/>
    <n v="9"/>
    <n v="5.9"/>
    <x v="0"/>
    <n v="3"/>
    <n v="2"/>
    <n v="1"/>
    <n v="1"/>
    <n v="1"/>
    <n v="0"/>
    <n v="1"/>
    <x v="1"/>
    <x v="0"/>
    <x v="2"/>
  </r>
  <r>
    <n v="1769"/>
    <n v="23"/>
    <x v="0"/>
    <x v="2"/>
    <n v="6.3"/>
    <n v="3.9"/>
    <x v="2"/>
    <x v="1"/>
    <n v="3.5"/>
    <n v="6"/>
    <n v="8.8000000000000007"/>
    <x v="2"/>
    <n v="2"/>
    <n v="2"/>
    <n v="1"/>
    <n v="0"/>
    <n v="0"/>
    <n v="1"/>
    <n v="0"/>
    <x v="1"/>
    <x v="1"/>
    <x v="1"/>
  </r>
  <r>
    <n v="1770"/>
    <n v="43"/>
    <x v="0"/>
    <x v="2"/>
    <n v="6.7"/>
    <n v="6.1"/>
    <x v="2"/>
    <x v="1"/>
    <n v="8.4"/>
    <n v="2"/>
    <n v="11"/>
    <x v="0"/>
    <n v="8"/>
    <n v="1"/>
    <n v="0"/>
    <n v="0"/>
    <n v="0"/>
    <n v="0"/>
    <n v="1"/>
    <x v="2"/>
    <x v="2"/>
    <x v="1"/>
  </r>
  <r>
    <n v="1771"/>
    <n v="35"/>
    <x v="0"/>
    <x v="0"/>
    <n v="11.3"/>
    <n v="4.7"/>
    <x v="1"/>
    <x v="0"/>
    <n v="7.8"/>
    <n v="1"/>
    <n v="5.3"/>
    <x v="0"/>
    <n v="7"/>
    <n v="0"/>
    <n v="1"/>
    <n v="1"/>
    <n v="0"/>
    <n v="0"/>
    <n v="0"/>
    <x v="2"/>
    <x v="2"/>
    <x v="0"/>
  </r>
  <r>
    <n v="1772"/>
    <n v="22"/>
    <x v="0"/>
    <x v="1"/>
    <n v="8.4"/>
    <n v="1.5"/>
    <x v="1"/>
    <x v="0"/>
    <n v="3.8"/>
    <n v="8"/>
    <n v="11.4"/>
    <x v="2"/>
    <n v="8"/>
    <n v="4"/>
    <n v="1"/>
    <n v="0"/>
    <n v="1"/>
    <n v="0"/>
    <n v="1"/>
    <x v="1"/>
    <x v="0"/>
    <x v="0"/>
  </r>
  <r>
    <n v="1773"/>
    <n v="26"/>
    <x v="1"/>
    <x v="2"/>
    <n v="5.0999999999999996"/>
    <n v="2.2999999999999998"/>
    <x v="2"/>
    <x v="1"/>
    <n v="7.7"/>
    <n v="3"/>
    <n v="2.1"/>
    <x v="0"/>
    <n v="6"/>
    <n v="0"/>
    <n v="1"/>
    <n v="0"/>
    <n v="0"/>
    <n v="0"/>
    <n v="0"/>
    <x v="2"/>
    <x v="2"/>
    <x v="1"/>
  </r>
  <r>
    <n v="1774"/>
    <n v="35"/>
    <x v="0"/>
    <x v="0"/>
    <n v="7.3"/>
    <n v="6.9"/>
    <x v="2"/>
    <x v="1"/>
    <n v="6.8"/>
    <n v="1"/>
    <n v="5.5"/>
    <x v="0"/>
    <n v="7"/>
    <n v="2"/>
    <n v="0"/>
    <n v="1"/>
    <n v="0"/>
    <n v="1"/>
    <n v="1"/>
    <x v="0"/>
    <x v="2"/>
    <x v="1"/>
  </r>
  <r>
    <n v="1775"/>
    <n v="31"/>
    <x v="0"/>
    <x v="2"/>
    <n v="2.7"/>
    <n v="6.1"/>
    <x v="1"/>
    <x v="0"/>
    <n v="5.5"/>
    <n v="8"/>
    <n v="3.3"/>
    <x v="2"/>
    <n v="1"/>
    <n v="4"/>
    <n v="0"/>
    <n v="0"/>
    <n v="1"/>
    <n v="1"/>
    <n v="0"/>
    <x v="0"/>
    <x v="0"/>
    <x v="2"/>
  </r>
  <r>
    <n v="1776"/>
    <n v="19"/>
    <x v="1"/>
    <x v="1"/>
    <n v="11.7"/>
    <n v="7.3"/>
    <x v="1"/>
    <x v="0"/>
    <n v="4.5"/>
    <n v="1"/>
    <n v="3.3"/>
    <x v="1"/>
    <n v="10"/>
    <n v="0"/>
    <n v="0"/>
    <n v="1"/>
    <n v="0"/>
    <n v="0"/>
    <n v="0"/>
    <x v="1"/>
    <x v="2"/>
    <x v="0"/>
  </r>
  <r>
    <n v="1777"/>
    <n v="21"/>
    <x v="0"/>
    <x v="0"/>
    <n v="5.6"/>
    <n v="1.8"/>
    <x v="1"/>
    <x v="0"/>
    <n v="8.1999999999999993"/>
    <n v="8"/>
    <n v="10.199999999999999"/>
    <x v="0"/>
    <n v="5"/>
    <n v="0"/>
    <n v="0"/>
    <n v="1"/>
    <n v="0"/>
    <n v="1"/>
    <n v="0"/>
    <x v="2"/>
    <x v="0"/>
    <x v="1"/>
  </r>
  <r>
    <n v="1778"/>
    <n v="37"/>
    <x v="0"/>
    <x v="0"/>
    <n v="6.8"/>
    <n v="7.9"/>
    <x v="2"/>
    <x v="1"/>
    <n v="7.2"/>
    <n v="1"/>
    <n v="11.2"/>
    <x v="0"/>
    <n v="4"/>
    <n v="3"/>
    <n v="0"/>
    <n v="1"/>
    <n v="0"/>
    <n v="0"/>
    <n v="0"/>
    <x v="2"/>
    <x v="2"/>
    <x v="1"/>
  </r>
  <r>
    <n v="1779"/>
    <n v="41"/>
    <x v="0"/>
    <x v="0"/>
    <n v="5.6"/>
    <n v="2.5"/>
    <x v="1"/>
    <x v="0"/>
    <n v="6.3"/>
    <n v="9"/>
    <n v="9.8000000000000007"/>
    <x v="2"/>
    <n v="10"/>
    <n v="2"/>
    <n v="0"/>
    <n v="0"/>
    <n v="1"/>
    <n v="0"/>
    <n v="1"/>
    <x v="0"/>
    <x v="0"/>
    <x v="1"/>
  </r>
  <r>
    <n v="1780"/>
    <n v="18"/>
    <x v="0"/>
    <x v="1"/>
    <n v="8.8000000000000007"/>
    <n v="1.1000000000000001"/>
    <x v="2"/>
    <x v="1"/>
    <n v="6.7"/>
    <n v="9"/>
    <n v="11.8"/>
    <x v="0"/>
    <n v="3"/>
    <n v="1"/>
    <n v="0"/>
    <n v="0"/>
    <n v="0"/>
    <n v="1"/>
    <n v="0"/>
    <x v="0"/>
    <x v="0"/>
    <x v="0"/>
  </r>
  <r>
    <n v="1781"/>
    <n v="56"/>
    <x v="0"/>
    <x v="2"/>
    <n v="8.6"/>
    <n v="8"/>
    <x v="2"/>
    <x v="1"/>
    <n v="3.5"/>
    <n v="9"/>
    <n v="4.2"/>
    <x v="2"/>
    <n v="2"/>
    <n v="1"/>
    <n v="0"/>
    <n v="1"/>
    <n v="0"/>
    <n v="1"/>
    <n v="1"/>
    <x v="1"/>
    <x v="0"/>
    <x v="0"/>
  </r>
  <r>
    <n v="1782"/>
    <n v="57"/>
    <x v="1"/>
    <x v="0"/>
    <n v="9.1999999999999993"/>
    <n v="3"/>
    <x v="1"/>
    <x v="0"/>
    <n v="5.8"/>
    <n v="3"/>
    <n v="3.4"/>
    <x v="1"/>
    <n v="9"/>
    <n v="3"/>
    <n v="0"/>
    <n v="1"/>
    <n v="0"/>
    <n v="0"/>
    <n v="0"/>
    <x v="0"/>
    <x v="2"/>
    <x v="0"/>
  </r>
  <r>
    <n v="1783"/>
    <n v="29"/>
    <x v="0"/>
    <x v="2"/>
    <n v="4.7"/>
    <n v="5.7"/>
    <x v="2"/>
    <x v="1"/>
    <n v="4.2"/>
    <n v="4"/>
    <n v="7.2"/>
    <x v="1"/>
    <n v="8"/>
    <n v="0"/>
    <n v="0"/>
    <n v="0"/>
    <n v="0"/>
    <n v="0"/>
    <n v="1"/>
    <x v="1"/>
    <x v="1"/>
    <x v="1"/>
  </r>
  <r>
    <n v="1784"/>
    <n v="26"/>
    <x v="1"/>
    <x v="2"/>
    <n v="5.2"/>
    <n v="2.2000000000000002"/>
    <x v="1"/>
    <x v="0"/>
    <n v="4.3"/>
    <n v="5"/>
    <n v="10.3"/>
    <x v="2"/>
    <n v="10"/>
    <n v="3"/>
    <n v="1"/>
    <n v="0"/>
    <n v="0"/>
    <n v="1"/>
    <n v="1"/>
    <x v="1"/>
    <x v="1"/>
    <x v="1"/>
  </r>
  <r>
    <n v="1785"/>
    <n v="33"/>
    <x v="1"/>
    <x v="1"/>
    <n v="3.3"/>
    <n v="5.0999999999999996"/>
    <x v="2"/>
    <x v="1"/>
    <n v="7"/>
    <n v="6"/>
    <n v="2.4"/>
    <x v="1"/>
    <n v="2"/>
    <n v="3"/>
    <n v="0"/>
    <n v="0"/>
    <n v="0"/>
    <n v="0"/>
    <n v="1"/>
    <x v="2"/>
    <x v="1"/>
    <x v="2"/>
  </r>
  <r>
    <n v="1786"/>
    <n v="27"/>
    <x v="0"/>
    <x v="0"/>
    <n v="8.6"/>
    <n v="7.3"/>
    <x v="2"/>
    <x v="1"/>
    <n v="8.5"/>
    <n v="9"/>
    <n v="12"/>
    <x v="2"/>
    <n v="6"/>
    <n v="2"/>
    <n v="1"/>
    <n v="1"/>
    <n v="1"/>
    <n v="1"/>
    <n v="1"/>
    <x v="2"/>
    <x v="0"/>
    <x v="0"/>
  </r>
  <r>
    <n v="1787"/>
    <n v="38"/>
    <x v="1"/>
    <x v="2"/>
    <n v="2.4"/>
    <n v="3.2"/>
    <x v="2"/>
    <x v="1"/>
    <n v="5.4"/>
    <n v="4"/>
    <n v="8"/>
    <x v="0"/>
    <n v="3"/>
    <n v="4"/>
    <n v="1"/>
    <n v="0"/>
    <n v="0"/>
    <n v="0"/>
    <n v="1"/>
    <x v="0"/>
    <x v="1"/>
    <x v="2"/>
  </r>
  <r>
    <n v="1788"/>
    <n v="27"/>
    <x v="0"/>
    <x v="0"/>
    <n v="8"/>
    <n v="5.7"/>
    <x v="2"/>
    <x v="1"/>
    <n v="4.2"/>
    <n v="6"/>
    <n v="11.8"/>
    <x v="1"/>
    <n v="3"/>
    <n v="0"/>
    <n v="0"/>
    <n v="1"/>
    <n v="1"/>
    <n v="0"/>
    <n v="1"/>
    <x v="1"/>
    <x v="1"/>
    <x v="1"/>
  </r>
  <r>
    <n v="1789"/>
    <n v="28"/>
    <x v="1"/>
    <x v="0"/>
    <n v="10.7"/>
    <n v="2.2999999999999998"/>
    <x v="2"/>
    <x v="1"/>
    <n v="6.9"/>
    <n v="1"/>
    <n v="5.7"/>
    <x v="0"/>
    <n v="5"/>
    <n v="1"/>
    <n v="0"/>
    <n v="1"/>
    <n v="0"/>
    <n v="0"/>
    <n v="1"/>
    <x v="0"/>
    <x v="2"/>
    <x v="0"/>
  </r>
  <r>
    <n v="1790"/>
    <n v="40"/>
    <x v="1"/>
    <x v="1"/>
    <n v="10.9"/>
    <n v="5.4"/>
    <x v="2"/>
    <x v="1"/>
    <n v="8.1999999999999993"/>
    <n v="2"/>
    <n v="6.6"/>
    <x v="0"/>
    <n v="7"/>
    <n v="1"/>
    <n v="1"/>
    <n v="0"/>
    <n v="1"/>
    <n v="0"/>
    <n v="0"/>
    <x v="2"/>
    <x v="2"/>
    <x v="0"/>
  </r>
  <r>
    <n v="1791"/>
    <n v="34"/>
    <x v="0"/>
    <x v="0"/>
    <n v="6.5"/>
    <n v="3.4"/>
    <x v="1"/>
    <x v="0"/>
    <n v="7.5"/>
    <n v="8"/>
    <n v="9.5"/>
    <x v="2"/>
    <n v="7"/>
    <n v="3"/>
    <n v="0"/>
    <n v="0"/>
    <n v="1"/>
    <n v="0"/>
    <n v="1"/>
    <x v="2"/>
    <x v="0"/>
    <x v="1"/>
  </r>
  <r>
    <n v="1792"/>
    <n v="51"/>
    <x v="0"/>
    <x v="0"/>
    <n v="6.6"/>
    <n v="2.5"/>
    <x v="1"/>
    <x v="0"/>
    <n v="8.1999999999999993"/>
    <n v="4"/>
    <n v="9.9"/>
    <x v="1"/>
    <n v="10"/>
    <n v="3"/>
    <n v="0"/>
    <n v="1"/>
    <n v="1"/>
    <n v="1"/>
    <n v="0"/>
    <x v="2"/>
    <x v="1"/>
    <x v="1"/>
  </r>
  <r>
    <n v="1793"/>
    <n v="23"/>
    <x v="0"/>
    <x v="2"/>
    <n v="2.8"/>
    <n v="3.2"/>
    <x v="2"/>
    <x v="1"/>
    <n v="6.2"/>
    <n v="10"/>
    <n v="4.3"/>
    <x v="1"/>
    <n v="1"/>
    <n v="3"/>
    <n v="1"/>
    <n v="1"/>
    <n v="1"/>
    <n v="0"/>
    <n v="0"/>
    <x v="0"/>
    <x v="0"/>
    <x v="2"/>
  </r>
  <r>
    <n v="1794"/>
    <n v="44"/>
    <x v="0"/>
    <x v="1"/>
    <n v="8.6999999999999993"/>
    <n v="2.2999999999999998"/>
    <x v="1"/>
    <x v="0"/>
    <n v="7.5"/>
    <n v="7"/>
    <n v="11.3"/>
    <x v="0"/>
    <n v="7"/>
    <n v="0"/>
    <n v="0"/>
    <n v="0"/>
    <n v="1"/>
    <n v="1"/>
    <n v="1"/>
    <x v="2"/>
    <x v="1"/>
    <x v="0"/>
  </r>
  <r>
    <n v="1795"/>
    <n v="47"/>
    <x v="0"/>
    <x v="0"/>
    <n v="10.199999999999999"/>
    <n v="7.3"/>
    <x v="2"/>
    <x v="1"/>
    <n v="3.8"/>
    <n v="4"/>
    <n v="10.7"/>
    <x v="0"/>
    <n v="7"/>
    <n v="3"/>
    <n v="0"/>
    <n v="1"/>
    <n v="0"/>
    <n v="0"/>
    <n v="1"/>
    <x v="1"/>
    <x v="1"/>
    <x v="0"/>
  </r>
  <r>
    <n v="1796"/>
    <n v="59"/>
    <x v="1"/>
    <x v="2"/>
    <n v="4.4000000000000004"/>
    <n v="3.8"/>
    <x v="1"/>
    <x v="0"/>
    <n v="5.0999999999999996"/>
    <n v="9"/>
    <n v="2.2000000000000002"/>
    <x v="2"/>
    <n v="6"/>
    <n v="3"/>
    <n v="1"/>
    <n v="0"/>
    <n v="1"/>
    <n v="0"/>
    <n v="1"/>
    <x v="0"/>
    <x v="0"/>
    <x v="1"/>
  </r>
  <r>
    <n v="1797"/>
    <n v="33"/>
    <x v="1"/>
    <x v="1"/>
    <n v="6.2"/>
    <n v="2.7"/>
    <x v="1"/>
    <x v="0"/>
    <n v="5.3"/>
    <n v="9"/>
    <n v="3.3"/>
    <x v="1"/>
    <n v="6"/>
    <n v="4"/>
    <n v="1"/>
    <n v="0"/>
    <n v="1"/>
    <n v="0"/>
    <n v="0"/>
    <x v="0"/>
    <x v="0"/>
    <x v="1"/>
  </r>
  <r>
    <n v="1798"/>
    <n v="21"/>
    <x v="1"/>
    <x v="1"/>
    <n v="10.4"/>
    <n v="4.0999999999999996"/>
    <x v="2"/>
    <x v="1"/>
    <n v="6.1"/>
    <n v="4"/>
    <n v="7"/>
    <x v="2"/>
    <n v="2"/>
    <n v="0"/>
    <n v="1"/>
    <n v="1"/>
    <n v="0"/>
    <n v="1"/>
    <n v="0"/>
    <x v="0"/>
    <x v="1"/>
    <x v="0"/>
  </r>
  <r>
    <n v="1799"/>
    <n v="33"/>
    <x v="1"/>
    <x v="2"/>
    <n v="10.8"/>
    <n v="3.2"/>
    <x v="1"/>
    <x v="0"/>
    <n v="8.6"/>
    <n v="8"/>
    <n v="6.6"/>
    <x v="2"/>
    <n v="3"/>
    <n v="2"/>
    <n v="0"/>
    <n v="1"/>
    <n v="1"/>
    <n v="1"/>
    <n v="0"/>
    <x v="2"/>
    <x v="0"/>
    <x v="0"/>
  </r>
  <r>
    <n v="1800"/>
    <n v="34"/>
    <x v="1"/>
    <x v="2"/>
    <n v="4.4000000000000004"/>
    <n v="6.2"/>
    <x v="2"/>
    <x v="1"/>
    <n v="8.1999999999999993"/>
    <n v="6"/>
    <n v="9.1"/>
    <x v="2"/>
    <n v="3"/>
    <n v="2"/>
    <n v="1"/>
    <n v="0"/>
    <n v="0"/>
    <n v="0"/>
    <n v="0"/>
    <x v="2"/>
    <x v="1"/>
    <x v="1"/>
  </r>
  <r>
    <n v="1801"/>
    <n v="37"/>
    <x v="1"/>
    <x v="2"/>
    <n v="7.5"/>
    <n v="7.8"/>
    <x v="1"/>
    <x v="0"/>
    <n v="3.8"/>
    <n v="1"/>
    <n v="2.9"/>
    <x v="1"/>
    <n v="3"/>
    <n v="4"/>
    <n v="0"/>
    <n v="1"/>
    <n v="1"/>
    <n v="0"/>
    <n v="0"/>
    <x v="1"/>
    <x v="2"/>
    <x v="1"/>
  </r>
  <r>
    <n v="1802"/>
    <n v="52"/>
    <x v="1"/>
    <x v="2"/>
    <n v="3.9"/>
    <n v="4.0999999999999996"/>
    <x v="2"/>
    <x v="1"/>
    <n v="4"/>
    <n v="7"/>
    <n v="8.4"/>
    <x v="2"/>
    <n v="2"/>
    <n v="1"/>
    <n v="0"/>
    <n v="1"/>
    <n v="1"/>
    <n v="0"/>
    <n v="1"/>
    <x v="1"/>
    <x v="1"/>
    <x v="2"/>
  </r>
  <r>
    <n v="1803"/>
    <n v="47"/>
    <x v="0"/>
    <x v="2"/>
    <n v="3"/>
    <n v="7"/>
    <x v="1"/>
    <x v="0"/>
    <n v="5.0999999999999996"/>
    <n v="1"/>
    <n v="8.1999999999999993"/>
    <x v="1"/>
    <n v="9"/>
    <n v="2"/>
    <n v="0"/>
    <n v="0"/>
    <n v="0"/>
    <n v="0"/>
    <n v="0"/>
    <x v="0"/>
    <x v="2"/>
    <x v="2"/>
  </r>
  <r>
    <n v="1804"/>
    <n v="56"/>
    <x v="0"/>
    <x v="0"/>
    <n v="11.1"/>
    <n v="5"/>
    <x v="2"/>
    <x v="1"/>
    <n v="4.7"/>
    <n v="3"/>
    <n v="4.3"/>
    <x v="2"/>
    <n v="6"/>
    <n v="0"/>
    <n v="1"/>
    <n v="1"/>
    <n v="1"/>
    <n v="0"/>
    <n v="0"/>
    <x v="1"/>
    <x v="2"/>
    <x v="0"/>
  </r>
  <r>
    <n v="1805"/>
    <n v="18"/>
    <x v="1"/>
    <x v="0"/>
    <n v="10.199999999999999"/>
    <n v="2.1"/>
    <x v="1"/>
    <x v="0"/>
    <n v="6.7"/>
    <n v="8"/>
    <n v="7.4"/>
    <x v="0"/>
    <n v="2"/>
    <n v="1"/>
    <n v="0"/>
    <n v="0"/>
    <n v="0"/>
    <n v="1"/>
    <n v="0"/>
    <x v="0"/>
    <x v="0"/>
    <x v="0"/>
  </r>
  <r>
    <n v="1806"/>
    <n v="43"/>
    <x v="1"/>
    <x v="1"/>
    <n v="9.6"/>
    <n v="5.8"/>
    <x v="2"/>
    <x v="1"/>
    <n v="8.4"/>
    <n v="9"/>
    <n v="4.2"/>
    <x v="2"/>
    <n v="3"/>
    <n v="3"/>
    <n v="0"/>
    <n v="1"/>
    <n v="1"/>
    <n v="1"/>
    <n v="0"/>
    <x v="2"/>
    <x v="0"/>
    <x v="0"/>
  </r>
  <r>
    <n v="1807"/>
    <n v="25"/>
    <x v="0"/>
    <x v="0"/>
    <n v="2.5"/>
    <n v="4.5999999999999996"/>
    <x v="1"/>
    <x v="0"/>
    <n v="8.8000000000000007"/>
    <n v="3"/>
    <n v="3.5"/>
    <x v="2"/>
    <n v="10"/>
    <n v="0"/>
    <n v="1"/>
    <n v="0"/>
    <n v="1"/>
    <n v="0"/>
    <n v="0"/>
    <x v="2"/>
    <x v="2"/>
    <x v="2"/>
  </r>
  <r>
    <n v="1808"/>
    <n v="50"/>
    <x v="0"/>
    <x v="0"/>
    <n v="10.4"/>
    <n v="5.6"/>
    <x v="2"/>
    <x v="1"/>
    <n v="6.9"/>
    <n v="1"/>
    <n v="7.7"/>
    <x v="1"/>
    <n v="6"/>
    <n v="1"/>
    <n v="1"/>
    <n v="1"/>
    <n v="0"/>
    <n v="0"/>
    <n v="0"/>
    <x v="0"/>
    <x v="2"/>
    <x v="0"/>
  </r>
  <r>
    <n v="1809"/>
    <n v="44"/>
    <x v="0"/>
    <x v="0"/>
    <n v="6.4"/>
    <n v="7.2"/>
    <x v="1"/>
    <x v="0"/>
    <n v="8"/>
    <n v="1"/>
    <n v="11.8"/>
    <x v="0"/>
    <n v="4"/>
    <n v="2"/>
    <n v="0"/>
    <n v="1"/>
    <n v="1"/>
    <n v="0"/>
    <n v="1"/>
    <x v="2"/>
    <x v="2"/>
    <x v="1"/>
  </r>
  <r>
    <n v="1810"/>
    <n v="30"/>
    <x v="0"/>
    <x v="2"/>
    <n v="5.4"/>
    <n v="4.0999999999999996"/>
    <x v="2"/>
    <x v="1"/>
    <n v="6.2"/>
    <n v="7"/>
    <n v="4.4000000000000004"/>
    <x v="0"/>
    <n v="7"/>
    <n v="3"/>
    <n v="1"/>
    <n v="1"/>
    <n v="0"/>
    <n v="1"/>
    <n v="0"/>
    <x v="0"/>
    <x v="1"/>
    <x v="1"/>
  </r>
  <r>
    <n v="1811"/>
    <n v="48"/>
    <x v="1"/>
    <x v="1"/>
    <n v="7.5"/>
    <n v="7.3"/>
    <x v="1"/>
    <x v="0"/>
    <n v="4.2"/>
    <n v="5"/>
    <n v="5.6"/>
    <x v="1"/>
    <n v="6"/>
    <n v="3"/>
    <n v="0"/>
    <n v="1"/>
    <n v="1"/>
    <n v="0"/>
    <n v="0"/>
    <x v="1"/>
    <x v="1"/>
    <x v="1"/>
  </r>
  <r>
    <n v="1812"/>
    <n v="22"/>
    <x v="0"/>
    <x v="1"/>
    <n v="2.9"/>
    <n v="6.3"/>
    <x v="2"/>
    <x v="1"/>
    <n v="6.1"/>
    <n v="1"/>
    <n v="4.5999999999999996"/>
    <x v="1"/>
    <n v="6"/>
    <n v="0"/>
    <n v="0"/>
    <n v="1"/>
    <n v="0"/>
    <n v="1"/>
    <n v="1"/>
    <x v="0"/>
    <x v="2"/>
    <x v="2"/>
  </r>
  <r>
    <n v="1813"/>
    <n v="27"/>
    <x v="1"/>
    <x v="1"/>
    <n v="9.6"/>
    <n v="4.4000000000000004"/>
    <x v="2"/>
    <x v="1"/>
    <n v="6.3"/>
    <n v="6"/>
    <n v="4.7"/>
    <x v="0"/>
    <n v="3"/>
    <n v="3"/>
    <n v="0"/>
    <n v="1"/>
    <n v="1"/>
    <n v="1"/>
    <n v="1"/>
    <x v="0"/>
    <x v="1"/>
    <x v="0"/>
  </r>
  <r>
    <n v="1814"/>
    <n v="45"/>
    <x v="1"/>
    <x v="1"/>
    <n v="7.8"/>
    <n v="5.2"/>
    <x v="2"/>
    <x v="1"/>
    <n v="7.5"/>
    <n v="6"/>
    <n v="6"/>
    <x v="1"/>
    <n v="8"/>
    <n v="1"/>
    <n v="1"/>
    <n v="1"/>
    <n v="0"/>
    <n v="1"/>
    <n v="0"/>
    <x v="2"/>
    <x v="1"/>
    <x v="1"/>
  </r>
  <r>
    <n v="1815"/>
    <n v="36"/>
    <x v="1"/>
    <x v="0"/>
    <n v="3.9"/>
    <n v="3.3"/>
    <x v="2"/>
    <x v="1"/>
    <n v="4.3"/>
    <n v="4"/>
    <n v="9"/>
    <x v="0"/>
    <n v="9"/>
    <n v="4"/>
    <n v="1"/>
    <n v="1"/>
    <n v="0"/>
    <n v="0"/>
    <n v="0"/>
    <x v="1"/>
    <x v="1"/>
    <x v="2"/>
  </r>
  <r>
    <n v="1816"/>
    <n v="46"/>
    <x v="0"/>
    <x v="0"/>
    <n v="3.9"/>
    <n v="7.9"/>
    <x v="1"/>
    <x v="0"/>
    <n v="5.2"/>
    <n v="7"/>
    <n v="2.4"/>
    <x v="2"/>
    <n v="6"/>
    <n v="2"/>
    <n v="0"/>
    <n v="0"/>
    <n v="1"/>
    <n v="0"/>
    <n v="1"/>
    <x v="0"/>
    <x v="1"/>
    <x v="2"/>
  </r>
  <r>
    <n v="1817"/>
    <n v="39"/>
    <x v="0"/>
    <x v="2"/>
    <n v="3.8"/>
    <n v="5.7"/>
    <x v="1"/>
    <x v="0"/>
    <n v="5.2"/>
    <n v="7"/>
    <n v="11.6"/>
    <x v="2"/>
    <n v="2"/>
    <n v="0"/>
    <n v="0"/>
    <n v="1"/>
    <n v="1"/>
    <n v="0"/>
    <n v="1"/>
    <x v="0"/>
    <x v="1"/>
    <x v="2"/>
  </r>
  <r>
    <n v="1818"/>
    <n v="35"/>
    <x v="1"/>
    <x v="1"/>
    <n v="2.6"/>
    <n v="1.3"/>
    <x v="1"/>
    <x v="0"/>
    <n v="8.8000000000000007"/>
    <n v="9"/>
    <n v="2.5"/>
    <x v="0"/>
    <n v="1"/>
    <n v="4"/>
    <n v="0"/>
    <n v="1"/>
    <n v="1"/>
    <n v="1"/>
    <n v="0"/>
    <x v="2"/>
    <x v="0"/>
    <x v="2"/>
  </r>
  <r>
    <n v="1819"/>
    <n v="52"/>
    <x v="1"/>
    <x v="0"/>
    <n v="7.9"/>
    <n v="3.3"/>
    <x v="2"/>
    <x v="1"/>
    <n v="5.7"/>
    <n v="1"/>
    <n v="10.8"/>
    <x v="0"/>
    <n v="3"/>
    <n v="4"/>
    <n v="0"/>
    <n v="1"/>
    <n v="0"/>
    <n v="0"/>
    <n v="1"/>
    <x v="0"/>
    <x v="2"/>
    <x v="1"/>
  </r>
  <r>
    <n v="1820"/>
    <n v="19"/>
    <x v="1"/>
    <x v="0"/>
    <n v="10.4"/>
    <n v="5.4"/>
    <x v="2"/>
    <x v="1"/>
    <n v="7.5"/>
    <n v="5"/>
    <n v="10.9"/>
    <x v="2"/>
    <n v="3"/>
    <n v="0"/>
    <n v="1"/>
    <n v="1"/>
    <n v="1"/>
    <n v="0"/>
    <n v="1"/>
    <x v="2"/>
    <x v="1"/>
    <x v="0"/>
  </r>
  <r>
    <n v="1821"/>
    <n v="43"/>
    <x v="0"/>
    <x v="2"/>
    <n v="2.2000000000000002"/>
    <n v="1.4"/>
    <x v="2"/>
    <x v="1"/>
    <n v="7.5"/>
    <n v="10"/>
    <n v="7.2"/>
    <x v="2"/>
    <n v="8"/>
    <n v="1"/>
    <n v="1"/>
    <n v="1"/>
    <n v="0"/>
    <n v="1"/>
    <n v="1"/>
    <x v="2"/>
    <x v="0"/>
    <x v="2"/>
  </r>
  <r>
    <n v="1822"/>
    <n v="59"/>
    <x v="1"/>
    <x v="2"/>
    <n v="2.5"/>
    <n v="1.2"/>
    <x v="2"/>
    <x v="1"/>
    <n v="4.5999999999999996"/>
    <n v="3"/>
    <n v="3.4"/>
    <x v="0"/>
    <n v="5"/>
    <n v="2"/>
    <n v="1"/>
    <n v="0"/>
    <n v="1"/>
    <n v="0"/>
    <n v="0"/>
    <x v="1"/>
    <x v="2"/>
    <x v="2"/>
  </r>
  <r>
    <n v="1823"/>
    <n v="35"/>
    <x v="0"/>
    <x v="2"/>
    <n v="7.7"/>
    <n v="4.2"/>
    <x v="2"/>
    <x v="1"/>
    <n v="6.4"/>
    <n v="7"/>
    <n v="7.7"/>
    <x v="1"/>
    <n v="1"/>
    <n v="0"/>
    <n v="1"/>
    <n v="0"/>
    <n v="0"/>
    <n v="0"/>
    <n v="0"/>
    <x v="0"/>
    <x v="1"/>
    <x v="1"/>
  </r>
  <r>
    <n v="1824"/>
    <n v="39"/>
    <x v="1"/>
    <x v="0"/>
    <n v="10.199999999999999"/>
    <n v="3.3"/>
    <x v="1"/>
    <x v="0"/>
    <n v="8.4"/>
    <n v="4"/>
    <n v="8.3000000000000007"/>
    <x v="1"/>
    <n v="4"/>
    <n v="4"/>
    <n v="1"/>
    <n v="1"/>
    <n v="0"/>
    <n v="1"/>
    <n v="1"/>
    <x v="2"/>
    <x v="1"/>
    <x v="0"/>
  </r>
  <r>
    <n v="1825"/>
    <n v="47"/>
    <x v="1"/>
    <x v="0"/>
    <n v="5.3"/>
    <n v="4.0999999999999996"/>
    <x v="1"/>
    <x v="0"/>
    <n v="5.9"/>
    <n v="4"/>
    <n v="10.6"/>
    <x v="0"/>
    <n v="7"/>
    <n v="4"/>
    <n v="0"/>
    <n v="1"/>
    <n v="0"/>
    <n v="1"/>
    <n v="1"/>
    <x v="0"/>
    <x v="1"/>
    <x v="1"/>
  </r>
  <r>
    <n v="1826"/>
    <n v="56"/>
    <x v="1"/>
    <x v="2"/>
    <n v="5.5"/>
    <n v="2.8"/>
    <x v="1"/>
    <x v="0"/>
    <n v="8.6999999999999993"/>
    <n v="1"/>
    <n v="7.5"/>
    <x v="1"/>
    <n v="5"/>
    <n v="0"/>
    <n v="1"/>
    <n v="1"/>
    <n v="0"/>
    <n v="0"/>
    <n v="1"/>
    <x v="2"/>
    <x v="2"/>
    <x v="1"/>
  </r>
  <r>
    <n v="1827"/>
    <n v="51"/>
    <x v="0"/>
    <x v="1"/>
    <n v="8"/>
    <n v="2.2000000000000002"/>
    <x v="2"/>
    <x v="1"/>
    <n v="4.3"/>
    <n v="1"/>
    <n v="6.1"/>
    <x v="2"/>
    <n v="10"/>
    <n v="4"/>
    <n v="0"/>
    <n v="1"/>
    <n v="1"/>
    <n v="0"/>
    <n v="1"/>
    <x v="1"/>
    <x v="2"/>
    <x v="1"/>
  </r>
  <r>
    <n v="1828"/>
    <n v="49"/>
    <x v="0"/>
    <x v="2"/>
    <n v="4.7"/>
    <n v="5.8"/>
    <x v="2"/>
    <x v="1"/>
    <n v="3.4"/>
    <n v="10"/>
    <n v="10.4"/>
    <x v="2"/>
    <n v="6"/>
    <n v="0"/>
    <n v="0"/>
    <n v="0"/>
    <n v="1"/>
    <n v="0"/>
    <n v="1"/>
    <x v="1"/>
    <x v="0"/>
    <x v="1"/>
  </r>
  <r>
    <n v="1829"/>
    <n v="51"/>
    <x v="1"/>
    <x v="2"/>
    <n v="2.2999999999999998"/>
    <n v="4.5999999999999996"/>
    <x v="2"/>
    <x v="1"/>
    <n v="8.3000000000000007"/>
    <n v="2"/>
    <n v="11.8"/>
    <x v="1"/>
    <n v="10"/>
    <n v="0"/>
    <n v="1"/>
    <n v="1"/>
    <n v="0"/>
    <n v="1"/>
    <n v="0"/>
    <x v="2"/>
    <x v="2"/>
    <x v="2"/>
  </r>
  <r>
    <n v="1830"/>
    <n v="17"/>
    <x v="0"/>
    <x v="2"/>
    <n v="9.4"/>
    <n v="2.4"/>
    <x v="2"/>
    <x v="1"/>
    <n v="8.1"/>
    <n v="2"/>
    <n v="8.5"/>
    <x v="0"/>
    <n v="4"/>
    <n v="2"/>
    <n v="1"/>
    <n v="0"/>
    <n v="0"/>
    <n v="0"/>
    <n v="1"/>
    <x v="2"/>
    <x v="2"/>
    <x v="0"/>
  </r>
  <r>
    <n v="1831"/>
    <n v="30"/>
    <x v="1"/>
    <x v="2"/>
    <n v="8.3000000000000007"/>
    <n v="3.2"/>
    <x v="2"/>
    <x v="1"/>
    <n v="9"/>
    <n v="1"/>
    <n v="10.7"/>
    <x v="2"/>
    <n v="2"/>
    <n v="0"/>
    <n v="0"/>
    <n v="1"/>
    <n v="1"/>
    <n v="0"/>
    <n v="0"/>
    <x v="2"/>
    <x v="2"/>
    <x v="0"/>
  </r>
  <r>
    <n v="1832"/>
    <n v="49"/>
    <x v="0"/>
    <x v="0"/>
    <n v="7.8"/>
    <n v="5.0999999999999996"/>
    <x v="2"/>
    <x v="1"/>
    <n v="7.1"/>
    <n v="8"/>
    <n v="8"/>
    <x v="2"/>
    <n v="9"/>
    <n v="4"/>
    <n v="0"/>
    <n v="0"/>
    <n v="0"/>
    <n v="1"/>
    <n v="1"/>
    <x v="2"/>
    <x v="0"/>
    <x v="1"/>
  </r>
  <r>
    <n v="1833"/>
    <n v="51"/>
    <x v="0"/>
    <x v="1"/>
    <n v="9.4"/>
    <n v="1.5"/>
    <x v="2"/>
    <x v="1"/>
    <n v="8.6"/>
    <n v="6"/>
    <n v="8.9"/>
    <x v="2"/>
    <n v="2"/>
    <n v="3"/>
    <n v="0"/>
    <n v="0"/>
    <n v="0"/>
    <n v="1"/>
    <n v="0"/>
    <x v="2"/>
    <x v="1"/>
    <x v="0"/>
  </r>
  <r>
    <n v="1834"/>
    <n v="21"/>
    <x v="0"/>
    <x v="2"/>
    <n v="8.8000000000000007"/>
    <n v="2"/>
    <x v="1"/>
    <x v="0"/>
    <n v="8"/>
    <n v="6"/>
    <n v="8.9"/>
    <x v="1"/>
    <n v="2"/>
    <n v="2"/>
    <n v="1"/>
    <n v="0"/>
    <n v="0"/>
    <n v="1"/>
    <n v="0"/>
    <x v="2"/>
    <x v="1"/>
    <x v="0"/>
  </r>
  <r>
    <n v="1835"/>
    <n v="54"/>
    <x v="1"/>
    <x v="1"/>
    <n v="4.0999999999999996"/>
    <n v="1.5"/>
    <x v="1"/>
    <x v="0"/>
    <n v="8.1"/>
    <n v="10"/>
    <n v="9"/>
    <x v="0"/>
    <n v="2"/>
    <n v="4"/>
    <n v="1"/>
    <n v="1"/>
    <n v="0"/>
    <n v="1"/>
    <n v="1"/>
    <x v="2"/>
    <x v="0"/>
    <x v="1"/>
  </r>
  <r>
    <n v="1836"/>
    <n v="57"/>
    <x v="0"/>
    <x v="1"/>
    <n v="5.5"/>
    <n v="6.7"/>
    <x v="2"/>
    <x v="1"/>
    <n v="6.4"/>
    <n v="10"/>
    <n v="5.2"/>
    <x v="1"/>
    <n v="1"/>
    <n v="4"/>
    <n v="1"/>
    <n v="1"/>
    <n v="1"/>
    <n v="1"/>
    <n v="1"/>
    <x v="0"/>
    <x v="0"/>
    <x v="1"/>
  </r>
  <r>
    <n v="1837"/>
    <n v="27"/>
    <x v="0"/>
    <x v="1"/>
    <n v="3.3"/>
    <n v="6.3"/>
    <x v="2"/>
    <x v="1"/>
    <n v="5.3"/>
    <n v="9"/>
    <n v="7.8"/>
    <x v="0"/>
    <n v="3"/>
    <n v="2"/>
    <n v="1"/>
    <n v="1"/>
    <n v="1"/>
    <n v="1"/>
    <n v="1"/>
    <x v="0"/>
    <x v="0"/>
    <x v="2"/>
  </r>
  <r>
    <n v="1838"/>
    <n v="18"/>
    <x v="1"/>
    <x v="2"/>
    <n v="3.3"/>
    <n v="6.3"/>
    <x v="2"/>
    <x v="1"/>
    <n v="8.6"/>
    <n v="5"/>
    <n v="7.9"/>
    <x v="0"/>
    <n v="6"/>
    <n v="2"/>
    <n v="0"/>
    <n v="1"/>
    <n v="1"/>
    <n v="0"/>
    <n v="0"/>
    <x v="2"/>
    <x v="1"/>
    <x v="2"/>
  </r>
  <r>
    <n v="1839"/>
    <n v="33"/>
    <x v="1"/>
    <x v="0"/>
    <n v="8.8000000000000007"/>
    <n v="6"/>
    <x v="1"/>
    <x v="0"/>
    <n v="5.6"/>
    <n v="4"/>
    <n v="5.2"/>
    <x v="1"/>
    <n v="7"/>
    <n v="4"/>
    <n v="1"/>
    <n v="1"/>
    <n v="1"/>
    <n v="1"/>
    <n v="0"/>
    <x v="0"/>
    <x v="1"/>
    <x v="0"/>
  </r>
  <r>
    <n v="1840"/>
    <n v="55"/>
    <x v="1"/>
    <x v="2"/>
    <n v="10.6"/>
    <n v="5.7"/>
    <x v="1"/>
    <x v="0"/>
    <n v="6.2"/>
    <n v="6"/>
    <n v="5.5"/>
    <x v="2"/>
    <n v="1"/>
    <n v="3"/>
    <n v="0"/>
    <n v="0"/>
    <n v="1"/>
    <n v="1"/>
    <n v="1"/>
    <x v="0"/>
    <x v="1"/>
    <x v="0"/>
  </r>
  <r>
    <n v="1841"/>
    <n v="36"/>
    <x v="1"/>
    <x v="1"/>
    <n v="11.6"/>
    <n v="4.3"/>
    <x v="2"/>
    <x v="1"/>
    <n v="5.7"/>
    <n v="8"/>
    <n v="9.6"/>
    <x v="0"/>
    <n v="5"/>
    <n v="1"/>
    <n v="1"/>
    <n v="0"/>
    <n v="1"/>
    <n v="1"/>
    <n v="1"/>
    <x v="0"/>
    <x v="0"/>
    <x v="0"/>
  </r>
  <r>
    <n v="1842"/>
    <n v="30"/>
    <x v="0"/>
    <x v="1"/>
    <n v="8.3000000000000007"/>
    <n v="5.5"/>
    <x v="1"/>
    <x v="0"/>
    <n v="6.4"/>
    <n v="1"/>
    <n v="7.8"/>
    <x v="1"/>
    <n v="5"/>
    <n v="4"/>
    <n v="1"/>
    <n v="0"/>
    <n v="0"/>
    <n v="1"/>
    <n v="0"/>
    <x v="0"/>
    <x v="2"/>
    <x v="0"/>
  </r>
  <r>
    <n v="1843"/>
    <n v="48"/>
    <x v="0"/>
    <x v="0"/>
    <n v="3.8"/>
    <n v="1.3"/>
    <x v="1"/>
    <x v="0"/>
    <n v="5.8"/>
    <n v="7"/>
    <n v="3.5"/>
    <x v="2"/>
    <n v="1"/>
    <n v="2"/>
    <n v="1"/>
    <n v="1"/>
    <n v="0"/>
    <n v="0"/>
    <n v="1"/>
    <x v="0"/>
    <x v="1"/>
    <x v="2"/>
  </r>
  <r>
    <n v="1844"/>
    <n v="50"/>
    <x v="0"/>
    <x v="2"/>
    <n v="3.1"/>
    <n v="5.4"/>
    <x v="1"/>
    <x v="0"/>
    <n v="3.3"/>
    <n v="8"/>
    <n v="10.4"/>
    <x v="0"/>
    <n v="4"/>
    <n v="0"/>
    <n v="0"/>
    <n v="0"/>
    <n v="0"/>
    <n v="0"/>
    <n v="0"/>
    <x v="1"/>
    <x v="0"/>
    <x v="2"/>
  </r>
  <r>
    <n v="1845"/>
    <n v="41"/>
    <x v="0"/>
    <x v="1"/>
    <n v="10.1"/>
    <n v="6.4"/>
    <x v="2"/>
    <x v="1"/>
    <n v="8.3000000000000007"/>
    <n v="9"/>
    <n v="10.8"/>
    <x v="0"/>
    <n v="10"/>
    <n v="0"/>
    <n v="0"/>
    <n v="1"/>
    <n v="1"/>
    <n v="1"/>
    <n v="1"/>
    <x v="2"/>
    <x v="0"/>
    <x v="0"/>
  </r>
  <r>
    <n v="1846"/>
    <n v="23"/>
    <x v="0"/>
    <x v="0"/>
    <n v="7.8"/>
    <n v="4.5"/>
    <x v="1"/>
    <x v="0"/>
    <n v="5.7"/>
    <n v="8"/>
    <n v="6.7"/>
    <x v="2"/>
    <n v="1"/>
    <n v="2"/>
    <n v="1"/>
    <n v="0"/>
    <n v="0"/>
    <n v="0"/>
    <n v="1"/>
    <x v="0"/>
    <x v="0"/>
    <x v="1"/>
  </r>
  <r>
    <n v="1847"/>
    <n v="51"/>
    <x v="1"/>
    <x v="1"/>
    <n v="8.1999999999999993"/>
    <n v="3.5"/>
    <x v="1"/>
    <x v="0"/>
    <n v="6.5"/>
    <n v="7"/>
    <n v="4.0999999999999996"/>
    <x v="0"/>
    <n v="1"/>
    <n v="2"/>
    <n v="0"/>
    <n v="1"/>
    <n v="1"/>
    <n v="0"/>
    <n v="0"/>
    <x v="0"/>
    <x v="1"/>
    <x v="0"/>
  </r>
  <r>
    <n v="1848"/>
    <n v="45"/>
    <x v="0"/>
    <x v="0"/>
    <n v="9.8000000000000007"/>
    <n v="2.9"/>
    <x v="2"/>
    <x v="1"/>
    <n v="3.8"/>
    <n v="3"/>
    <n v="11.5"/>
    <x v="1"/>
    <n v="7"/>
    <n v="1"/>
    <n v="0"/>
    <n v="0"/>
    <n v="0"/>
    <n v="1"/>
    <n v="0"/>
    <x v="1"/>
    <x v="2"/>
    <x v="0"/>
  </r>
  <r>
    <n v="1849"/>
    <n v="38"/>
    <x v="0"/>
    <x v="0"/>
    <n v="9"/>
    <n v="5.5"/>
    <x v="2"/>
    <x v="1"/>
    <n v="3"/>
    <n v="2"/>
    <n v="10.8"/>
    <x v="0"/>
    <n v="7"/>
    <n v="2"/>
    <n v="1"/>
    <n v="1"/>
    <n v="0"/>
    <n v="1"/>
    <n v="1"/>
    <x v="1"/>
    <x v="2"/>
    <x v="0"/>
  </r>
  <r>
    <n v="1850"/>
    <n v="57"/>
    <x v="0"/>
    <x v="2"/>
    <n v="10.3"/>
    <n v="5.8"/>
    <x v="1"/>
    <x v="0"/>
    <n v="4.5"/>
    <n v="3"/>
    <n v="4.4000000000000004"/>
    <x v="0"/>
    <n v="3"/>
    <n v="0"/>
    <n v="1"/>
    <n v="0"/>
    <n v="1"/>
    <n v="1"/>
    <n v="0"/>
    <x v="1"/>
    <x v="2"/>
    <x v="0"/>
  </r>
  <r>
    <n v="1851"/>
    <n v="59"/>
    <x v="1"/>
    <x v="1"/>
    <n v="2.6"/>
    <n v="7.1"/>
    <x v="2"/>
    <x v="1"/>
    <n v="7.2"/>
    <n v="4"/>
    <n v="3"/>
    <x v="2"/>
    <n v="7"/>
    <n v="3"/>
    <n v="0"/>
    <n v="0"/>
    <n v="0"/>
    <n v="0"/>
    <n v="0"/>
    <x v="2"/>
    <x v="1"/>
    <x v="2"/>
  </r>
  <r>
    <n v="1852"/>
    <n v="29"/>
    <x v="1"/>
    <x v="2"/>
    <n v="9.5"/>
    <n v="3.4"/>
    <x v="1"/>
    <x v="0"/>
    <n v="3.6"/>
    <n v="4"/>
    <n v="6.4"/>
    <x v="1"/>
    <n v="3"/>
    <n v="2"/>
    <n v="1"/>
    <n v="0"/>
    <n v="1"/>
    <n v="1"/>
    <n v="0"/>
    <x v="1"/>
    <x v="1"/>
    <x v="0"/>
  </r>
  <r>
    <n v="1853"/>
    <n v="29"/>
    <x v="0"/>
    <x v="1"/>
    <n v="10.5"/>
    <n v="6.4"/>
    <x v="1"/>
    <x v="0"/>
    <n v="8.5"/>
    <n v="6"/>
    <n v="8.8000000000000007"/>
    <x v="2"/>
    <n v="2"/>
    <n v="1"/>
    <n v="0"/>
    <n v="1"/>
    <n v="1"/>
    <n v="1"/>
    <n v="0"/>
    <x v="2"/>
    <x v="1"/>
    <x v="0"/>
  </r>
  <r>
    <n v="1854"/>
    <n v="17"/>
    <x v="1"/>
    <x v="2"/>
    <n v="4.9000000000000004"/>
    <n v="4.9000000000000004"/>
    <x v="2"/>
    <x v="1"/>
    <n v="4.3"/>
    <n v="7"/>
    <n v="3.8"/>
    <x v="1"/>
    <n v="10"/>
    <n v="3"/>
    <n v="0"/>
    <n v="0"/>
    <n v="1"/>
    <n v="1"/>
    <n v="1"/>
    <x v="1"/>
    <x v="1"/>
    <x v="1"/>
  </r>
  <r>
    <n v="1855"/>
    <n v="52"/>
    <x v="1"/>
    <x v="1"/>
    <n v="8.4"/>
    <n v="7.2"/>
    <x v="2"/>
    <x v="1"/>
    <n v="4.2"/>
    <n v="4"/>
    <n v="7.1"/>
    <x v="2"/>
    <n v="4"/>
    <n v="1"/>
    <n v="1"/>
    <n v="0"/>
    <n v="0"/>
    <n v="0"/>
    <n v="1"/>
    <x v="1"/>
    <x v="1"/>
    <x v="0"/>
  </r>
  <r>
    <n v="1856"/>
    <n v="20"/>
    <x v="1"/>
    <x v="2"/>
    <n v="5.0999999999999996"/>
    <n v="4.7"/>
    <x v="1"/>
    <x v="0"/>
    <n v="4.0999999999999996"/>
    <n v="10"/>
    <n v="6.3"/>
    <x v="0"/>
    <n v="10"/>
    <n v="3"/>
    <n v="0"/>
    <n v="0"/>
    <n v="1"/>
    <n v="0"/>
    <n v="1"/>
    <x v="1"/>
    <x v="0"/>
    <x v="1"/>
  </r>
  <r>
    <n v="1857"/>
    <n v="53"/>
    <x v="1"/>
    <x v="0"/>
    <n v="11.6"/>
    <n v="4.5999999999999996"/>
    <x v="2"/>
    <x v="1"/>
    <n v="3.1"/>
    <n v="6"/>
    <n v="10.9"/>
    <x v="1"/>
    <n v="3"/>
    <n v="2"/>
    <n v="1"/>
    <n v="1"/>
    <n v="1"/>
    <n v="1"/>
    <n v="1"/>
    <x v="1"/>
    <x v="1"/>
    <x v="0"/>
  </r>
  <r>
    <n v="1858"/>
    <n v="56"/>
    <x v="1"/>
    <x v="1"/>
    <n v="2.2999999999999998"/>
    <n v="5"/>
    <x v="2"/>
    <x v="1"/>
    <n v="7.6"/>
    <n v="9"/>
    <n v="6.3"/>
    <x v="1"/>
    <n v="7"/>
    <n v="0"/>
    <n v="0"/>
    <n v="0"/>
    <n v="0"/>
    <n v="1"/>
    <n v="1"/>
    <x v="2"/>
    <x v="0"/>
    <x v="2"/>
  </r>
  <r>
    <n v="1859"/>
    <n v="29"/>
    <x v="1"/>
    <x v="1"/>
    <n v="7.8"/>
    <n v="6.2"/>
    <x v="1"/>
    <x v="0"/>
    <n v="8.3000000000000007"/>
    <n v="6"/>
    <n v="7.3"/>
    <x v="0"/>
    <n v="1"/>
    <n v="3"/>
    <n v="0"/>
    <n v="1"/>
    <n v="0"/>
    <n v="0"/>
    <n v="0"/>
    <x v="2"/>
    <x v="1"/>
    <x v="1"/>
  </r>
  <r>
    <n v="1860"/>
    <n v="54"/>
    <x v="1"/>
    <x v="0"/>
    <n v="3.7"/>
    <n v="7.8"/>
    <x v="1"/>
    <x v="0"/>
    <n v="6.7"/>
    <n v="3"/>
    <n v="11.6"/>
    <x v="2"/>
    <n v="6"/>
    <n v="4"/>
    <n v="0"/>
    <n v="0"/>
    <n v="0"/>
    <n v="1"/>
    <n v="1"/>
    <x v="0"/>
    <x v="2"/>
    <x v="2"/>
  </r>
  <r>
    <n v="1861"/>
    <n v="40"/>
    <x v="0"/>
    <x v="2"/>
    <n v="9.1"/>
    <n v="1.5"/>
    <x v="1"/>
    <x v="0"/>
    <n v="4.0999999999999996"/>
    <n v="1"/>
    <n v="5"/>
    <x v="1"/>
    <n v="2"/>
    <n v="1"/>
    <n v="0"/>
    <n v="0"/>
    <n v="1"/>
    <n v="0"/>
    <n v="1"/>
    <x v="1"/>
    <x v="2"/>
    <x v="0"/>
  </r>
  <r>
    <n v="1862"/>
    <n v="35"/>
    <x v="0"/>
    <x v="1"/>
    <n v="3.8"/>
    <n v="1.4"/>
    <x v="1"/>
    <x v="0"/>
    <n v="4.7"/>
    <n v="10"/>
    <n v="4.9000000000000004"/>
    <x v="0"/>
    <n v="8"/>
    <n v="3"/>
    <n v="0"/>
    <n v="1"/>
    <n v="1"/>
    <n v="0"/>
    <n v="0"/>
    <x v="1"/>
    <x v="0"/>
    <x v="2"/>
  </r>
  <r>
    <n v="1863"/>
    <n v="17"/>
    <x v="1"/>
    <x v="1"/>
    <n v="4.4000000000000004"/>
    <n v="7.6"/>
    <x v="1"/>
    <x v="0"/>
    <n v="5.9"/>
    <n v="10"/>
    <n v="10"/>
    <x v="0"/>
    <n v="5"/>
    <n v="1"/>
    <n v="0"/>
    <n v="1"/>
    <n v="0"/>
    <n v="0"/>
    <n v="1"/>
    <x v="0"/>
    <x v="0"/>
    <x v="1"/>
  </r>
  <r>
    <n v="1864"/>
    <n v="54"/>
    <x v="0"/>
    <x v="2"/>
    <n v="6.9"/>
    <n v="4.7"/>
    <x v="1"/>
    <x v="0"/>
    <n v="8.6999999999999993"/>
    <n v="5"/>
    <n v="4.8"/>
    <x v="1"/>
    <n v="3"/>
    <n v="0"/>
    <n v="1"/>
    <n v="0"/>
    <n v="0"/>
    <n v="0"/>
    <n v="0"/>
    <x v="2"/>
    <x v="1"/>
    <x v="1"/>
  </r>
  <r>
    <n v="1865"/>
    <n v="21"/>
    <x v="0"/>
    <x v="0"/>
    <n v="11.1"/>
    <n v="5.3"/>
    <x v="2"/>
    <x v="1"/>
    <n v="4.5"/>
    <n v="10"/>
    <n v="10.3"/>
    <x v="1"/>
    <n v="10"/>
    <n v="1"/>
    <n v="0"/>
    <n v="1"/>
    <n v="1"/>
    <n v="1"/>
    <n v="1"/>
    <x v="1"/>
    <x v="0"/>
    <x v="0"/>
  </r>
  <r>
    <n v="1866"/>
    <n v="32"/>
    <x v="1"/>
    <x v="2"/>
    <n v="4.0999999999999996"/>
    <n v="4.4000000000000004"/>
    <x v="2"/>
    <x v="1"/>
    <n v="7.4"/>
    <n v="10"/>
    <n v="3"/>
    <x v="1"/>
    <n v="7"/>
    <n v="1"/>
    <n v="0"/>
    <n v="1"/>
    <n v="1"/>
    <n v="0"/>
    <n v="1"/>
    <x v="2"/>
    <x v="0"/>
    <x v="1"/>
  </r>
  <r>
    <n v="1867"/>
    <n v="40"/>
    <x v="0"/>
    <x v="2"/>
    <n v="3.4"/>
    <n v="1.7"/>
    <x v="1"/>
    <x v="0"/>
    <n v="5.6"/>
    <n v="3"/>
    <n v="3.1"/>
    <x v="0"/>
    <n v="2"/>
    <n v="4"/>
    <n v="0"/>
    <n v="1"/>
    <n v="0"/>
    <n v="0"/>
    <n v="0"/>
    <x v="0"/>
    <x v="2"/>
    <x v="2"/>
  </r>
  <r>
    <n v="1868"/>
    <n v="43"/>
    <x v="1"/>
    <x v="2"/>
    <n v="9.6"/>
    <n v="6.4"/>
    <x v="2"/>
    <x v="1"/>
    <n v="4.8"/>
    <n v="8"/>
    <n v="11"/>
    <x v="2"/>
    <n v="5"/>
    <n v="1"/>
    <n v="1"/>
    <n v="0"/>
    <n v="0"/>
    <n v="0"/>
    <n v="0"/>
    <x v="1"/>
    <x v="0"/>
    <x v="0"/>
  </r>
  <r>
    <n v="1869"/>
    <n v="17"/>
    <x v="1"/>
    <x v="1"/>
    <n v="7"/>
    <n v="6.2"/>
    <x v="2"/>
    <x v="1"/>
    <n v="5.7"/>
    <n v="10"/>
    <n v="7.4"/>
    <x v="2"/>
    <n v="8"/>
    <n v="3"/>
    <n v="0"/>
    <n v="0"/>
    <n v="1"/>
    <n v="0"/>
    <n v="1"/>
    <x v="0"/>
    <x v="0"/>
    <x v="1"/>
  </r>
  <r>
    <n v="1870"/>
    <n v="50"/>
    <x v="1"/>
    <x v="0"/>
    <n v="11.1"/>
    <n v="3.2"/>
    <x v="1"/>
    <x v="0"/>
    <n v="3.4"/>
    <n v="1"/>
    <n v="9.1999999999999993"/>
    <x v="1"/>
    <n v="1"/>
    <n v="1"/>
    <n v="0"/>
    <n v="0"/>
    <n v="0"/>
    <n v="1"/>
    <n v="1"/>
    <x v="1"/>
    <x v="2"/>
    <x v="0"/>
  </r>
  <r>
    <n v="1871"/>
    <n v="52"/>
    <x v="0"/>
    <x v="0"/>
    <n v="3.5"/>
    <n v="3.1"/>
    <x v="2"/>
    <x v="1"/>
    <n v="7.8"/>
    <n v="2"/>
    <n v="4.3"/>
    <x v="0"/>
    <n v="1"/>
    <n v="2"/>
    <n v="0"/>
    <n v="1"/>
    <n v="0"/>
    <n v="0"/>
    <n v="0"/>
    <x v="2"/>
    <x v="2"/>
    <x v="2"/>
  </r>
  <r>
    <n v="1872"/>
    <n v="20"/>
    <x v="0"/>
    <x v="2"/>
    <n v="8.5"/>
    <n v="6.9"/>
    <x v="2"/>
    <x v="1"/>
    <n v="4.5"/>
    <n v="3"/>
    <n v="3.7"/>
    <x v="0"/>
    <n v="3"/>
    <n v="1"/>
    <n v="1"/>
    <n v="1"/>
    <n v="1"/>
    <n v="1"/>
    <n v="1"/>
    <x v="1"/>
    <x v="2"/>
    <x v="0"/>
  </r>
  <r>
    <n v="1873"/>
    <n v="16"/>
    <x v="0"/>
    <x v="1"/>
    <n v="4.3"/>
    <n v="1.5"/>
    <x v="1"/>
    <x v="0"/>
    <n v="7.4"/>
    <n v="3"/>
    <n v="10.3"/>
    <x v="1"/>
    <n v="3"/>
    <n v="2"/>
    <n v="1"/>
    <n v="1"/>
    <n v="1"/>
    <n v="0"/>
    <n v="0"/>
    <x v="2"/>
    <x v="2"/>
    <x v="1"/>
  </r>
  <r>
    <n v="1874"/>
    <n v="55"/>
    <x v="0"/>
    <x v="2"/>
    <n v="3.6"/>
    <n v="7.2"/>
    <x v="2"/>
    <x v="1"/>
    <n v="3.4"/>
    <n v="8"/>
    <n v="5.6"/>
    <x v="0"/>
    <n v="7"/>
    <n v="1"/>
    <n v="1"/>
    <n v="1"/>
    <n v="0"/>
    <n v="0"/>
    <n v="1"/>
    <x v="1"/>
    <x v="0"/>
    <x v="2"/>
  </r>
  <r>
    <n v="1875"/>
    <n v="27"/>
    <x v="1"/>
    <x v="1"/>
    <n v="8.8000000000000007"/>
    <n v="2.8"/>
    <x v="2"/>
    <x v="1"/>
    <n v="8.6999999999999993"/>
    <n v="5"/>
    <n v="6.6"/>
    <x v="0"/>
    <n v="6"/>
    <n v="1"/>
    <n v="0"/>
    <n v="0"/>
    <n v="0"/>
    <n v="0"/>
    <n v="0"/>
    <x v="2"/>
    <x v="1"/>
    <x v="0"/>
  </r>
  <r>
    <n v="1876"/>
    <n v="51"/>
    <x v="1"/>
    <x v="1"/>
    <n v="7.9"/>
    <n v="5.2"/>
    <x v="1"/>
    <x v="0"/>
    <n v="4.2"/>
    <n v="8"/>
    <n v="2.2999999999999998"/>
    <x v="0"/>
    <n v="7"/>
    <n v="3"/>
    <n v="0"/>
    <n v="1"/>
    <n v="1"/>
    <n v="1"/>
    <n v="1"/>
    <x v="1"/>
    <x v="0"/>
    <x v="1"/>
  </r>
  <r>
    <n v="1877"/>
    <n v="38"/>
    <x v="0"/>
    <x v="1"/>
    <n v="9.5"/>
    <n v="7.6"/>
    <x v="2"/>
    <x v="1"/>
    <n v="8.3000000000000007"/>
    <n v="6"/>
    <n v="5.9"/>
    <x v="1"/>
    <n v="4"/>
    <n v="2"/>
    <n v="0"/>
    <n v="0"/>
    <n v="1"/>
    <n v="1"/>
    <n v="0"/>
    <x v="2"/>
    <x v="1"/>
    <x v="0"/>
  </r>
  <r>
    <n v="1878"/>
    <n v="46"/>
    <x v="1"/>
    <x v="1"/>
    <n v="5.0999999999999996"/>
    <n v="5.7"/>
    <x v="2"/>
    <x v="1"/>
    <n v="7.9"/>
    <n v="2"/>
    <n v="9.6999999999999993"/>
    <x v="1"/>
    <n v="2"/>
    <n v="2"/>
    <n v="1"/>
    <n v="1"/>
    <n v="0"/>
    <n v="1"/>
    <n v="0"/>
    <x v="2"/>
    <x v="2"/>
    <x v="1"/>
  </r>
  <r>
    <n v="1879"/>
    <n v="26"/>
    <x v="1"/>
    <x v="0"/>
    <n v="6.5"/>
    <n v="3.9"/>
    <x v="2"/>
    <x v="1"/>
    <n v="8.8000000000000007"/>
    <n v="4"/>
    <n v="10.199999999999999"/>
    <x v="1"/>
    <n v="2"/>
    <n v="4"/>
    <n v="0"/>
    <n v="0"/>
    <n v="0"/>
    <n v="1"/>
    <n v="1"/>
    <x v="2"/>
    <x v="1"/>
    <x v="1"/>
  </r>
  <r>
    <n v="1880"/>
    <n v="25"/>
    <x v="0"/>
    <x v="1"/>
    <n v="6.1"/>
    <n v="5.8"/>
    <x v="1"/>
    <x v="0"/>
    <n v="5.9"/>
    <n v="9"/>
    <n v="9"/>
    <x v="2"/>
    <n v="10"/>
    <n v="1"/>
    <n v="1"/>
    <n v="0"/>
    <n v="1"/>
    <n v="0"/>
    <n v="0"/>
    <x v="0"/>
    <x v="0"/>
    <x v="1"/>
  </r>
  <r>
    <n v="1881"/>
    <n v="18"/>
    <x v="1"/>
    <x v="1"/>
    <n v="11.8"/>
    <n v="3.4"/>
    <x v="1"/>
    <x v="0"/>
    <n v="7.4"/>
    <n v="4"/>
    <n v="8.9"/>
    <x v="2"/>
    <n v="1"/>
    <n v="1"/>
    <n v="1"/>
    <n v="1"/>
    <n v="1"/>
    <n v="0"/>
    <n v="1"/>
    <x v="2"/>
    <x v="1"/>
    <x v="0"/>
  </r>
  <r>
    <n v="1882"/>
    <n v="29"/>
    <x v="0"/>
    <x v="2"/>
    <n v="4.9000000000000004"/>
    <n v="2.9"/>
    <x v="2"/>
    <x v="1"/>
    <n v="5.2"/>
    <n v="5"/>
    <n v="7.1"/>
    <x v="1"/>
    <n v="9"/>
    <n v="3"/>
    <n v="0"/>
    <n v="1"/>
    <n v="0"/>
    <n v="1"/>
    <n v="1"/>
    <x v="0"/>
    <x v="1"/>
    <x v="1"/>
  </r>
  <r>
    <n v="1883"/>
    <n v="31"/>
    <x v="1"/>
    <x v="2"/>
    <n v="4.9000000000000004"/>
    <n v="8"/>
    <x v="2"/>
    <x v="1"/>
    <n v="4.0999999999999996"/>
    <n v="5"/>
    <n v="7.4"/>
    <x v="0"/>
    <n v="7"/>
    <n v="4"/>
    <n v="0"/>
    <n v="1"/>
    <n v="1"/>
    <n v="0"/>
    <n v="1"/>
    <x v="1"/>
    <x v="1"/>
    <x v="1"/>
  </r>
  <r>
    <n v="1884"/>
    <n v="25"/>
    <x v="0"/>
    <x v="0"/>
    <n v="5.5"/>
    <n v="6.3"/>
    <x v="1"/>
    <x v="0"/>
    <n v="5.7"/>
    <n v="10"/>
    <n v="9.4"/>
    <x v="0"/>
    <n v="10"/>
    <n v="4"/>
    <n v="1"/>
    <n v="0"/>
    <n v="1"/>
    <n v="1"/>
    <n v="0"/>
    <x v="0"/>
    <x v="0"/>
    <x v="1"/>
  </r>
  <r>
    <n v="1885"/>
    <n v="44"/>
    <x v="1"/>
    <x v="2"/>
    <n v="7.6"/>
    <n v="5.5"/>
    <x v="1"/>
    <x v="0"/>
    <n v="4"/>
    <n v="8"/>
    <n v="4.5"/>
    <x v="1"/>
    <n v="3"/>
    <n v="3"/>
    <n v="0"/>
    <n v="1"/>
    <n v="1"/>
    <n v="0"/>
    <n v="1"/>
    <x v="1"/>
    <x v="0"/>
    <x v="1"/>
  </r>
  <r>
    <n v="1886"/>
    <n v="25"/>
    <x v="1"/>
    <x v="1"/>
    <n v="4.5"/>
    <n v="3.5"/>
    <x v="2"/>
    <x v="1"/>
    <n v="8.9"/>
    <n v="6"/>
    <n v="4.3"/>
    <x v="0"/>
    <n v="2"/>
    <n v="2"/>
    <n v="1"/>
    <n v="0"/>
    <n v="0"/>
    <n v="1"/>
    <n v="0"/>
    <x v="2"/>
    <x v="1"/>
    <x v="1"/>
  </r>
  <r>
    <n v="1887"/>
    <n v="27"/>
    <x v="0"/>
    <x v="2"/>
    <n v="11.2"/>
    <n v="1.3"/>
    <x v="1"/>
    <x v="0"/>
    <n v="3.6"/>
    <n v="10"/>
    <n v="11.5"/>
    <x v="0"/>
    <n v="3"/>
    <n v="0"/>
    <n v="1"/>
    <n v="1"/>
    <n v="1"/>
    <n v="1"/>
    <n v="1"/>
    <x v="1"/>
    <x v="0"/>
    <x v="0"/>
  </r>
  <r>
    <n v="1888"/>
    <n v="45"/>
    <x v="0"/>
    <x v="0"/>
    <n v="4.7"/>
    <n v="1.2"/>
    <x v="2"/>
    <x v="1"/>
    <n v="6.5"/>
    <n v="7"/>
    <n v="2.2999999999999998"/>
    <x v="2"/>
    <n v="7"/>
    <n v="3"/>
    <n v="0"/>
    <n v="0"/>
    <n v="1"/>
    <n v="1"/>
    <n v="1"/>
    <x v="0"/>
    <x v="1"/>
    <x v="1"/>
  </r>
  <r>
    <n v="1889"/>
    <n v="56"/>
    <x v="0"/>
    <x v="2"/>
    <n v="11"/>
    <n v="4.9000000000000004"/>
    <x v="2"/>
    <x v="1"/>
    <n v="6.8"/>
    <n v="6"/>
    <n v="3.4"/>
    <x v="0"/>
    <n v="5"/>
    <n v="2"/>
    <n v="0"/>
    <n v="1"/>
    <n v="0"/>
    <n v="0"/>
    <n v="1"/>
    <x v="0"/>
    <x v="1"/>
    <x v="0"/>
  </r>
  <r>
    <n v="1890"/>
    <n v="16"/>
    <x v="0"/>
    <x v="2"/>
    <n v="3"/>
    <n v="6.3"/>
    <x v="1"/>
    <x v="0"/>
    <n v="6.2"/>
    <n v="5"/>
    <n v="7.7"/>
    <x v="0"/>
    <n v="3"/>
    <n v="4"/>
    <n v="0"/>
    <n v="0"/>
    <n v="0"/>
    <n v="1"/>
    <n v="0"/>
    <x v="0"/>
    <x v="1"/>
    <x v="2"/>
  </r>
  <r>
    <n v="1891"/>
    <n v="20"/>
    <x v="1"/>
    <x v="0"/>
    <n v="8.6"/>
    <n v="4.8"/>
    <x v="1"/>
    <x v="0"/>
    <n v="7"/>
    <n v="5"/>
    <n v="9.4"/>
    <x v="1"/>
    <n v="9"/>
    <n v="3"/>
    <n v="0"/>
    <n v="0"/>
    <n v="0"/>
    <n v="1"/>
    <n v="1"/>
    <x v="2"/>
    <x v="1"/>
    <x v="0"/>
  </r>
  <r>
    <n v="1892"/>
    <n v="35"/>
    <x v="1"/>
    <x v="0"/>
    <n v="11.1"/>
    <n v="6.9"/>
    <x v="2"/>
    <x v="1"/>
    <n v="3.7"/>
    <n v="3"/>
    <n v="7.4"/>
    <x v="2"/>
    <n v="2"/>
    <n v="0"/>
    <n v="0"/>
    <n v="0"/>
    <n v="1"/>
    <n v="0"/>
    <n v="1"/>
    <x v="1"/>
    <x v="2"/>
    <x v="0"/>
  </r>
  <r>
    <n v="1893"/>
    <n v="23"/>
    <x v="0"/>
    <x v="1"/>
    <n v="3.7"/>
    <n v="1.2"/>
    <x v="2"/>
    <x v="1"/>
    <n v="6.3"/>
    <n v="7"/>
    <n v="5.6"/>
    <x v="2"/>
    <n v="7"/>
    <n v="1"/>
    <n v="0"/>
    <n v="1"/>
    <n v="1"/>
    <n v="0"/>
    <n v="0"/>
    <x v="0"/>
    <x v="1"/>
    <x v="2"/>
  </r>
  <r>
    <n v="1894"/>
    <n v="58"/>
    <x v="1"/>
    <x v="2"/>
    <n v="11.7"/>
    <n v="3.6"/>
    <x v="1"/>
    <x v="0"/>
    <n v="4.7"/>
    <n v="10"/>
    <n v="11.8"/>
    <x v="0"/>
    <n v="10"/>
    <n v="3"/>
    <n v="0"/>
    <n v="0"/>
    <n v="0"/>
    <n v="1"/>
    <n v="0"/>
    <x v="1"/>
    <x v="0"/>
    <x v="0"/>
  </r>
  <r>
    <n v="1895"/>
    <n v="27"/>
    <x v="0"/>
    <x v="1"/>
    <n v="6.5"/>
    <n v="2.7"/>
    <x v="2"/>
    <x v="1"/>
    <n v="8.6"/>
    <n v="5"/>
    <n v="9"/>
    <x v="1"/>
    <n v="6"/>
    <n v="0"/>
    <n v="1"/>
    <n v="1"/>
    <n v="0"/>
    <n v="0"/>
    <n v="1"/>
    <x v="2"/>
    <x v="1"/>
    <x v="1"/>
  </r>
  <r>
    <n v="1896"/>
    <n v="16"/>
    <x v="0"/>
    <x v="2"/>
    <n v="11.5"/>
    <n v="4.0999999999999996"/>
    <x v="1"/>
    <x v="0"/>
    <n v="7.6"/>
    <n v="7"/>
    <n v="10.3"/>
    <x v="2"/>
    <n v="6"/>
    <n v="0"/>
    <n v="0"/>
    <n v="0"/>
    <n v="0"/>
    <n v="0"/>
    <n v="0"/>
    <x v="2"/>
    <x v="1"/>
    <x v="0"/>
  </r>
  <r>
    <n v="1897"/>
    <n v="35"/>
    <x v="1"/>
    <x v="2"/>
    <n v="8.8000000000000007"/>
    <n v="1.5"/>
    <x v="1"/>
    <x v="0"/>
    <n v="8.8000000000000007"/>
    <n v="2"/>
    <n v="2.4"/>
    <x v="2"/>
    <n v="7"/>
    <n v="3"/>
    <n v="0"/>
    <n v="1"/>
    <n v="0"/>
    <n v="0"/>
    <n v="1"/>
    <x v="2"/>
    <x v="2"/>
    <x v="0"/>
  </r>
  <r>
    <n v="1898"/>
    <n v="43"/>
    <x v="1"/>
    <x v="1"/>
    <n v="5"/>
    <n v="7.7"/>
    <x v="1"/>
    <x v="0"/>
    <n v="3.2"/>
    <n v="9"/>
    <n v="4.4000000000000004"/>
    <x v="0"/>
    <n v="6"/>
    <n v="2"/>
    <n v="0"/>
    <n v="1"/>
    <n v="1"/>
    <n v="1"/>
    <n v="1"/>
    <x v="1"/>
    <x v="0"/>
    <x v="1"/>
  </r>
  <r>
    <n v="1899"/>
    <n v="58"/>
    <x v="0"/>
    <x v="2"/>
    <n v="3.9"/>
    <n v="2.6"/>
    <x v="1"/>
    <x v="0"/>
    <n v="4.7"/>
    <n v="8"/>
    <n v="5.7"/>
    <x v="2"/>
    <n v="2"/>
    <n v="3"/>
    <n v="0"/>
    <n v="0"/>
    <n v="0"/>
    <n v="1"/>
    <n v="0"/>
    <x v="1"/>
    <x v="0"/>
    <x v="2"/>
  </r>
  <r>
    <n v="1900"/>
    <n v="52"/>
    <x v="0"/>
    <x v="2"/>
    <n v="5"/>
    <n v="7.5"/>
    <x v="1"/>
    <x v="0"/>
    <n v="4.2"/>
    <n v="5"/>
    <n v="3.8"/>
    <x v="1"/>
    <n v="5"/>
    <n v="4"/>
    <n v="1"/>
    <n v="0"/>
    <n v="1"/>
    <n v="1"/>
    <n v="1"/>
    <x v="1"/>
    <x v="1"/>
    <x v="1"/>
  </r>
  <r>
    <n v="1901"/>
    <n v="52"/>
    <x v="0"/>
    <x v="2"/>
    <n v="2.9"/>
    <n v="4"/>
    <x v="2"/>
    <x v="1"/>
    <n v="3.1"/>
    <n v="2"/>
    <n v="2.7"/>
    <x v="1"/>
    <n v="3"/>
    <n v="0"/>
    <n v="0"/>
    <n v="1"/>
    <n v="0"/>
    <n v="0"/>
    <n v="0"/>
    <x v="1"/>
    <x v="2"/>
    <x v="2"/>
  </r>
  <r>
    <n v="1902"/>
    <n v="27"/>
    <x v="1"/>
    <x v="0"/>
    <n v="3.4"/>
    <n v="7.9"/>
    <x v="1"/>
    <x v="0"/>
    <n v="4.5"/>
    <n v="6"/>
    <n v="4.3"/>
    <x v="2"/>
    <n v="9"/>
    <n v="0"/>
    <n v="1"/>
    <n v="0"/>
    <n v="1"/>
    <n v="1"/>
    <n v="0"/>
    <x v="1"/>
    <x v="1"/>
    <x v="2"/>
  </r>
  <r>
    <n v="1903"/>
    <n v="52"/>
    <x v="1"/>
    <x v="1"/>
    <n v="3"/>
    <n v="4.9000000000000004"/>
    <x v="1"/>
    <x v="0"/>
    <n v="7.1"/>
    <n v="8"/>
    <n v="7.3"/>
    <x v="1"/>
    <n v="8"/>
    <n v="1"/>
    <n v="1"/>
    <n v="1"/>
    <n v="1"/>
    <n v="0"/>
    <n v="0"/>
    <x v="2"/>
    <x v="0"/>
    <x v="2"/>
  </r>
  <r>
    <n v="1904"/>
    <n v="59"/>
    <x v="1"/>
    <x v="0"/>
    <n v="6.2"/>
    <n v="7.5"/>
    <x v="1"/>
    <x v="0"/>
    <n v="4.4000000000000004"/>
    <n v="7"/>
    <n v="9"/>
    <x v="1"/>
    <n v="10"/>
    <n v="0"/>
    <n v="1"/>
    <n v="1"/>
    <n v="1"/>
    <n v="1"/>
    <n v="1"/>
    <x v="1"/>
    <x v="1"/>
    <x v="1"/>
  </r>
  <r>
    <n v="1905"/>
    <n v="43"/>
    <x v="1"/>
    <x v="1"/>
    <n v="10"/>
    <n v="1"/>
    <x v="1"/>
    <x v="0"/>
    <n v="6.1"/>
    <n v="8"/>
    <n v="9.6999999999999993"/>
    <x v="0"/>
    <n v="2"/>
    <n v="1"/>
    <n v="1"/>
    <n v="1"/>
    <n v="1"/>
    <n v="1"/>
    <n v="1"/>
    <x v="0"/>
    <x v="0"/>
    <x v="0"/>
  </r>
  <r>
    <n v="1906"/>
    <n v="30"/>
    <x v="0"/>
    <x v="1"/>
    <n v="3.4"/>
    <n v="6.2"/>
    <x v="1"/>
    <x v="0"/>
    <n v="8.3000000000000007"/>
    <n v="4"/>
    <n v="2.4"/>
    <x v="2"/>
    <n v="1"/>
    <n v="0"/>
    <n v="1"/>
    <n v="1"/>
    <n v="0"/>
    <n v="0"/>
    <n v="0"/>
    <x v="2"/>
    <x v="1"/>
    <x v="2"/>
  </r>
  <r>
    <n v="1907"/>
    <n v="21"/>
    <x v="0"/>
    <x v="2"/>
    <n v="3.3"/>
    <n v="7.3"/>
    <x v="1"/>
    <x v="0"/>
    <n v="7.2"/>
    <n v="3"/>
    <n v="6.3"/>
    <x v="2"/>
    <n v="4"/>
    <n v="0"/>
    <n v="0"/>
    <n v="1"/>
    <n v="0"/>
    <n v="0"/>
    <n v="1"/>
    <x v="2"/>
    <x v="2"/>
    <x v="2"/>
  </r>
  <r>
    <n v="1908"/>
    <n v="59"/>
    <x v="0"/>
    <x v="1"/>
    <n v="8.4"/>
    <n v="2"/>
    <x v="1"/>
    <x v="0"/>
    <n v="5.4"/>
    <n v="7"/>
    <n v="3.2"/>
    <x v="0"/>
    <n v="4"/>
    <n v="3"/>
    <n v="1"/>
    <n v="1"/>
    <n v="0"/>
    <n v="1"/>
    <n v="0"/>
    <x v="0"/>
    <x v="1"/>
    <x v="0"/>
  </r>
  <r>
    <n v="1909"/>
    <n v="35"/>
    <x v="0"/>
    <x v="0"/>
    <n v="4"/>
    <n v="1.7"/>
    <x v="2"/>
    <x v="1"/>
    <n v="5.2"/>
    <n v="2"/>
    <n v="6.3"/>
    <x v="0"/>
    <n v="10"/>
    <n v="3"/>
    <n v="1"/>
    <n v="1"/>
    <n v="0"/>
    <n v="1"/>
    <n v="0"/>
    <x v="0"/>
    <x v="2"/>
    <x v="2"/>
  </r>
  <r>
    <n v="1910"/>
    <n v="29"/>
    <x v="0"/>
    <x v="0"/>
    <n v="3"/>
    <n v="4"/>
    <x v="2"/>
    <x v="1"/>
    <n v="5.7"/>
    <n v="5"/>
    <n v="6.3"/>
    <x v="0"/>
    <n v="2"/>
    <n v="4"/>
    <n v="0"/>
    <n v="1"/>
    <n v="0"/>
    <n v="1"/>
    <n v="0"/>
    <x v="0"/>
    <x v="1"/>
    <x v="2"/>
  </r>
  <r>
    <n v="1911"/>
    <n v="17"/>
    <x v="0"/>
    <x v="0"/>
    <n v="3.7"/>
    <n v="7.5"/>
    <x v="2"/>
    <x v="1"/>
    <n v="4.0999999999999996"/>
    <n v="7"/>
    <n v="7"/>
    <x v="0"/>
    <n v="7"/>
    <n v="2"/>
    <n v="1"/>
    <n v="1"/>
    <n v="1"/>
    <n v="0"/>
    <n v="1"/>
    <x v="1"/>
    <x v="1"/>
    <x v="2"/>
  </r>
  <r>
    <n v="1912"/>
    <n v="24"/>
    <x v="1"/>
    <x v="1"/>
    <n v="11.2"/>
    <n v="4.8"/>
    <x v="2"/>
    <x v="1"/>
    <n v="6.8"/>
    <n v="1"/>
    <n v="10.9"/>
    <x v="1"/>
    <n v="3"/>
    <n v="4"/>
    <n v="0"/>
    <n v="0"/>
    <n v="0"/>
    <n v="0"/>
    <n v="1"/>
    <x v="0"/>
    <x v="2"/>
    <x v="0"/>
  </r>
  <r>
    <n v="1913"/>
    <n v="52"/>
    <x v="1"/>
    <x v="0"/>
    <n v="10.199999999999999"/>
    <n v="4.7"/>
    <x v="1"/>
    <x v="0"/>
    <n v="5.2"/>
    <n v="4"/>
    <n v="10.1"/>
    <x v="1"/>
    <n v="7"/>
    <n v="0"/>
    <n v="0"/>
    <n v="1"/>
    <n v="0"/>
    <n v="0"/>
    <n v="0"/>
    <x v="0"/>
    <x v="1"/>
    <x v="0"/>
  </r>
  <r>
    <n v="1914"/>
    <n v="35"/>
    <x v="0"/>
    <x v="1"/>
    <n v="5.5"/>
    <n v="2"/>
    <x v="2"/>
    <x v="1"/>
    <n v="8.1"/>
    <n v="2"/>
    <n v="8.4"/>
    <x v="0"/>
    <n v="7"/>
    <n v="4"/>
    <n v="0"/>
    <n v="1"/>
    <n v="1"/>
    <n v="0"/>
    <n v="1"/>
    <x v="2"/>
    <x v="2"/>
    <x v="1"/>
  </r>
  <r>
    <n v="1915"/>
    <n v="41"/>
    <x v="0"/>
    <x v="0"/>
    <n v="8.6"/>
    <n v="1"/>
    <x v="1"/>
    <x v="0"/>
    <n v="7.5"/>
    <n v="6"/>
    <n v="10.9"/>
    <x v="2"/>
    <n v="1"/>
    <n v="3"/>
    <n v="0"/>
    <n v="1"/>
    <n v="0"/>
    <n v="0"/>
    <n v="0"/>
    <x v="2"/>
    <x v="1"/>
    <x v="0"/>
  </r>
  <r>
    <n v="1916"/>
    <n v="44"/>
    <x v="1"/>
    <x v="0"/>
    <n v="7.4"/>
    <n v="6.7"/>
    <x v="2"/>
    <x v="1"/>
    <n v="6.7"/>
    <n v="1"/>
    <n v="8.8000000000000007"/>
    <x v="2"/>
    <n v="6"/>
    <n v="0"/>
    <n v="1"/>
    <n v="0"/>
    <n v="1"/>
    <n v="0"/>
    <n v="1"/>
    <x v="0"/>
    <x v="2"/>
    <x v="1"/>
  </r>
  <r>
    <n v="1917"/>
    <n v="16"/>
    <x v="1"/>
    <x v="1"/>
    <n v="8.8000000000000007"/>
    <n v="1.6"/>
    <x v="2"/>
    <x v="1"/>
    <n v="5.2"/>
    <n v="7"/>
    <n v="10.199999999999999"/>
    <x v="2"/>
    <n v="4"/>
    <n v="0"/>
    <n v="1"/>
    <n v="0"/>
    <n v="1"/>
    <n v="1"/>
    <n v="1"/>
    <x v="0"/>
    <x v="1"/>
    <x v="0"/>
  </r>
  <r>
    <n v="1918"/>
    <n v="50"/>
    <x v="1"/>
    <x v="0"/>
    <n v="8.8000000000000007"/>
    <n v="5.4"/>
    <x v="1"/>
    <x v="0"/>
    <n v="4.3"/>
    <n v="3"/>
    <n v="7.6"/>
    <x v="0"/>
    <n v="8"/>
    <n v="4"/>
    <n v="1"/>
    <n v="0"/>
    <n v="0"/>
    <n v="0"/>
    <n v="1"/>
    <x v="1"/>
    <x v="2"/>
    <x v="0"/>
  </r>
  <r>
    <n v="1919"/>
    <n v="21"/>
    <x v="1"/>
    <x v="2"/>
    <n v="8.3000000000000007"/>
    <n v="7.4"/>
    <x v="1"/>
    <x v="0"/>
    <n v="7.7"/>
    <n v="1"/>
    <n v="7.3"/>
    <x v="1"/>
    <n v="8"/>
    <n v="1"/>
    <n v="0"/>
    <n v="0"/>
    <n v="0"/>
    <n v="1"/>
    <n v="0"/>
    <x v="2"/>
    <x v="2"/>
    <x v="0"/>
  </r>
  <r>
    <n v="1920"/>
    <n v="52"/>
    <x v="0"/>
    <x v="1"/>
    <n v="4.7"/>
    <n v="2.5"/>
    <x v="2"/>
    <x v="1"/>
    <n v="5.9"/>
    <n v="8"/>
    <n v="9.1999999999999993"/>
    <x v="1"/>
    <n v="3"/>
    <n v="2"/>
    <n v="0"/>
    <n v="0"/>
    <n v="1"/>
    <n v="1"/>
    <n v="0"/>
    <x v="0"/>
    <x v="0"/>
    <x v="1"/>
  </r>
  <r>
    <n v="1921"/>
    <n v="20"/>
    <x v="0"/>
    <x v="1"/>
    <n v="2.4"/>
    <n v="5.7"/>
    <x v="2"/>
    <x v="1"/>
    <n v="4.3"/>
    <n v="7"/>
    <n v="2.2000000000000002"/>
    <x v="1"/>
    <n v="4"/>
    <n v="4"/>
    <n v="0"/>
    <n v="0"/>
    <n v="0"/>
    <n v="1"/>
    <n v="1"/>
    <x v="1"/>
    <x v="1"/>
    <x v="2"/>
  </r>
  <r>
    <n v="1922"/>
    <n v="48"/>
    <x v="0"/>
    <x v="1"/>
    <n v="6.6"/>
    <n v="1.6"/>
    <x v="2"/>
    <x v="1"/>
    <n v="4.2"/>
    <n v="2"/>
    <n v="8.9"/>
    <x v="1"/>
    <n v="1"/>
    <n v="4"/>
    <n v="1"/>
    <n v="1"/>
    <n v="0"/>
    <n v="0"/>
    <n v="0"/>
    <x v="1"/>
    <x v="2"/>
    <x v="1"/>
  </r>
  <r>
    <n v="1923"/>
    <n v="29"/>
    <x v="0"/>
    <x v="2"/>
    <n v="10.9"/>
    <n v="5.2"/>
    <x v="2"/>
    <x v="1"/>
    <n v="4"/>
    <n v="7"/>
    <n v="11.3"/>
    <x v="2"/>
    <n v="10"/>
    <n v="2"/>
    <n v="0"/>
    <n v="0"/>
    <n v="1"/>
    <n v="1"/>
    <n v="1"/>
    <x v="1"/>
    <x v="1"/>
    <x v="0"/>
  </r>
  <r>
    <n v="1924"/>
    <n v="27"/>
    <x v="0"/>
    <x v="1"/>
    <n v="7.7"/>
    <n v="2.1"/>
    <x v="1"/>
    <x v="0"/>
    <n v="7.7"/>
    <n v="3"/>
    <n v="9.1"/>
    <x v="2"/>
    <n v="2"/>
    <n v="0"/>
    <n v="1"/>
    <n v="0"/>
    <n v="0"/>
    <n v="0"/>
    <n v="0"/>
    <x v="2"/>
    <x v="2"/>
    <x v="1"/>
  </r>
  <r>
    <n v="1925"/>
    <n v="57"/>
    <x v="1"/>
    <x v="0"/>
    <n v="10.3"/>
    <n v="6.2"/>
    <x v="2"/>
    <x v="1"/>
    <n v="4.4000000000000004"/>
    <n v="9"/>
    <n v="2.4"/>
    <x v="1"/>
    <n v="7"/>
    <n v="0"/>
    <n v="1"/>
    <n v="0"/>
    <n v="1"/>
    <n v="1"/>
    <n v="1"/>
    <x v="1"/>
    <x v="0"/>
    <x v="0"/>
  </r>
  <r>
    <n v="1926"/>
    <n v="35"/>
    <x v="0"/>
    <x v="0"/>
    <n v="11.9"/>
    <n v="3.1"/>
    <x v="2"/>
    <x v="1"/>
    <n v="6.2"/>
    <n v="8"/>
    <n v="5.8"/>
    <x v="0"/>
    <n v="7"/>
    <n v="1"/>
    <n v="0"/>
    <n v="0"/>
    <n v="1"/>
    <n v="1"/>
    <n v="0"/>
    <x v="0"/>
    <x v="0"/>
    <x v="0"/>
  </r>
  <r>
    <n v="1927"/>
    <n v="39"/>
    <x v="1"/>
    <x v="0"/>
    <n v="3.6"/>
    <n v="4.2"/>
    <x v="2"/>
    <x v="1"/>
    <n v="5.7"/>
    <n v="5"/>
    <n v="10.1"/>
    <x v="1"/>
    <n v="9"/>
    <n v="4"/>
    <n v="0"/>
    <n v="0"/>
    <n v="1"/>
    <n v="1"/>
    <n v="0"/>
    <x v="0"/>
    <x v="1"/>
    <x v="2"/>
  </r>
  <r>
    <n v="1928"/>
    <n v="58"/>
    <x v="0"/>
    <x v="1"/>
    <n v="8.9"/>
    <n v="5.2"/>
    <x v="2"/>
    <x v="1"/>
    <n v="6.5"/>
    <n v="7"/>
    <n v="11.6"/>
    <x v="1"/>
    <n v="10"/>
    <n v="2"/>
    <n v="0"/>
    <n v="1"/>
    <n v="0"/>
    <n v="0"/>
    <n v="0"/>
    <x v="0"/>
    <x v="1"/>
    <x v="0"/>
  </r>
  <r>
    <n v="1929"/>
    <n v="49"/>
    <x v="0"/>
    <x v="0"/>
    <n v="8.6999999999999993"/>
    <n v="2.2000000000000002"/>
    <x v="2"/>
    <x v="1"/>
    <n v="8.3000000000000007"/>
    <n v="3"/>
    <n v="5.7"/>
    <x v="0"/>
    <n v="9"/>
    <n v="4"/>
    <n v="0"/>
    <n v="1"/>
    <n v="1"/>
    <n v="1"/>
    <n v="0"/>
    <x v="2"/>
    <x v="2"/>
    <x v="0"/>
  </r>
  <r>
    <n v="1930"/>
    <n v="40"/>
    <x v="0"/>
    <x v="1"/>
    <n v="11.8"/>
    <n v="6.2"/>
    <x v="1"/>
    <x v="0"/>
    <n v="8.1999999999999993"/>
    <n v="1"/>
    <n v="10.4"/>
    <x v="1"/>
    <n v="9"/>
    <n v="3"/>
    <n v="0"/>
    <n v="0"/>
    <n v="0"/>
    <n v="1"/>
    <n v="1"/>
    <x v="2"/>
    <x v="2"/>
    <x v="0"/>
  </r>
  <r>
    <n v="1931"/>
    <n v="44"/>
    <x v="0"/>
    <x v="0"/>
    <n v="11.9"/>
    <n v="3.1"/>
    <x v="1"/>
    <x v="0"/>
    <n v="5.7"/>
    <n v="1"/>
    <n v="10.6"/>
    <x v="2"/>
    <n v="6"/>
    <n v="4"/>
    <n v="1"/>
    <n v="1"/>
    <n v="1"/>
    <n v="1"/>
    <n v="0"/>
    <x v="0"/>
    <x v="2"/>
    <x v="0"/>
  </r>
  <r>
    <n v="1932"/>
    <n v="54"/>
    <x v="0"/>
    <x v="2"/>
    <n v="8.9"/>
    <n v="5.6"/>
    <x v="1"/>
    <x v="0"/>
    <n v="3.1"/>
    <n v="2"/>
    <n v="3.2"/>
    <x v="0"/>
    <n v="8"/>
    <n v="4"/>
    <n v="1"/>
    <n v="0"/>
    <n v="1"/>
    <n v="1"/>
    <n v="0"/>
    <x v="1"/>
    <x v="2"/>
    <x v="0"/>
  </r>
  <r>
    <n v="1933"/>
    <n v="46"/>
    <x v="1"/>
    <x v="2"/>
    <n v="4.4000000000000004"/>
    <n v="2.1"/>
    <x v="1"/>
    <x v="0"/>
    <n v="5.6"/>
    <n v="8"/>
    <n v="10.5"/>
    <x v="0"/>
    <n v="9"/>
    <n v="3"/>
    <n v="0"/>
    <n v="1"/>
    <n v="1"/>
    <n v="1"/>
    <n v="1"/>
    <x v="0"/>
    <x v="0"/>
    <x v="1"/>
  </r>
  <r>
    <n v="1934"/>
    <n v="58"/>
    <x v="1"/>
    <x v="2"/>
    <n v="10"/>
    <n v="5.8"/>
    <x v="1"/>
    <x v="0"/>
    <n v="6.6"/>
    <n v="1"/>
    <n v="5.2"/>
    <x v="1"/>
    <n v="7"/>
    <n v="3"/>
    <n v="0"/>
    <n v="1"/>
    <n v="0"/>
    <n v="1"/>
    <n v="0"/>
    <x v="0"/>
    <x v="2"/>
    <x v="0"/>
  </r>
  <r>
    <n v="1935"/>
    <n v="38"/>
    <x v="1"/>
    <x v="2"/>
    <n v="3.1"/>
    <n v="1.9"/>
    <x v="2"/>
    <x v="1"/>
    <n v="6.3"/>
    <n v="5"/>
    <n v="7.9"/>
    <x v="2"/>
    <n v="4"/>
    <n v="2"/>
    <n v="0"/>
    <n v="0"/>
    <n v="1"/>
    <n v="1"/>
    <n v="0"/>
    <x v="0"/>
    <x v="1"/>
    <x v="2"/>
  </r>
  <r>
    <n v="1936"/>
    <n v="59"/>
    <x v="0"/>
    <x v="1"/>
    <n v="9.8000000000000007"/>
    <n v="4"/>
    <x v="1"/>
    <x v="0"/>
    <n v="6.9"/>
    <n v="9"/>
    <n v="7.4"/>
    <x v="2"/>
    <n v="4"/>
    <n v="0"/>
    <n v="1"/>
    <n v="0"/>
    <n v="1"/>
    <n v="1"/>
    <n v="0"/>
    <x v="0"/>
    <x v="0"/>
    <x v="0"/>
  </r>
  <r>
    <n v="1937"/>
    <n v="53"/>
    <x v="0"/>
    <x v="0"/>
    <n v="11.1"/>
    <n v="2.7"/>
    <x v="1"/>
    <x v="0"/>
    <n v="3.9"/>
    <n v="9"/>
    <n v="8.6"/>
    <x v="2"/>
    <n v="6"/>
    <n v="1"/>
    <n v="1"/>
    <n v="0"/>
    <n v="0"/>
    <n v="1"/>
    <n v="0"/>
    <x v="1"/>
    <x v="0"/>
    <x v="0"/>
  </r>
  <r>
    <n v="1938"/>
    <n v="35"/>
    <x v="1"/>
    <x v="2"/>
    <n v="5.8"/>
    <n v="6.2"/>
    <x v="2"/>
    <x v="1"/>
    <n v="6.9"/>
    <n v="2"/>
    <n v="9.4"/>
    <x v="1"/>
    <n v="4"/>
    <n v="3"/>
    <n v="1"/>
    <n v="1"/>
    <n v="0"/>
    <n v="0"/>
    <n v="0"/>
    <x v="0"/>
    <x v="2"/>
    <x v="1"/>
  </r>
  <r>
    <n v="1939"/>
    <n v="38"/>
    <x v="0"/>
    <x v="1"/>
    <n v="8.3000000000000007"/>
    <n v="2.8"/>
    <x v="1"/>
    <x v="0"/>
    <n v="4.0999999999999996"/>
    <n v="7"/>
    <n v="6.4"/>
    <x v="1"/>
    <n v="7"/>
    <n v="0"/>
    <n v="1"/>
    <n v="1"/>
    <n v="1"/>
    <n v="1"/>
    <n v="0"/>
    <x v="1"/>
    <x v="1"/>
    <x v="0"/>
  </r>
  <r>
    <n v="1940"/>
    <n v="31"/>
    <x v="0"/>
    <x v="2"/>
    <n v="6.3"/>
    <n v="7.2"/>
    <x v="1"/>
    <x v="0"/>
    <n v="7.5"/>
    <n v="1"/>
    <n v="10.9"/>
    <x v="2"/>
    <n v="8"/>
    <n v="2"/>
    <n v="0"/>
    <n v="0"/>
    <n v="0"/>
    <n v="0"/>
    <n v="1"/>
    <x v="2"/>
    <x v="2"/>
    <x v="1"/>
  </r>
  <r>
    <n v="1941"/>
    <n v="57"/>
    <x v="1"/>
    <x v="2"/>
    <n v="6.4"/>
    <n v="7.2"/>
    <x v="1"/>
    <x v="0"/>
    <n v="5"/>
    <n v="3"/>
    <n v="10.1"/>
    <x v="1"/>
    <n v="8"/>
    <n v="4"/>
    <n v="1"/>
    <n v="0"/>
    <n v="1"/>
    <n v="0"/>
    <n v="1"/>
    <x v="0"/>
    <x v="2"/>
    <x v="1"/>
  </r>
  <r>
    <n v="1942"/>
    <n v="23"/>
    <x v="0"/>
    <x v="1"/>
    <n v="5.0999999999999996"/>
    <n v="2.4"/>
    <x v="1"/>
    <x v="0"/>
    <n v="7.3"/>
    <n v="6"/>
    <n v="9.9"/>
    <x v="2"/>
    <n v="8"/>
    <n v="2"/>
    <n v="1"/>
    <n v="1"/>
    <n v="0"/>
    <n v="0"/>
    <n v="1"/>
    <x v="2"/>
    <x v="1"/>
    <x v="1"/>
  </r>
  <r>
    <n v="1943"/>
    <n v="36"/>
    <x v="1"/>
    <x v="1"/>
    <n v="9.6"/>
    <n v="5.3"/>
    <x v="2"/>
    <x v="1"/>
    <n v="3.3"/>
    <n v="9"/>
    <n v="6.6"/>
    <x v="1"/>
    <n v="2"/>
    <n v="2"/>
    <n v="0"/>
    <n v="0"/>
    <n v="1"/>
    <n v="0"/>
    <n v="1"/>
    <x v="1"/>
    <x v="0"/>
    <x v="0"/>
  </r>
  <r>
    <n v="1944"/>
    <n v="16"/>
    <x v="0"/>
    <x v="0"/>
    <n v="11.4"/>
    <n v="1.6"/>
    <x v="2"/>
    <x v="1"/>
    <n v="5.4"/>
    <n v="10"/>
    <n v="2.4"/>
    <x v="0"/>
    <n v="10"/>
    <n v="3"/>
    <n v="0"/>
    <n v="1"/>
    <n v="1"/>
    <n v="1"/>
    <n v="1"/>
    <x v="0"/>
    <x v="0"/>
    <x v="0"/>
  </r>
  <r>
    <n v="1945"/>
    <n v="23"/>
    <x v="1"/>
    <x v="0"/>
    <n v="11.4"/>
    <n v="3.7"/>
    <x v="1"/>
    <x v="0"/>
    <n v="7.2"/>
    <n v="2"/>
    <n v="6.9"/>
    <x v="0"/>
    <n v="2"/>
    <n v="1"/>
    <n v="1"/>
    <n v="1"/>
    <n v="1"/>
    <n v="0"/>
    <n v="0"/>
    <x v="2"/>
    <x v="2"/>
    <x v="0"/>
  </r>
  <r>
    <n v="1946"/>
    <n v="44"/>
    <x v="0"/>
    <x v="2"/>
    <n v="3.7"/>
    <n v="6"/>
    <x v="2"/>
    <x v="1"/>
    <n v="4.4000000000000004"/>
    <n v="7"/>
    <n v="11"/>
    <x v="1"/>
    <n v="2"/>
    <n v="3"/>
    <n v="0"/>
    <n v="0"/>
    <n v="1"/>
    <n v="0"/>
    <n v="1"/>
    <x v="1"/>
    <x v="1"/>
    <x v="2"/>
  </r>
  <r>
    <n v="1947"/>
    <n v="47"/>
    <x v="0"/>
    <x v="2"/>
    <n v="10.7"/>
    <n v="5.6"/>
    <x v="1"/>
    <x v="0"/>
    <n v="7.8"/>
    <n v="4"/>
    <n v="3.9"/>
    <x v="1"/>
    <n v="2"/>
    <n v="4"/>
    <n v="0"/>
    <n v="1"/>
    <n v="0"/>
    <n v="0"/>
    <n v="0"/>
    <x v="2"/>
    <x v="1"/>
    <x v="0"/>
  </r>
  <r>
    <n v="1948"/>
    <n v="53"/>
    <x v="1"/>
    <x v="0"/>
    <n v="9.4"/>
    <n v="5.4"/>
    <x v="2"/>
    <x v="1"/>
    <n v="6.8"/>
    <n v="2"/>
    <n v="11.8"/>
    <x v="2"/>
    <n v="4"/>
    <n v="3"/>
    <n v="0"/>
    <n v="1"/>
    <n v="1"/>
    <n v="0"/>
    <n v="0"/>
    <x v="0"/>
    <x v="2"/>
    <x v="0"/>
  </r>
  <r>
    <n v="1949"/>
    <n v="20"/>
    <x v="0"/>
    <x v="0"/>
    <n v="4.5"/>
    <n v="3"/>
    <x v="2"/>
    <x v="1"/>
    <n v="6.5"/>
    <n v="3"/>
    <n v="10.1"/>
    <x v="0"/>
    <n v="5"/>
    <n v="4"/>
    <n v="1"/>
    <n v="1"/>
    <n v="1"/>
    <n v="1"/>
    <n v="0"/>
    <x v="0"/>
    <x v="2"/>
    <x v="1"/>
  </r>
  <r>
    <n v="1950"/>
    <n v="37"/>
    <x v="0"/>
    <x v="1"/>
    <n v="2.7"/>
    <n v="3.6"/>
    <x v="2"/>
    <x v="1"/>
    <n v="5.0999999999999996"/>
    <n v="6"/>
    <n v="9.1"/>
    <x v="2"/>
    <n v="4"/>
    <n v="3"/>
    <n v="1"/>
    <n v="1"/>
    <n v="0"/>
    <n v="1"/>
    <n v="1"/>
    <x v="0"/>
    <x v="1"/>
    <x v="2"/>
  </r>
  <r>
    <n v="1951"/>
    <n v="49"/>
    <x v="1"/>
    <x v="0"/>
    <n v="4.7"/>
    <n v="1.7"/>
    <x v="2"/>
    <x v="1"/>
    <n v="5.9"/>
    <n v="10"/>
    <n v="8.8000000000000007"/>
    <x v="1"/>
    <n v="5"/>
    <n v="1"/>
    <n v="0"/>
    <n v="0"/>
    <n v="1"/>
    <n v="1"/>
    <n v="1"/>
    <x v="0"/>
    <x v="0"/>
    <x v="1"/>
  </r>
  <r>
    <n v="1952"/>
    <n v="16"/>
    <x v="0"/>
    <x v="0"/>
    <n v="11.1"/>
    <n v="6"/>
    <x v="2"/>
    <x v="1"/>
    <n v="6.6"/>
    <n v="9"/>
    <n v="7.9"/>
    <x v="2"/>
    <n v="4"/>
    <n v="0"/>
    <n v="0"/>
    <n v="1"/>
    <n v="1"/>
    <n v="1"/>
    <n v="1"/>
    <x v="0"/>
    <x v="0"/>
    <x v="0"/>
  </r>
  <r>
    <n v="1953"/>
    <n v="41"/>
    <x v="1"/>
    <x v="2"/>
    <n v="8.3000000000000007"/>
    <n v="4.5"/>
    <x v="2"/>
    <x v="1"/>
    <n v="5.8"/>
    <n v="8"/>
    <n v="9.1999999999999993"/>
    <x v="2"/>
    <n v="7"/>
    <n v="1"/>
    <n v="1"/>
    <n v="0"/>
    <n v="1"/>
    <n v="0"/>
    <n v="1"/>
    <x v="0"/>
    <x v="0"/>
    <x v="0"/>
  </r>
  <r>
    <n v="1954"/>
    <n v="58"/>
    <x v="0"/>
    <x v="0"/>
    <n v="9.1999999999999993"/>
    <n v="6"/>
    <x v="2"/>
    <x v="1"/>
    <n v="7.2"/>
    <n v="10"/>
    <n v="6.2"/>
    <x v="1"/>
    <n v="10"/>
    <n v="3"/>
    <n v="1"/>
    <n v="1"/>
    <n v="1"/>
    <n v="1"/>
    <n v="0"/>
    <x v="2"/>
    <x v="0"/>
    <x v="0"/>
  </r>
  <r>
    <n v="1955"/>
    <n v="25"/>
    <x v="0"/>
    <x v="2"/>
    <n v="4.5999999999999996"/>
    <n v="2.7"/>
    <x v="2"/>
    <x v="1"/>
    <n v="5.6"/>
    <n v="9"/>
    <n v="10.5"/>
    <x v="0"/>
    <n v="1"/>
    <n v="2"/>
    <n v="0"/>
    <n v="0"/>
    <n v="1"/>
    <n v="0"/>
    <n v="1"/>
    <x v="0"/>
    <x v="0"/>
    <x v="1"/>
  </r>
  <r>
    <n v="1956"/>
    <n v="45"/>
    <x v="0"/>
    <x v="0"/>
    <n v="9.1999999999999993"/>
    <n v="3.3"/>
    <x v="2"/>
    <x v="1"/>
    <n v="4.2"/>
    <n v="4"/>
    <n v="9"/>
    <x v="2"/>
    <n v="1"/>
    <n v="0"/>
    <n v="0"/>
    <n v="1"/>
    <n v="1"/>
    <n v="1"/>
    <n v="0"/>
    <x v="1"/>
    <x v="1"/>
    <x v="0"/>
  </r>
  <r>
    <n v="1957"/>
    <n v="33"/>
    <x v="0"/>
    <x v="1"/>
    <n v="2.2999999999999998"/>
    <n v="3.3"/>
    <x v="2"/>
    <x v="1"/>
    <n v="4.3"/>
    <n v="4"/>
    <n v="9.6999999999999993"/>
    <x v="1"/>
    <n v="2"/>
    <n v="2"/>
    <n v="1"/>
    <n v="1"/>
    <n v="1"/>
    <n v="1"/>
    <n v="1"/>
    <x v="1"/>
    <x v="1"/>
    <x v="2"/>
  </r>
  <r>
    <n v="1958"/>
    <n v="32"/>
    <x v="1"/>
    <x v="0"/>
    <n v="5.8"/>
    <n v="1.2"/>
    <x v="2"/>
    <x v="1"/>
    <n v="3"/>
    <n v="9"/>
    <n v="9.9"/>
    <x v="2"/>
    <n v="1"/>
    <n v="1"/>
    <n v="0"/>
    <n v="0"/>
    <n v="1"/>
    <n v="0"/>
    <n v="1"/>
    <x v="1"/>
    <x v="0"/>
    <x v="1"/>
  </r>
  <r>
    <n v="1959"/>
    <n v="41"/>
    <x v="0"/>
    <x v="0"/>
    <n v="8.3000000000000007"/>
    <n v="3.4"/>
    <x v="1"/>
    <x v="0"/>
    <n v="4.8"/>
    <n v="8"/>
    <n v="2.9"/>
    <x v="1"/>
    <n v="10"/>
    <n v="0"/>
    <n v="1"/>
    <n v="1"/>
    <n v="0"/>
    <n v="1"/>
    <n v="0"/>
    <x v="1"/>
    <x v="0"/>
    <x v="0"/>
  </r>
  <r>
    <n v="1960"/>
    <n v="23"/>
    <x v="1"/>
    <x v="0"/>
    <n v="3.5"/>
    <n v="6.6"/>
    <x v="2"/>
    <x v="1"/>
    <n v="7.5"/>
    <n v="2"/>
    <n v="2.6"/>
    <x v="1"/>
    <n v="10"/>
    <n v="3"/>
    <n v="0"/>
    <n v="0"/>
    <n v="0"/>
    <n v="1"/>
    <n v="1"/>
    <x v="2"/>
    <x v="2"/>
    <x v="2"/>
  </r>
  <r>
    <n v="1961"/>
    <n v="55"/>
    <x v="0"/>
    <x v="2"/>
    <n v="10.199999999999999"/>
    <n v="7.3"/>
    <x v="1"/>
    <x v="0"/>
    <n v="7.8"/>
    <n v="8"/>
    <n v="10"/>
    <x v="1"/>
    <n v="3"/>
    <n v="2"/>
    <n v="1"/>
    <n v="1"/>
    <n v="1"/>
    <n v="1"/>
    <n v="0"/>
    <x v="2"/>
    <x v="0"/>
    <x v="0"/>
  </r>
  <r>
    <n v="1962"/>
    <n v="27"/>
    <x v="0"/>
    <x v="1"/>
    <n v="4.4000000000000004"/>
    <n v="4.5999999999999996"/>
    <x v="2"/>
    <x v="1"/>
    <n v="4.2"/>
    <n v="1"/>
    <n v="4.5999999999999996"/>
    <x v="0"/>
    <n v="6"/>
    <n v="3"/>
    <n v="0"/>
    <n v="0"/>
    <n v="0"/>
    <n v="0"/>
    <n v="0"/>
    <x v="1"/>
    <x v="2"/>
    <x v="1"/>
  </r>
  <r>
    <n v="1963"/>
    <n v="42"/>
    <x v="0"/>
    <x v="0"/>
    <n v="8.5"/>
    <n v="4.2"/>
    <x v="1"/>
    <x v="0"/>
    <n v="8.8000000000000007"/>
    <n v="9"/>
    <n v="7.8"/>
    <x v="0"/>
    <n v="10"/>
    <n v="4"/>
    <n v="1"/>
    <n v="0"/>
    <n v="0"/>
    <n v="1"/>
    <n v="1"/>
    <x v="2"/>
    <x v="0"/>
    <x v="0"/>
  </r>
  <r>
    <n v="1964"/>
    <n v="23"/>
    <x v="0"/>
    <x v="2"/>
    <n v="6.1"/>
    <n v="1.2"/>
    <x v="1"/>
    <x v="0"/>
    <n v="6"/>
    <n v="9"/>
    <n v="6.4"/>
    <x v="1"/>
    <n v="6"/>
    <n v="0"/>
    <n v="0"/>
    <n v="1"/>
    <n v="0"/>
    <n v="0"/>
    <n v="1"/>
    <x v="0"/>
    <x v="0"/>
    <x v="1"/>
  </r>
  <r>
    <n v="1965"/>
    <n v="40"/>
    <x v="1"/>
    <x v="1"/>
    <n v="8"/>
    <n v="7.2"/>
    <x v="1"/>
    <x v="0"/>
    <n v="8.5"/>
    <n v="8"/>
    <n v="2.2000000000000002"/>
    <x v="0"/>
    <n v="1"/>
    <n v="2"/>
    <n v="0"/>
    <n v="1"/>
    <n v="0"/>
    <n v="1"/>
    <n v="0"/>
    <x v="2"/>
    <x v="0"/>
    <x v="1"/>
  </r>
  <r>
    <n v="1966"/>
    <n v="19"/>
    <x v="1"/>
    <x v="2"/>
    <n v="3.1"/>
    <n v="1.1000000000000001"/>
    <x v="2"/>
    <x v="1"/>
    <n v="7.2"/>
    <n v="5"/>
    <n v="2.4"/>
    <x v="2"/>
    <n v="6"/>
    <n v="1"/>
    <n v="0"/>
    <n v="1"/>
    <n v="0"/>
    <n v="1"/>
    <n v="0"/>
    <x v="2"/>
    <x v="1"/>
    <x v="2"/>
  </r>
  <r>
    <n v="1967"/>
    <n v="48"/>
    <x v="1"/>
    <x v="2"/>
    <n v="2.2000000000000002"/>
    <n v="7.6"/>
    <x v="2"/>
    <x v="1"/>
    <n v="7.3"/>
    <n v="5"/>
    <n v="10.3"/>
    <x v="0"/>
    <n v="5"/>
    <n v="1"/>
    <n v="0"/>
    <n v="1"/>
    <n v="1"/>
    <n v="1"/>
    <n v="1"/>
    <x v="2"/>
    <x v="1"/>
    <x v="2"/>
  </r>
  <r>
    <n v="1968"/>
    <n v="16"/>
    <x v="1"/>
    <x v="1"/>
    <n v="11.1"/>
    <n v="4.4000000000000004"/>
    <x v="2"/>
    <x v="1"/>
    <n v="3.5"/>
    <n v="3"/>
    <n v="8.1"/>
    <x v="0"/>
    <n v="7"/>
    <n v="1"/>
    <n v="1"/>
    <n v="1"/>
    <n v="1"/>
    <n v="1"/>
    <n v="0"/>
    <x v="1"/>
    <x v="2"/>
    <x v="0"/>
  </r>
  <r>
    <n v="1969"/>
    <n v="34"/>
    <x v="0"/>
    <x v="0"/>
    <n v="4.7"/>
    <n v="3.4"/>
    <x v="2"/>
    <x v="1"/>
    <n v="4.3"/>
    <n v="5"/>
    <n v="7.2"/>
    <x v="2"/>
    <n v="6"/>
    <n v="1"/>
    <n v="0"/>
    <n v="1"/>
    <n v="1"/>
    <n v="0"/>
    <n v="1"/>
    <x v="1"/>
    <x v="1"/>
    <x v="1"/>
  </r>
  <r>
    <n v="1970"/>
    <n v="46"/>
    <x v="1"/>
    <x v="2"/>
    <n v="10.199999999999999"/>
    <n v="7.5"/>
    <x v="1"/>
    <x v="0"/>
    <n v="3.1"/>
    <n v="4"/>
    <n v="11.4"/>
    <x v="2"/>
    <n v="7"/>
    <n v="2"/>
    <n v="1"/>
    <n v="1"/>
    <n v="1"/>
    <n v="0"/>
    <n v="1"/>
    <x v="1"/>
    <x v="1"/>
    <x v="0"/>
  </r>
  <r>
    <n v="1971"/>
    <n v="31"/>
    <x v="1"/>
    <x v="2"/>
    <n v="12"/>
    <n v="1.2"/>
    <x v="2"/>
    <x v="1"/>
    <n v="7.3"/>
    <n v="1"/>
    <n v="3.7"/>
    <x v="2"/>
    <n v="2"/>
    <n v="4"/>
    <n v="1"/>
    <n v="1"/>
    <n v="1"/>
    <n v="1"/>
    <n v="0"/>
    <x v="2"/>
    <x v="2"/>
    <x v="0"/>
  </r>
  <r>
    <n v="1972"/>
    <n v="29"/>
    <x v="0"/>
    <x v="0"/>
    <n v="4.0999999999999996"/>
    <n v="5.0999999999999996"/>
    <x v="2"/>
    <x v="1"/>
    <n v="5.0999999999999996"/>
    <n v="9"/>
    <n v="4.5999999999999996"/>
    <x v="1"/>
    <n v="1"/>
    <n v="1"/>
    <n v="0"/>
    <n v="1"/>
    <n v="1"/>
    <n v="1"/>
    <n v="1"/>
    <x v="0"/>
    <x v="0"/>
    <x v="1"/>
  </r>
  <r>
    <n v="1973"/>
    <n v="20"/>
    <x v="0"/>
    <x v="0"/>
    <n v="4.7"/>
    <n v="4.8"/>
    <x v="2"/>
    <x v="1"/>
    <n v="7.7"/>
    <n v="10"/>
    <n v="9.6"/>
    <x v="2"/>
    <n v="7"/>
    <n v="1"/>
    <n v="1"/>
    <n v="0"/>
    <n v="0"/>
    <n v="1"/>
    <n v="1"/>
    <x v="2"/>
    <x v="0"/>
    <x v="1"/>
  </r>
  <r>
    <n v="1974"/>
    <n v="56"/>
    <x v="0"/>
    <x v="1"/>
    <n v="8.6"/>
    <n v="2.5"/>
    <x v="2"/>
    <x v="1"/>
    <n v="5"/>
    <n v="4"/>
    <n v="9.8000000000000007"/>
    <x v="2"/>
    <n v="9"/>
    <n v="1"/>
    <n v="0"/>
    <n v="0"/>
    <n v="0"/>
    <n v="1"/>
    <n v="1"/>
    <x v="0"/>
    <x v="1"/>
    <x v="0"/>
  </r>
  <r>
    <n v="1975"/>
    <n v="41"/>
    <x v="0"/>
    <x v="1"/>
    <n v="11.7"/>
    <n v="4"/>
    <x v="2"/>
    <x v="1"/>
    <n v="7.9"/>
    <n v="3"/>
    <n v="6"/>
    <x v="2"/>
    <n v="2"/>
    <n v="4"/>
    <n v="1"/>
    <n v="0"/>
    <n v="1"/>
    <n v="1"/>
    <n v="0"/>
    <x v="2"/>
    <x v="2"/>
    <x v="0"/>
  </r>
  <r>
    <n v="1976"/>
    <n v="43"/>
    <x v="1"/>
    <x v="1"/>
    <n v="11.2"/>
    <n v="5.6"/>
    <x v="2"/>
    <x v="1"/>
    <n v="3.8"/>
    <n v="6"/>
    <n v="11.5"/>
    <x v="1"/>
    <n v="7"/>
    <n v="0"/>
    <n v="0"/>
    <n v="1"/>
    <n v="1"/>
    <n v="1"/>
    <n v="1"/>
    <x v="1"/>
    <x v="1"/>
    <x v="0"/>
  </r>
  <r>
    <n v="1977"/>
    <n v="17"/>
    <x v="1"/>
    <x v="0"/>
    <n v="7"/>
    <n v="6.1"/>
    <x v="2"/>
    <x v="1"/>
    <n v="4"/>
    <n v="1"/>
    <n v="11.4"/>
    <x v="0"/>
    <n v="3"/>
    <n v="1"/>
    <n v="0"/>
    <n v="0"/>
    <n v="0"/>
    <n v="1"/>
    <n v="0"/>
    <x v="1"/>
    <x v="2"/>
    <x v="1"/>
  </r>
  <r>
    <n v="1978"/>
    <n v="21"/>
    <x v="0"/>
    <x v="2"/>
    <n v="10"/>
    <n v="1"/>
    <x v="2"/>
    <x v="1"/>
    <n v="5"/>
    <n v="5"/>
    <n v="2.1"/>
    <x v="1"/>
    <n v="6"/>
    <n v="1"/>
    <n v="1"/>
    <n v="1"/>
    <n v="0"/>
    <n v="0"/>
    <n v="1"/>
    <x v="0"/>
    <x v="1"/>
    <x v="0"/>
  </r>
  <r>
    <n v="1979"/>
    <n v="24"/>
    <x v="0"/>
    <x v="2"/>
    <n v="3.4"/>
    <n v="7.6"/>
    <x v="1"/>
    <x v="0"/>
    <n v="5.5"/>
    <n v="7"/>
    <n v="3.7"/>
    <x v="0"/>
    <n v="3"/>
    <n v="1"/>
    <n v="1"/>
    <n v="1"/>
    <n v="1"/>
    <n v="1"/>
    <n v="0"/>
    <x v="0"/>
    <x v="1"/>
    <x v="2"/>
  </r>
  <r>
    <n v="1980"/>
    <n v="48"/>
    <x v="0"/>
    <x v="1"/>
    <n v="11.8"/>
    <n v="2.2000000000000002"/>
    <x v="1"/>
    <x v="0"/>
    <n v="5.0999999999999996"/>
    <n v="2"/>
    <n v="10.199999999999999"/>
    <x v="2"/>
    <n v="10"/>
    <n v="0"/>
    <n v="0"/>
    <n v="1"/>
    <n v="1"/>
    <n v="0"/>
    <n v="0"/>
    <x v="0"/>
    <x v="2"/>
    <x v="0"/>
  </r>
  <r>
    <n v="1981"/>
    <n v="56"/>
    <x v="1"/>
    <x v="0"/>
    <n v="11.6"/>
    <n v="2.6"/>
    <x v="2"/>
    <x v="1"/>
    <n v="7.6"/>
    <n v="10"/>
    <n v="5.4"/>
    <x v="1"/>
    <n v="5"/>
    <n v="1"/>
    <n v="1"/>
    <n v="1"/>
    <n v="1"/>
    <n v="1"/>
    <n v="1"/>
    <x v="2"/>
    <x v="0"/>
    <x v="0"/>
  </r>
  <r>
    <n v="1982"/>
    <n v="40"/>
    <x v="1"/>
    <x v="2"/>
    <n v="3.6"/>
    <n v="2.8"/>
    <x v="2"/>
    <x v="1"/>
    <n v="3.6"/>
    <n v="9"/>
    <n v="3"/>
    <x v="1"/>
    <n v="2"/>
    <n v="0"/>
    <n v="0"/>
    <n v="0"/>
    <n v="1"/>
    <n v="0"/>
    <n v="1"/>
    <x v="1"/>
    <x v="0"/>
    <x v="2"/>
  </r>
  <r>
    <n v="1983"/>
    <n v="28"/>
    <x v="0"/>
    <x v="1"/>
    <n v="5"/>
    <n v="1.3"/>
    <x v="2"/>
    <x v="1"/>
    <n v="5.0999999999999996"/>
    <n v="6"/>
    <n v="9.8000000000000007"/>
    <x v="0"/>
    <n v="8"/>
    <n v="0"/>
    <n v="0"/>
    <n v="0"/>
    <n v="0"/>
    <n v="1"/>
    <n v="1"/>
    <x v="0"/>
    <x v="1"/>
    <x v="1"/>
  </r>
  <r>
    <n v="1984"/>
    <n v="24"/>
    <x v="0"/>
    <x v="2"/>
    <n v="3"/>
    <n v="1.9"/>
    <x v="2"/>
    <x v="1"/>
    <n v="8"/>
    <n v="2"/>
    <n v="6.5"/>
    <x v="1"/>
    <n v="8"/>
    <n v="3"/>
    <n v="1"/>
    <n v="0"/>
    <n v="0"/>
    <n v="0"/>
    <n v="0"/>
    <x v="2"/>
    <x v="2"/>
    <x v="2"/>
  </r>
  <r>
    <n v="1985"/>
    <n v="28"/>
    <x v="1"/>
    <x v="2"/>
    <n v="4.7"/>
    <n v="7.9"/>
    <x v="1"/>
    <x v="0"/>
    <n v="3.4"/>
    <n v="8"/>
    <n v="6.9"/>
    <x v="1"/>
    <n v="7"/>
    <n v="3"/>
    <n v="0"/>
    <n v="1"/>
    <n v="1"/>
    <n v="1"/>
    <n v="0"/>
    <x v="1"/>
    <x v="0"/>
    <x v="1"/>
  </r>
  <r>
    <n v="1986"/>
    <n v="46"/>
    <x v="0"/>
    <x v="0"/>
    <n v="10.199999999999999"/>
    <n v="3.2"/>
    <x v="1"/>
    <x v="0"/>
    <n v="8.6999999999999993"/>
    <n v="8"/>
    <n v="3.9"/>
    <x v="0"/>
    <n v="6"/>
    <n v="1"/>
    <n v="1"/>
    <n v="1"/>
    <n v="0"/>
    <n v="1"/>
    <n v="0"/>
    <x v="2"/>
    <x v="0"/>
    <x v="0"/>
  </r>
  <r>
    <n v="1987"/>
    <n v="56"/>
    <x v="0"/>
    <x v="0"/>
    <n v="5.8"/>
    <n v="1.8"/>
    <x v="2"/>
    <x v="1"/>
    <n v="8.9"/>
    <n v="1"/>
    <n v="8.6"/>
    <x v="1"/>
    <n v="1"/>
    <n v="2"/>
    <n v="0"/>
    <n v="0"/>
    <n v="0"/>
    <n v="0"/>
    <n v="0"/>
    <x v="2"/>
    <x v="2"/>
    <x v="1"/>
  </r>
  <r>
    <n v="1988"/>
    <n v="26"/>
    <x v="1"/>
    <x v="2"/>
    <n v="2.9"/>
    <n v="1.7"/>
    <x v="1"/>
    <x v="0"/>
    <n v="3.5"/>
    <n v="1"/>
    <n v="7.5"/>
    <x v="1"/>
    <n v="8"/>
    <n v="3"/>
    <n v="0"/>
    <n v="1"/>
    <n v="0"/>
    <n v="0"/>
    <n v="0"/>
    <x v="1"/>
    <x v="2"/>
    <x v="2"/>
  </r>
  <r>
    <n v="1989"/>
    <n v="19"/>
    <x v="0"/>
    <x v="1"/>
    <n v="5.4"/>
    <n v="6"/>
    <x v="1"/>
    <x v="0"/>
    <n v="4.7"/>
    <n v="1"/>
    <n v="4.0999999999999996"/>
    <x v="2"/>
    <n v="1"/>
    <n v="3"/>
    <n v="0"/>
    <n v="0"/>
    <n v="0"/>
    <n v="1"/>
    <n v="0"/>
    <x v="1"/>
    <x v="2"/>
    <x v="1"/>
  </r>
  <r>
    <n v="1990"/>
    <n v="49"/>
    <x v="1"/>
    <x v="0"/>
    <n v="11.8"/>
    <n v="7"/>
    <x v="2"/>
    <x v="1"/>
    <n v="5.2"/>
    <n v="4"/>
    <n v="5.4"/>
    <x v="2"/>
    <n v="8"/>
    <n v="2"/>
    <n v="1"/>
    <n v="0"/>
    <n v="1"/>
    <n v="1"/>
    <n v="0"/>
    <x v="0"/>
    <x v="1"/>
    <x v="0"/>
  </r>
  <r>
    <n v="1991"/>
    <n v="53"/>
    <x v="0"/>
    <x v="2"/>
    <n v="8.3000000000000007"/>
    <n v="2.8"/>
    <x v="2"/>
    <x v="1"/>
    <n v="7.7"/>
    <n v="4"/>
    <n v="8"/>
    <x v="2"/>
    <n v="2"/>
    <n v="4"/>
    <n v="0"/>
    <n v="0"/>
    <n v="1"/>
    <n v="1"/>
    <n v="1"/>
    <x v="2"/>
    <x v="1"/>
    <x v="0"/>
  </r>
  <r>
    <n v="1992"/>
    <n v="19"/>
    <x v="0"/>
    <x v="0"/>
    <n v="6.2"/>
    <n v="1.1000000000000001"/>
    <x v="2"/>
    <x v="1"/>
    <n v="6.6"/>
    <n v="8"/>
    <n v="11.2"/>
    <x v="2"/>
    <n v="8"/>
    <n v="1"/>
    <n v="0"/>
    <n v="1"/>
    <n v="0"/>
    <n v="0"/>
    <n v="1"/>
    <x v="0"/>
    <x v="0"/>
    <x v="1"/>
  </r>
  <r>
    <n v="1993"/>
    <n v="53"/>
    <x v="1"/>
    <x v="0"/>
    <n v="3.7"/>
    <n v="2.6"/>
    <x v="1"/>
    <x v="0"/>
    <n v="6.9"/>
    <n v="1"/>
    <n v="11.2"/>
    <x v="2"/>
    <n v="10"/>
    <n v="4"/>
    <n v="1"/>
    <n v="0"/>
    <n v="0"/>
    <n v="0"/>
    <n v="0"/>
    <x v="0"/>
    <x v="2"/>
    <x v="2"/>
  </r>
  <r>
    <n v="1994"/>
    <n v="34"/>
    <x v="1"/>
    <x v="0"/>
    <n v="11.9"/>
    <n v="1.4"/>
    <x v="1"/>
    <x v="0"/>
    <n v="7.5"/>
    <n v="10"/>
    <n v="4.9000000000000004"/>
    <x v="1"/>
    <n v="4"/>
    <n v="4"/>
    <n v="0"/>
    <n v="1"/>
    <n v="0"/>
    <n v="1"/>
    <n v="0"/>
    <x v="2"/>
    <x v="0"/>
    <x v="0"/>
  </r>
  <r>
    <n v="1995"/>
    <n v="21"/>
    <x v="0"/>
    <x v="2"/>
    <n v="10.199999999999999"/>
    <n v="1.7"/>
    <x v="2"/>
    <x v="1"/>
    <n v="3.7"/>
    <n v="3"/>
    <n v="9.4"/>
    <x v="1"/>
    <n v="7"/>
    <n v="0"/>
    <n v="1"/>
    <n v="0"/>
    <n v="0"/>
    <n v="1"/>
    <n v="1"/>
    <x v="1"/>
    <x v="2"/>
    <x v="0"/>
  </r>
  <r>
    <n v="1996"/>
    <n v="49"/>
    <x v="1"/>
    <x v="1"/>
    <n v="4.8"/>
    <n v="4"/>
    <x v="2"/>
    <x v="1"/>
    <n v="8"/>
    <n v="1"/>
    <n v="9.8000000000000007"/>
    <x v="2"/>
    <n v="5"/>
    <n v="0"/>
    <n v="1"/>
    <n v="1"/>
    <n v="1"/>
    <n v="0"/>
    <n v="0"/>
    <x v="2"/>
    <x v="2"/>
    <x v="1"/>
  </r>
  <r>
    <n v="1997"/>
    <n v="33"/>
    <x v="0"/>
    <x v="1"/>
    <n v="2.7"/>
    <n v="2.6"/>
    <x v="1"/>
    <x v="0"/>
    <n v="7.2"/>
    <n v="9"/>
    <n v="10.1"/>
    <x v="0"/>
    <n v="8"/>
    <n v="1"/>
    <n v="1"/>
    <n v="1"/>
    <n v="1"/>
    <n v="1"/>
    <n v="1"/>
    <x v="2"/>
    <x v="0"/>
    <x v="2"/>
  </r>
  <r>
    <n v="1998"/>
    <n v="28"/>
    <x v="0"/>
    <x v="1"/>
    <n v="2.6"/>
    <n v="4.5999999999999996"/>
    <x v="1"/>
    <x v="0"/>
    <n v="6.5"/>
    <n v="10"/>
    <n v="7.7"/>
    <x v="2"/>
    <n v="6"/>
    <n v="2"/>
    <n v="0"/>
    <n v="0"/>
    <n v="0"/>
    <n v="1"/>
    <n v="1"/>
    <x v="0"/>
    <x v="0"/>
    <x v="2"/>
  </r>
  <r>
    <n v="1999"/>
    <n v="56"/>
    <x v="1"/>
    <x v="0"/>
    <n v="3.2"/>
    <n v="2.8"/>
    <x v="2"/>
    <x v="1"/>
    <n v="8.3000000000000007"/>
    <n v="9"/>
    <n v="2.1"/>
    <x v="1"/>
    <n v="5"/>
    <n v="0"/>
    <n v="1"/>
    <n v="1"/>
    <n v="0"/>
    <n v="0"/>
    <n v="0"/>
    <x v="2"/>
    <x v="0"/>
    <x v="2"/>
  </r>
  <r>
    <n v="2000"/>
    <n v="38"/>
    <x v="0"/>
    <x v="2"/>
    <n v="7.8"/>
    <n v="7.6"/>
    <x v="1"/>
    <x v="0"/>
    <n v="7.2"/>
    <n v="7"/>
    <n v="9.6"/>
    <x v="0"/>
    <n v="1"/>
    <n v="3"/>
    <n v="0"/>
    <n v="1"/>
    <n v="1"/>
    <n v="0"/>
    <n v="1"/>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D1D5D6-AFC6-4728-8FF5-B85BC73DB51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2">
    <pivotField showAll="0"/>
    <pivotField showAll="0"/>
    <pivotField showAll="0">
      <items count="3">
        <item x="1"/>
        <item x="0"/>
        <item t="default"/>
      </items>
    </pivotField>
    <pivotField axis="axisRow" showAll="0">
      <items count="4">
        <item x="1"/>
        <item x="0"/>
        <item x="2"/>
        <item t="default"/>
      </items>
    </pivotField>
    <pivotField showAll="0"/>
    <pivotField showAll="0"/>
    <pivotField showAll="0"/>
    <pivotField showAll="0"/>
    <pivotField showAll="0"/>
    <pivotField dataField="1"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s>
  <rowFields count="1">
    <field x="3"/>
  </rowFields>
  <rowItems count="4">
    <i>
      <x/>
    </i>
    <i>
      <x v="1"/>
    </i>
    <i>
      <x v="2"/>
    </i>
    <i t="grand">
      <x/>
    </i>
  </rowItems>
  <colItems count="1">
    <i/>
  </colItems>
  <dataFields count="1">
    <dataField name="Average of Stress_Level" fld="9" subtotal="average" baseField="3" baseItem="0"/>
  </dataField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0AB1E4-5C63-4B5D-8E5E-A5F5F15DA33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2">
    <pivotField showAll="0"/>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19"/>
  </rowFields>
  <rowItems count="4">
    <i>
      <x/>
    </i>
    <i>
      <x v="1"/>
    </i>
    <i>
      <x v="2"/>
    </i>
    <i t="grand">
      <x/>
    </i>
  </rowItems>
  <colItems count="1">
    <i/>
  </colItems>
  <dataFields count="1">
    <dataField name="Average of Stress_Level" fld="9" subtotal="average" baseField="18" baseItem="0"/>
  </dataField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9" count="1" selected="0">
            <x v="1"/>
          </reference>
        </references>
      </pivotArea>
    </chartFormat>
    <chartFormat chart="4" format="6">
      <pivotArea type="data" outline="0" fieldPosition="0">
        <references count="2">
          <reference field="4294967294" count="1" selected="0">
            <x v="0"/>
          </reference>
          <reference field="19" count="1" selected="0">
            <x v="0"/>
          </reference>
        </references>
      </pivotArea>
    </chartFormat>
    <chartFormat chart="4" format="7">
      <pivotArea type="data" outline="0" fieldPosition="0">
        <references count="2">
          <reference field="4294967294" count="1" selected="0">
            <x v="0"/>
          </reference>
          <reference field="19" count="1" selected="0">
            <x v="2"/>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9" count="1" selected="0">
            <x v="0"/>
          </reference>
        </references>
      </pivotArea>
    </chartFormat>
    <chartFormat chart="10" format="14">
      <pivotArea type="data" outline="0" fieldPosition="0">
        <references count="2">
          <reference field="4294967294" count="1" selected="0">
            <x v="0"/>
          </reference>
          <reference field="19" count="1" selected="0">
            <x v="1"/>
          </reference>
        </references>
      </pivotArea>
    </chartFormat>
    <chartFormat chart="10" format="15">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C807BC-96F0-4531-BC42-EFAC9DA0587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2">
    <pivotField showAll="0"/>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axis="axisRow" showAll="0">
      <items count="4">
        <item x="0"/>
        <item x="2"/>
        <item x="1"/>
        <item t="default"/>
      </items>
    </pivotField>
  </pivotFields>
  <rowFields count="1">
    <field x="21"/>
  </rowFields>
  <rowItems count="4">
    <i>
      <x/>
    </i>
    <i>
      <x v="1"/>
    </i>
    <i>
      <x v="2"/>
    </i>
    <i t="grand">
      <x/>
    </i>
  </rowItems>
  <colItems count="1">
    <i/>
  </colItems>
  <dataFields count="1">
    <dataField name="Average of Stress_Level" fld="9" subtotal="average" baseField="2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1" count="1" selected="0">
            <x v="2"/>
          </reference>
        </references>
      </pivotArea>
    </chartFormat>
    <chartFormat chart="2" format="4">
      <pivotArea type="data" outline="0" fieldPosition="0">
        <references count="2">
          <reference field="4294967294" count="1" selected="0">
            <x v="0"/>
          </reference>
          <reference field="21" count="1" selected="0">
            <x v="1"/>
          </reference>
        </references>
      </pivotArea>
    </chartFormat>
    <chartFormat chart="2" format="5">
      <pivotArea type="data" outline="0" fieldPosition="0">
        <references count="2">
          <reference field="4294967294"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F3B108-553B-4177-A92A-75B2025BCAB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2">
    <pivotField showAll="0"/>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s>
  <rowFields count="1">
    <field x="11"/>
  </rowFields>
  <rowItems count="4">
    <i>
      <x/>
    </i>
    <i>
      <x v="1"/>
    </i>
    <i>
      <x v="2"/>
    </i>
    <i t="grand">
      <x/>
    </i>
  </rowItems>
  <colItems count="1">
    <i/>
  </colItems>
  <dataFields count="1">
    <dataField name="Average of Stress_Level" fld="9" subtotal="average" baseField="10" baseItem="0"/>
  </dataField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1"/>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862DE0-5BBA-4118-AECA-6687C6B7826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2">
    <pivotField dataField="1" showAll="0"/>
    <pivotField showAll="0"/>
    <pivotField axis="axisRow" showAll="0">
      <items count="3">
        <item x="1"/>
        <item x="0"/>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s>
  <rowFields count="1">
    <field x="2"/>
  </rowFields>
  <rowItems count="3">
    <i>
      <x/>
    </i>
    <i>
      <x v="1"/>
    </i>
    <i t="grand">
      <x/>
    </i>
  </rowItems>
  <colItems count="1">
    <i/>
  </colItems>
  <dataFields count="1">
    <dataField name="Count of Person_ID" fld="0" subtotal="count" showDataAs="percentOfTotal" baseField="2"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A4EC64-FAF8-4C13-B641-CE221D21544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22">
    <pivotField showAll="0"/>
    <pivotField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7"/>
  </rowFields>
  <rowItems count="3">
    <i>
      <x/>
    </i>
    <i>
      <x v="1"/>
    </i>
    <i t="grand">
      <x/>
    </i>
  </rowItems>
  <colItems count="1">
    <i/>
  </colItems>
  <dataFields count="1">
    <dataField name="Average of Stress_Level" fld="9" subtotal="average" baseField="7" baseItem="0"/>
  </dataFields>
  <chartFormats count="5">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7" format="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F83A52B-A58F-466E-A376-4AE9E481E050}" sourceName="Gender">
  <pivotTables>
    <pivotTable tabId="2" name="PivotTable1"/>
    <pivotTable tabId="6" name="PivotTable5"/>
    <pivotTable tabId="5" name="PivotTable4"/>
    <pivotTable tabId="4" name="PivotTable3"/>
    <pivotTable tabId="3" name="PivotTable2"/>
  </pivotTables>
  <data>
    <tabular pivotCacheId="213947468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390DE90-F001-4C3F-8AFC-190705EDC967}" sourceName="Occupation">
  <pivotTables>
    <pivotTable tabId="2" name="PivotTable1"/>
    <pivotTable tabId="6" name="PivotTable5"/>
    <pivotTable tabId="5" name="PivotTable4"/>
    <pivotTable tabId="4" name="PivotTable3"/>
    <pivotTable tabId="3" name="PivotTable2"/>
  </pivotTables>
  <data>
    <tabular pivotCacheId="213947468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 xr10:uid="{FF98FDD0-E4DD-49F9-914F-F4F712CD49FF}" sourceName="Physical_Activity">
  <pivotTables>
    <pivotTable tabId="2" name="PivotTable1"/>
    <pivotTable tabId="6" name="PivotTable5"/>
    <pivotTable tabId="5" name="PivotTable4"/>
    <pivotTable tabId="4" name="PivotTable3"/>
    <pivotTable tabId="3" name="PivotTable2"/>
  </pivotTables>
  <data>
    <tabular pivotCacheId="213947468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Category" xr10:uid="{05809C98-07D6-4325-B544-0071F1F826A0}" sourceName="Sleep_Category">
  <pivotTables>
    <pivotTable tabId="2" name="PivotTable1"/>
    <pivotTable tabId="6" name="PivotTable5"/>
    <pivotTable tabId="5" name="PivotTable4"/>
    <pivotTable tabId="4" name="PivotTable3"/>
    <pivotTable tabId="3" name="PivotTable2"/>
  </pivotTables>
  <data>
    <tabular pivotCacheId="213947468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7BB7579-B54C-4EA8-83A0-4744A418C860}" cache="Slicer_Gender" caption="Gender" style="Slicer Style 6" rowHeight="234950"/>
  <slicer name="Occupation 1" xr10:uid="{F4BA9E1E-EDC3-4436-8291-A0A4F637FE8D}" cache="Slicer_Occupation" caption="Occupation" style="Slicer Style 6" rowHeight="234950"/>
  <slicer name="Physical_Activity 1" xr10:uid="{B0EDC1DE-69B9-4E09-81BD-30B9D4DD23FA}" cache="Slicer_Physical_Activity" caption="Physical_Activity" style="Slicer Style 6" rowHeight="234950"/>
  <slicer name="Sleep_Category 1" xr10:uid="{4FFC8F7D-E14F-4A8B-89D2-0D1DF75F2863}" cache="Slicer_Sleep_Category" caption="Sleep_Category" style="Slicer Style 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1A27A3D-F4DB-4819-A0BD-7936A4424023}" cache="Slicer_Gender" caption="Gender" rowHeight="234950"/>
  <slicer name="Occupation" xr10:uid="{BE234CF4-36B7-4148-9CBF-4A41CF82E4A1}" cache="Slicer_Occupation" caption="Occupation" rowHeight="234950"/>
  <slicer name="Physical_Activity" xr10:uid="{079CBB62-26FC-485E-B72E-AED5970614C8}" cache="Slicer_Physical_Activity" caption="Physical_Activity" rowHeight="234950"/>
  <slicer name="Sleep_Category" xr10:uid="{505115D1-975B-4F65-8B1B-384DC8F596AB}" cache="Slicer_Sleep_Category" caption="Sleep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45D479-74AA-4B5B-AB44-89AA10DCC9DD}" name="mental_health" displayName="mental_health" ref="A1:V2002" totalsRowCount="1">
  <autoFilter ref="A1:V2001" xr:uid="{9F45D479-74AA-4B5B-AB44-89AA10DCC9DD}"/>
  <tableColumns count="22">
    <tableColumn id="1" xr3:uid="{E5D7B6CC-276B-41C5-8A73-38FB18BDA6D1}" name="Person_ID"/>
    <tableColumn id="2" xr3:uid="{E46315CA-B8D0-4913-904D-E8D48A0E34CA}" name="Age"/>
    <tableColumn id="3" xr3:uid="{6EBEB74A-C674-45D2-B64D-A634B5045742}" name="Gender"/>
    <tableColumn id="4" xr3:uid="{89B83CF4-EFAA-4EC0-B794-C59A58CD6652}" name="Occupation"/>
    <tableColumn id="5" xr3:uid="{753EA028-699C-48C4-AD40-B86DE5BB249C}" name="Daily_Screen_Time"/>
    <tableColumn id="6" xr3:uid="{274E34D8-2095-411E-ACC0-62737E82D5F9}" name="Social_Media_Usage"/>
    <tableColumn id="7" xr3:uid="{633A5289-AA6E-4963-A5B3-2236E5ED80C4}" name="Night_Usage" dataDxfId="5"/>
    <tableColumn id="23" xr3:uid="{61C5FBD6-1E69-48F4-8990-183DD78FCDD9}" name="Night Usage Label" dataDxfId="4">
      <calculatedColumnFormula>IF(G2=1,"Night Usage","No Night Usage")</calculatedColumnFormula>
    </tableColumn>
    <tableColumn id="8" xr3:uid="{47FDCF86-91AB-41AC-9889-FD8BCD229E38}" name="Sleep_Hours"/>
    <tableColumn id="9" xr3:uid="{6D5F990F-A3D3-443B-A31F-0A339886AEC5}" name="Stress_Level" dataDxfId="3"/>
    <tableColumn id="10" xr3:uid="{14D9A55D-E312-4066-9C00-3C78DB943127}" name="Work_Study_Hours"/>
    <tableColumn id="11" xr3:uid="{E328CEE4-E9DE-412A-A1EE-D206C420EC69}" name="Physical_Activity"/>
    <tableColumn id="12" xr3:uid="{CE81DA12-9DE9-4CDC-87B3-68164ABD9590}" name="Social_Interaction_Score"/>
    <tableColumn id="13" xr3:uid="{620F0E84-5F06-4EBA-BFDF-E723B8E4BA7A}" name="Caffeine_Intake"/>
    <tableColumn id="14" xr3:uid="{09143A50-9FB8-494F-AD74-B784C2D89AE3}" name="Smoking"/>
    <tableColumn id="15" xr3:uid="{18670F81-18D1-4F6C-B8F1-67650627E88E}" name="Alcohol"/>
    <tableColumn id="16" xr3:uid="{766CA5BC-5054-46A9-8343-0C93C3CA68BC}" name="Depression"/>
    <tableColumn id="17" xr3:uid="{8CCF13F6-B696-440E-B8D6-0C9B7A9255ED}" name="Anxiety"/>
    <tableColumn id="18" xr3:uid="{1242056A-4942-4E8E-A38F-93D59C0CCAF9}" name="Burnout"/>
    <tableColumn id="19" xr3:uid="{887BF1E8-8C99-4660-AAEF-7C42F76BAD18}" name="Sleep_Category" dataDxfId="2">
      <calculatedColumnFormula>IF(mental_health[Sleep_Hours]&lt;5,"Low",IF(mental_health[Sleep_Hours]&lt;7,"Medium","Good"))</calculatedColumnFormula>
    </tableColumn>
    <tableColumn id="20" xr3:uid="{8E1ADE09-C726-4078-B046-11CEE07C5E6D}" name="Stress_Category" dataDxfId="1">
      <calculatedColumnFormula>IF(mental_health[Stress_Level]&lt;=3,"Low",IF(mental_health[Stress_Level]&lt;=7,"Medium","High"))</calculatedColumnFormula>
    </tableColumn>
    <tableColumn id="21" xr3:uid="{1112480F-AA27-48E3-8655-CF255A756FF0}" name="Screen_Time_Category" dataDxfId="0">
      <calculatedColumnFormula>IF(mental_health[Daily_Screen_Time]&lt;=4,"Low",IF(mental_health[Daily_Screen_Time]&lt;=8,"Medium","High"))</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8C7F2-9F3F-42AC-AEEE-24623A0C4868}">
  <dimension ref="A2:G7"/>
  <sheetViews>
    <sheetView workbookViewId="0">
      <selection activeCell="M12" sqref="M12"/>
    </sheetView>
  </sheetViews>
  <sheetFormatPr defaultRowHeight="14.4" x14ac:dyDescent="0.3"/>
  <cols>
    <col min="1" max="1" width="12.5546875" bestFit="1" customWidth="1"/>
    <col min="2" max="2" width="21" bestFit="1" customWidth="1"/>
  </cols>
  <sheetData>
    <row r="2" spans="1:7" x14ac:dyDescent="0.3">
      <c r="G2" t="s">
        <v>29</v>
      </c>
    </row>
    <row r="3" spans="1:7" x14ac:dyDescent="0.3">
      <c r="A3" s="1" t="s">
        <v>30</v>
      </c>
      <c r="B3" t="s">
        <v>32</v>
      </c>
    </row>
    <row r="4" spans="1:7" x14ac:dyDescent="0.3">
      <c r="A4" s="2" t="s">
        <v>22</v>
      </c>
      <c r="B4" s="9">
        <v>5.458204334365325</v>
      </c>
    </row>
    <row r="5" spans="1:7" x14ac:dyDescent="0.3">
      <c r="A5" s="2" t="s">
        <v>19</v>
      </c>
      <c r="B5" s="9">
        <v>5.3338257016248152</v>
      </c>
    </row>
    <row r="6" spans="1:7" x14ac:dyDescent="0.3">
      <c r="A6" s="2" t="s">
        <v>24</v>
      </c>
      <c r="B6" s="9">
        <v>5.4387001477104873</v>
      </c>
    </row>
    <row r="7" spans="1:7" x14ac:dyDescent="0.3">
      <c r="A7" s="2" t="s">
        <v>31</v>
      </c>
      <c r="B7" s="9">
        <v>5.4095000000000004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27F8E-9042-405D-B8B4-FF49993B6E05}">
  <dimension ref="A2:F7"/>
  <sheetViews>
    <sheetView workbookViewId="0">
      <selection activeCell="N15" sqref="N15"/>
    </sheetView>
  </sheetViews>
  <sheetFormatPr defaultRowHeight="14.4" x14ac:dyDescent="0.3"/>
  <cols>
    <col min="1" max="1" width="12.5546875" bestFit="1" customWidth="1"/>
    <col min="2" max="2" width="21" bestFit="1" customWidth="1"/>
  </cols>
  <sheetData>
    <row r="2" spans="1:6" x14ac:dyDescent="0.3">
      <c r="F2" t="s">
        <v>34</v>
      </c>
    </row>
    <row r="3" spans="1:6" x14ac:dyDescent="0.3">
      <c r="A3" s="1" t="s">
        <v>30</v>
      </c>
      <c r="B3" t="s">
        <v>32</v>
      </c>
    </row>
    <row r="4" spans="1:6" x14ac:dyDescent="0.3">
      <c r="A4" s="2" t="s">
        <v>33</v>
      </c>
      <c r="B4" s="9">
        <v>5.3338257016248152</v>
      </c>
    </row>
    <row r="5" spans="1:6" x14ac:dyDescent="0.3">
      <c r="A5" s="2" t="s">
        <v>20</v>
      </c>
      <c r="B5" s="9">
        <v>5.5</v>
      </c>
    </row>
    <row r="6" spans="1:6" x14ac:dyDescent="0.3">
      <c r="A6" s="2" t="s">
        <v>25</v>
      </c>
      <c r="B6" s="9">
        <v>5.4014388489208631</v>
      </c>
    </row>
    <row r="7" spans="1:6" x14ac:dyDescent="0.3">
      <c r="A7" s="2" t="s">
        <v>31</v>
      </c>
      <c r="B7" s="9">
        <v>5.4095000000000004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ED7FE-F37F-4FD9-8A2B-7803ED7F6593}">
  <dimension ref="A2:E7"/>
  <sheetViews>
    <sheetView workbookViewId="0">
      <selection activeCell="M21" sqref="M21"/>
    </sheetView>
  </sheetViews>
  <sheetFormatPr defaultRowHeight="14.4" x14ac:dyDescent="0.3"/>
  <cols>
    <col min="1" max="1" width="12.5546875" bestFit="1" customWidth="1"/>
    <col min="2" max="2" width="21" bestFit="1" customWidth="1"/>
  </cols>
  <sheetData>
    <row r="2" spans="1:5" x14ac:dyDescent="0.3">
      <c r="E2" t="s">
        <v>35</v>
      </c>
    </row>
    <row r="3" spans="1:5" x14ac:dyDescent="0.3">
      <c r="A3" s="1" t="s">
        <v>30</v>
      </c>
      <c r="B3" t="s">
        <v>32</v>
      </c>
    </row>
    <row r="4" spans="1:5" x14ac:dyDescent="0.3">
      <c r="A4" s="2" t="s">
        <v>21</v>
      </c>
      <c r="B4" s="9">
        <v>5.4691195795006573</v>
      </c>
    </row>
    <row r="5" spans="1:5" x14ac:dyDescent="0.3">
      <c r="A5" s="2" t="s">
        <v>20</v>
      </c>
      <c r="B5" s="9">
        <v>5.528436018957346</v>
      </c>
    </row>
    <row r="6" spans="1:5" x14ac:dyDescent="0.3">
      <c r="A6" s="2" t="s">
        <v>25</v>
      </c>
      <c r="B6" s="9">
        <v>5.2925336597307222</v>
      </c>
    </row>
    <row r="7" spans="1:5" x14ac:dyDescent="0.3">
      <c r="A7" s="2" t="s">
        <v>31</v>
      </c>
      <c r="B7" s="9">
        <v>5.4095000000000004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CA444-A0B4-40AE-865B-8DD67985030A}">
  <dimension ref="A2:E7"/>
  <sheetViews>
    <sheetView workbookViewId="0">
      <selection activeCell="B4" sqref="B4"/>
    </sheetView>
  </sheetViews>
  <sheetFormatPr defaultRowHeight="14.4" x14ac:dyDescent="0.3"/>
  <cols>
    <col min="1" max="1" width="12.5546875" bestFit="1" customWidth="1"/>
    <col min="2" max="2" width="21" bestFit="1" customWidth="1"/>
  </cols>
  <sheetData>
    <row r="2" spans="1:5" x14ac:dyDescent="0.3">
      <c r="E2" t="s">
        <v>36</v>
      </c>
    </row>
    <row r="3" spans="1:5" x14ac:dyDescent="0.3">
      <c r="A3" s="1" t="s">
        <v>30</v>
      </c>
      <c r="B3" t="s">
        <v>32</v>
      </c>
    </row>
    <row r="4" spans="1:5" x14ac:dyDescent="0.3">
      <c r="A4" s="2" t="s">
        <v>21</v>
      </c>
      <c r="B4" s="9">
        <v>5.4420731707317076</v>
      </c>
    </row>
    <row r="5" spans="1:5" x14ac:dyDescent="0.3">
      <c r="A5" s="2" t="s">
        <v>20</v>
      </c>
      <c r="B5" s="9">
        <v>5.5073313782991207</v>
      </c>
    </row>
    <row r="6" spans="1:5" x14ac:dyDescent="0.3">
      <c r="A6" s="2" t="s">
        <v>25</v>
      </c>
      <c r="B6" s="9">
        <v>5.2764350453172204</v>
      </c>
    </row>
    <row r="7" spans="1:5" x14ac:dyDescent="0.3">
      <c r="A7" s="2" t="s">
        <v>31</v>
      </c>
      <c r="B7" s="9">
        <v>5.4095000000000004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C221-0216-4DB8-B281-D75939B1037C}">
  <dimension ref="A2:G6"/>
  <sheetViews>
    <sheetView workbookViewId="0">
      <selection activeCell="B16" sqref="B16"/>
    </sheetView>
  </sheetViews>
  <sheetFormatPr defaultRowHeight="14.4" x14ac:dyDescent="0.3"/>
  <cols>
    <col min="1" max="1" width="12.5546875" bestFit="1" customWidth="1"/>
    <col min="2" max="2" width="17.5546875" bestFit="1" customWidth="1"/>
  </cols>
  <sheetData>
    <row r="2" spans="1:7" x14ac:dyDescent="0.3">
      <c r="G2" t="s">
        <v>37</v>
      </c>
    </row>
    <row r="3" spans="1:7" x14ac:dyDescent="0.3">
      <c r="A3" s="1" t="s">
        <v>30</v>
      </c>
      <c r="B3" t="s">
        <v>38</v>
      </c>
    </row>
    <row r="4" spans="1:7" x14ac:dyDescent="0.3">
      <c r="A4" s="2" t="s">
        <v>23</v>
      </c>
      <c r="B4" s="8">
        <v>0.504</v>
      </c>
    </row>
    <row r="5" spans="1:7" x14ac:dyDescent="0.3">
      <c r="A5" s="2" t="s">
        <v>18</v>
      </c>
      <c r="B5" s="8">
        <v>0.496</v>
      </c>
    </row>
    <row r="6" spans="1:7" x14ac:dyDescent="0.3">
      <c r="A6" s="2" t="s">
        <v>31</v>
      </c>
      <c r="B6"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918C5-D651-441D-9262-90CD2F6475B2}">
  <sheetPr>
    <pageSetUpPr autoPageBreaks="0"/>
  </sheetPr>
  <dimension ref="M4:AN13"/>
  <sheetViews>
    <sheetView showGridLines="0" tabSelected="1" topLeftCell="D3" zoomScale="55" zoomScaleNormal="49" workbookViewId="0">
      <selection activeCell="F16" sqref="F16"/>
    </sheetView>
  </sheetViews>
  <sheetFormatPr defaultRowHeight="14.4" x14ac:dyDescent="0.3"/>
  <cols>
    <col min="19" max="21" width="8.88671875" customWidth="1"/>
    <col min="22" max="22" width="8.77734375" customWidth="1"/>
    <col min="24" max="24" width="8.88671875" customWidth="1"/>
    <col min="28" max="30" width="8.88671875" customWidth="1"/>
    <col min="31" max="31" width="8.77734375" customWidth="1"/>
  </cols>
  <sheetData>
    <row r="4" spans="13:40" ht="14.4" customHeight="1" x14ac:dyDescent="0.3">
      <c r="M4" s="7"/>
      <c r="N4" s="7"/>
      <c r="O4" s="7"/>
      <c r="P4" s="7"/>
      <c r="Q4" s="7"/>
      <c r="R4" s="7"/>
      <c r="S4" s="7"/>
      <c r="T4" s="7"/>
      <c r="U4" s="7"/>
      <c r="V4" s="7"/>
      <c r="W4" s="7"/>
      <c r="X4" s="7"/>
      <c r="Y4" s="7"/>
      <c r="Z4" s="7"/>
      <c r="AA4" s="7"/>
      <c r="AB4" s="7"/>
      <c r="AC4" s="7"/>
      <c r="AD4" s="7"/>
      <c r="AE4" s="7"/>
      <c r="AF4" s="7"/>
      <c r="AG4" s="7"/>
      <c r="AH4" s="7"/>
    </row>
    <row r="5" spans="13:40" ht="14.4" customHeight="1" x14ac:dyDescent="0.3">
      <c r="M5" s="7"/>
      <c r="N5" s="7"/>
      <c r="O5" s="7"/>
      <c r="P5" s="7"/>
      <c r="Q5" s="7"/>
      <c r="R5" s="7"/>
      <c r="S5" s="7"/>
      <c r="T5" s="7"/>
      <c r="U5" s="7"/>
      <c r="V5" s="7"/>
      <c r="W5" s="7"/>
      <c r="X5" s="7"/>
      <c r="Y5" s="7"/>
      <c r="Z5" s="7"/>
      <c r="AA5" s="7"/>
      <c r="AB5" s="7"/>
      <c r="AC5" s="7"/>
      <c r="AD5" s="7"/>
      <c r="AE5" s="7"/>
      <c r="AF5" s="7"/>
      <c r="AG5" s="7"/>
      <c r="AH5" s="7"/>
    </row>
    <row r="6" spans="13:40" ht="14.4" customHeight="1" x14ac:dyDescent="0.3">
      <c r="M6" s="7"/>
      <c r="N6" s="7"/>
      <c r="O6" s="7"/>
      <c r="P6" s="7"/>
      <c r="Q6" s="7"/>
      <c r="R6" s="7"/>
      <c r="S6" s="7"/>
      <c r="T6" s="7"/>
      <c r="U6" s="7"/>
      <c r="V6" s="7"/>
      <c r="W6" s="7"/>
      <c r="X6" s="7"/>
      <c r="Y6" s="7"/>
      <c r="Z6" s="7"/>
      <c r="AA6" s="7"/>
      <c r="AB6" s="7"/>
      <c r="AC6" s="7"/>
      <c r="AD6" s="7"/>
      <c r="AE6" s="7"/>
      <c r="AF6" s="7"/>
      <c r="AG6" s="7"/>
      <c r="AH6" s="7"/>
    </row>
    <row r="7" spans="13:40" ht="14.4" customHeight="1" x14ac:dyDescent="0.3">
      <c r="M7" s="7"/>
      <c r="N7" s="7"/>
      <c r="O7" s="7"/>
      <c r="P7" s="7"/>
      <c r="Q7" s="7"/>
      <c r="R7" s="7"/>
      <c r="S7" s="7"/>
      <c r="T7" s="7"/>
      <c r="U7" s="7"/>
      <c r="V7" s="7"/>
      <c r="W7" s="7"/>
      <c r="X7" s="7"/>
      <c r="Y7" s="7"/>
      <c r="Z7" s="7"/>
      <c r="AA7" s="7"/>
      <c r="AB7" s="7"/>
      <c r="AC7" s="7"/>
      <c r="AD7" s="7"/>
      <c r="AE7" s="7"/>
      <c r="AF7" s="7"/>
      <c r="AG7" s="7"/>
      <c r="AH7" s="7"/>
    </row>
    <row r="13" spans="13:40" x14ac:dyDescent="0.3">
      <c r="AN13" t="s">
        <v>45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14FBC-71BB-42FA-8D97-918D7F4F9CE6}">
  <dimension ref="D2:H4"/>
  <sheetViews>
    <sheetView workbookViewId="0">
      <selection activeCell="D4" sqref="D4"/>
    </sheetView>
  </sheetViews>
  <sheetFormatPr defaultRowHeight="14.4" x14ac:dyDescent="0.3"/>
  <cols>
    <col min="4" max="4" width="11.109375" bestFit="1" customWidth="1"/>
    <col min="6" max="6" width="11.109375" bestFit="1" customWidth="1"/>
    <col min="8" max="8" width="11.109375" bestFit="1" customWidth="1"/>
  </cols>
  <sheetData>
    <row r="2" spans="4:8" ht="15" thickBot="1" x14ac:dyDescent="0.35"/>
    <row r="3" spans="4:8" x14ac:dyDescent="0.3">
      <c r="D3" s="4" t="s">
        <v>39</v>
      </c>
      <c r="F3" s="4" t="s">
        <v>40</v>
      </c>
      <c r="H3" s="4" t="s">
        <v>41</v>
      </c>
    </row>
    <row r="4" spans="4:8" ht="37.200000000000003" thickBot="1" x14ac:dyDescent="0.75">
      <c r="D4" s="6">
        <f>AVERAGE(mental_health[Stress_Level])</f>
        <v>5.4095000000000004</v>
      </c>
      <c r="F4" s="6">
        <f>AVERAGE(mental_health[Sleep_Hours])</f>
        <v>6.0076500000000168</v>
      </c>
      <c r="H4" s="5">
        <f>AVERAGE(mental_health[Daily_Screen_Time])</f>
        <v>6.9431499999999966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D8B49-B843-4D14-8252-EC74E959A2C4}">
  <dimension ref="A3:B6"/>
  <sheetViews>
    <sheetView workbookViewId="0">
      <selection activeCell="O15" sqref="O15"/>
    </sheetView>
  </sheetViews>
  <sheetFormatPr defaultRowHeight="14.4" x14ac:dyDescent="0.3"/>
  <cols>
    <col min="1" max="1" width="13.77734375" bestFit="1" customWidth="1"/>
    <col min="2" max="2" width="21" bestFit="1" customWidth="1"/>
  </cols>
  <sheetData>
    <row r="3" spans="1:2" x14ac:dyDescent="0.3">
      <c r="A3" s="1" t="s">
        <v>30</v>
      </c>
      <c r="B3" t="s">
        <v>32</v>
      </c>
    </row>
    <row r="4" spans="1:2" x14ac:dyDescent="0.3">
      <c r="A4" s="2" t="s">
        <v>43</v>
      </c>
      <c r="B4">
        <v>5.4259448416751788</v>
      </c>
    </row>
    <row r="5" spans="1:2" x14ac:dyDescent="0.3">
      <c r="A5" s="2" t="s">
        <v>42</v>
      </c>
      <c r="B5">
        <v>5.3937316356513225</v>
      </c>
    </row>
    <row r="6" spans="1:2" x14ac:dyDescent="0.3">
      <c r="A6" s="2" t="s">
        <v>31</v>
      </c>
      <c r="B6">
        <v>5.4095000000000004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53B4-EE79-44A5-9C5C-EAABCD85AA36}">
  <dimension ref="A1:V2001"/>
  <sheetViews>
    <sheetView zoomScale="84" zoomScaleNormal="84" workbookViewId="0">
      <selection activeCell="H18" sqref="H18"/>
    </sheetView>
  </sheetViews>
  <sheetFormatPr defaultRowHeight="14.4" x14ac:dyDescent="0.3"/>
  <cols>
    <col min="1" max="1" width="11.88671875" bestFit="1" customWidth="1"/>
    <col min="2" max="2" width="6.77734375" bestFit="1" customWidth="1"/>
    <col min="3" max="3" width="9.77734375" bestFit="1" customWidth="1"/>
    <col min="4" max="4" width="12.88671875" bestFit="1" customWidth="1"/>
    <col min="5" max="5" width="19.44140625" bestFit="1" customWidth="1"/>
    <col min="6" max="6" width="20.77734375" bestFit="1" customWidth="1"/>
    <col min="7" max="7" width="14" bestFit="1" customWidth="1"/>
    <col min="8" max="8" width="18.33203125" bestFit="1" customWidth="1"/>
    <col min="9" max="9" width="13.88671875" bestFit="1" customWidth="1"/>
    <col min="10" max="10" width="13.77734375" bestFit="1" customWidth="1"/>
    <col min="11" max="11" width="19.77734375" bestFit="1" customWidth="1"/>
    <col min="12" max="12" width="17.44140625" bestFit="1" customWidth="1"/>
    <col min="13" max="13" width="24.33203125" bestFit="1" customWidth="1"/>
    <col min="14" max="14" width="16.77734375" bestFit="1" customWidth="1"/>
    <col min="15" max="15" width="10.5546875" bestFit="1" customWidth="1"/>
    <col min="16" max="16" width="9.77734375" bestFit="1" customWidth="1"/>
    <col min="17" max="17" width="12.77734375" bestFit="1" customWidth="1"/>
    <col min="18" max="18" width="9.88671875" bestFit="1" customWidth="1"/>
    <col min="19" max="19" width="9.5546875" customWidth="1"/>
    <col min="20" max="20" width="16.5546875" bestFit="1" customWidth="1"/>
    <col min="21" max="21" width="16.77734375" bestFit="1" customWidth="1"/>
    <col min="22" max="22" width="22.77734375" bestFit="1" customWidth="1"/>
  </cols>
  <sheetData>
    <row r="1" spans="1:22" x14ac:dyDescent="0.3">
      <c r="A1" t="s">
        <v>0</v>
      </c>
      <c r="B1" t="s">
        <v>1</v>
      </c>
      <c r="C1" t="s">
        <v>2</v>
      </c>
      <c r="D1" t="s">
        <v>3</v>
      </c>
      <c r="E1" t="s">
        <v>4</v>
      </c>
      <c r="F1" t="s">
        <v>5</v>
      </c>
      <c r="G1" t="s">
        <v>6</v>
      </c>
      <c r="H1" t="s">
        <v>44</v>
      </c>
      <c r="I1" t="s">
        <v>7</v>
      </c>
      <c r="J1" t="s">
        <v>8</v>
      </c>
      <c r="K1" t="s">
        <v>9</v>
      </c>
      <c r="L1" t="s">
        <v>10</v>
      </c>
      <c r="M1" t="s">
        <v>11</v>
      </c>
      <c r="N1" t="s">
        <v>12</v>
      </c>
      <c r="O1" t="s">
        <v>13</v>
      </c>
      <c r="P1" t="s">
        <v>14</v>
      </c>
      <c r="Q1" t="s">
        <v>15</v>
      </c>
      <c r="R1" t="s">
        <v>16</v>
      </c>
      <c r="S1" t="s">
        <v>17</v>
      </c>
      <c r="T1" t="s">
        <v>26</v>
      </c>
      <c r="U1" t="s">
        <v>27</v>
      </c>
      <c r="V1" t="s">
        <v>28</v>
      </c>
    </row>
    <row r="2" spans="1:22" x14ac:dyDescent="0.3">
      <c r="A2">
        <v>1</v>
      </c>
      <c r="B2">
        <v>54</v>
      </c>
      <c r="C2" t="s">
        <v>18</v>
      </c>
      <c r="D2" t="s">
        <v>19</v>
      </c>
      <c r="E2">
        <v>10.199999999999999</v>
      </c>
      <c r="F2">
        <v>7.5</v>
      </c>
      <c r="H2" t="str">
        <f t="shared" ref="H2:H65" si="0">IF(G2=1,"Night Usage","No Night Usage")</f>
        <v>No Night Usage</v>
      </c>
      <c r="I2">
        <v>6.5</v>
      </c>
      <c r="J2" s="3">
        <v>8</v>
      </c>
      <c r="K2">
        <v>5.8</v>
      </c>
      <c r="L2" t="s">
        <v>20</v>
      </c>
      <c r="M2">
        <v>6</v>
      </c>
      <c r="N2">
        <v>2</v>
      </c>
      <c r="O2">
        <v>0</v>
      </c>
      <c r="P2">
        <v>1</v>
      </c>
      <c r="Q2">
        <v>1</v>
      </c>
      <c r="R2">
        <v>1</v>
      </c>
      <c r="S2">
        <v>1</v>
      </c>
      <c r="T2" t="str">
        <f>IF(mental_health[Sleep_Hours]&lt;5,"Low",IF(mental_health[Sleep_Hours]&lt;7,"Medium","Good"))</f>
        <v>Medium</v>
      </c>
      <c r="U2" t="str">
        <f>IF(mental_health[Stress_Level]&lt;=3,"Low",IF(mental_health[Stress_Level]&lt;=7,"Medium","High"))</f>
        <v>High</v>
      </c>
      <c r="V2" t="str">
        <f>IF(mental_health[Daily_Screen_Time]&lt;=4,"Low",IF(mental_health[Daily_Screen_Time]&lt;=8,"Medium","High"))</f>
        <v>High</v>
      </c>
    </row>
    <row r="3" spans="1:22" x14ac:dyDescent="0.3">
      <c r="A3">
        <v>2</v>
      </c>
      <c r="B3">
        <v>44</v>
      </c>
      <c r="C3" t="s">
        <v>18</v>
      </c>
      <c r="D3" t="s">
        <v>19</v>
      </c>
      <c r="E3">
        <v>6.8</v>
      </c>
      <c r="F3">
        <v>4.5</v>
      </c>
      <c r="G3">
        <v>0</v>
      </c>
      <c r="H3" t="str">
        <f t="shared" si="0"/>
        <v>No Night Usage</v>
      </c>
      <c r="I3">
        <v>5.0999999999999996</v>
      </c>
      <c r="J3" s="3">
        <v>4</v>
      </c>
      <c r="K3">
        <v>7.9</v>
      </c>
      <c r="L3" t="s">
        <v>21</v>
      </c>
      <c r="M3">
        <v>2</v>
      </c>
      <c r="N3">
        <v>1</v>
      </c>
      <c r="O3">
        <v>1</v>
      </c>
      <c r="P3">
        <v>0</v>
      </c>
      <c r="Q3">
        <v>0</v>
      </c>
      <c r="R3">
        <v>0</v>
      </c>
      <c r="S3">
        <v>0</v>
      </c>
      <c r="T3" t="str">
        <f>IF(mental_health[Sleep_Hours]&lt;5,"Low",IF(mental_health[Sleep_Hours]&lt;7,"Medium","Good"))</f>
        <v>Medium</v>
      </c>
      <c r="U3" t="str">
        <f>IF(mental_health[Stress_Level]&lt;=3,"Low",IF(mental_health[Stress_Level]&lt;=7,"Medium","High"))</f>
        <v>Medium</v>
      </c>
      <c r="V3" t="str">
        <f>IF(mental_health[Daily_Screen_Time]&lt;=4,"Low",IF(mental_health[Daily_Screen_Time]&lt;=8,"Medium","High"))</f>
        <v>Medium</v>
      </c>
    </row>
    <row r="4" spans="1:22" x14ac:dyDescent="0.3">
      <c r="A4">
        <v>3</v>
      </c>
      <c r="B4">
        <v>30</v>
      </c>
      <c r="C4" t="s">
        <v>18</v>
      </c>
      <c r="D4" t="s">
        <v>22</v>
      </c>
      <c r="E4">
        <v>5.5</v>
      </c>
      <c r="F4">
        <v>6.9</v>
      </c>
      <c r="G4">
        <v>0</v>
      </c>
      <c r="H4" t="str">
        <f>IF(G4=1,"Night Usage","No Night Usage")</f>
        <v>No Night Usage</v>
      </c>
      <c r="I4">
        <v>3.5</v>
      </c>
      <c r="J4" s="3">
        <v>10</v>
      </c>
      <c r="K4">
        <v>9.4</v>
      </c>
      <c r="L4" t="s">
        <v>20</v>
      </c>
      <c r="M4">
        <v>2</v>
      </c>
      <c r="N4">
        <v>0</v>
      </c>
      <c r="O4">
        <v>1</v>
      </c>
      <c r="P4">
        <v>1</v>
      </c>
      <c r="Q4">
        <v>1</v>
      </c>
      <c r="R4">
        <v>0</v>
      </c>
      <c r="S4">
        <v>1</v>
      </c>
      <c r="T4" t="str">
        <f>IF(mental_health[Sleep_Hours]&lt;5,"Low",IF(mental_health[Sleep_Hours]&lt;7,"Medium","Good"))</f>
        <v>Low</v>
      </c>
      <c r="U4" t="str">
        <f>IF(mental_health[Stress_Level]&lt;=3,"Low",IF(mental_health[Stress_Level]&lt;=7,"Medium","High"))</f>
        <v>High</v>
      </c>
      <c r="V4" t="str">
        <f>IF(mental_health[Daily_Screen_Time]&lt;=4,"Low",IF(mental_health[Daily_Screen_Time]&lt;=8,"Medium","High"))</f>
        <v>Medium</v>
      </c>
    </row>
    <row r="5" spans="1:22" x14ac:dyDescent="0.3">
      <c r="A5">
        <v>4</v>
      </c>
      <c r="B5">
        <v>58</v>
      </c>
      <c r="C5" t="s">
        <v>18</v>
      </c>
      <c r="D5" t="s">
        <v>22</v>
      </c>
      <c r="E5">
        <v>5.6</v>
      </c>
      <c r="F5">
        <v>4.0999999999999996</v>
      </c>
      <c r="G5">
        <v>0</v>
      </c>
      <c r="H5" t="str">
        <f t="shared" si="0"/>
        <v>No Night Usage</v>
      </c>
      <c r="I5">
        <v>9</v>
      </c>
      <c r="J5" s="3">
        <v>2</v>
      </c>
      <c r="K5">
        <v>2</v>
      </c>
      <c r="L5" t="s">
        <v>21</v>
      </c>
      <c r="M5">
        <v>10</v>
      </c>
      <c r="N5">
        <v>0</v>
      </c>
      <c r="O5">
        <v>0</v>
      </c>
      <c r="P5">
        <v>1</v>
      </c>
      <c r="Q5">
        <v>0</v>
      </c>
      <c r="R5">
        <v>0</v>
      </c>
      <c r="S5">
        <v>0</v>
      </c>
      <c r="T5" t="str">
        <f>IF(mental_health[Sleep_Hours]&lt;5,"Low",IF(mental_health[Sleep_Hours]&lt;7,"Medium","Good"))</f>
        <v>Good</v>
      </c>
      <c r="U5" t="str">
        <f>IF(mental_health[Stress_Level]&lt;=3,"Low",IF(mental_health[Stress_Level]&lt;=7,"Medium","High"))</f>
        <v>Low</v>
      </c>
      <c r="V5" t="str">
        <f>IF(mental_health[Daily_Screen_Time]&lt;=4,"Low",IF(mental_health[Daily_Screen_Time]&lt;=8,"Medium","High"))</f>
        <v>Medium</v>
      </c>
    </row>
    <row r="6" spans="1:22" x14ac:dyDescent="0.3">
      <c r="A6">
        <v>5</v>
      </c>
      <c r="B6">
        <v>23</v>
      </c>
      <c r="C6" t="s">
        <v>23</v>
      </c>
      <c r="D6" t="s">
        <v>22</v>
      </c>
      <c r="E6">
        <v>10.1</v>
      </c>
      <c r="F6">
        <v>6</v>
      </c>
      <c r="G6">
        <v>1</v>
      </c>
      <c r="H6" t="str">
        <f t="shared" si="0"/>
        <v>Night Usage</v>
      </c>
      <c r="I6">
        <v>3.8</v>
      </c>
      <c r="J6" s="3">
        <v>4</v>
      </c>
      <c r="K6">
        <v>4.5999999999999996</v>
      </c>
      <c r="L6" t="s">
        <v>20</v>
      </c>
      <c r="M6">
        <v>4</v>
      </c>
      <c r="N6">
        <v>4</v>
      </c>
      <c r="O6">
        <v>0</v>
      </c>
      <c r="P6">
        <v>1</v>
      </c>
      <c r="Q6">
        <v>1</v>
      </c>
      <c r="R6">
        <v>1</v>
      </c>
      <c r="S6">
        <v>0</v>
      </c>
      <c r="T6" t="str">
        <f>IF(mental_health[Sleep_Hours]&lt;5,"Low",IF(mental_health[Sleep_Hours]&lt;7,"Medium","Good"))</f>
        <v>Low</v>
      </c>
      <c r="U6" t="str">
        <f>IF(mental_health[Stress_Level]&lt;=3,"Low",IF(mental_health[Stress_Level]&lt;=7,"Medium","High"))</f>
        <v>Medium</v>
      </c>
      <c r="V6" t="str">
        <f>IF(mental_health[Daily_Screen_Time]&lt;=4,"Low",IF(mental_health[Daily_Screen_Time]&lt;=8,"Medium","High"))</f>
        <v>High</v>
      </c>
    </row>
    <row r="7" spans="1:22" x14ac:dyDescent="0.3">
      <c r="A7">
        <v>6</v>
      </c>
      <c r="B7">
        <v>36</v>
      </c>
      <c r="C7" t="s">
        <v>23</v>
      </c>
      <c r="D7" t="s">
        <v>19</v>
      </c>
      <c r="E7">
        <v>5.3</v>
      </c>
      <c r="F7">
        <v>6.1</v>
      </c>
      <c r="G7">
        <v>1</v>
      </c>
      <c r="H7" t="str">
        <f t="shared" si="0"/>
        <v>Night Usage</v>
      </c>
      <c r="I7">
        <v>3.4</v>
      </c>
      <c r="J7" s="3">
        <v>2</v>
      </c>
      <c r="K7">
        <v>7.4</v>
      </c>
      <c r="L7" t="s">
        <v>20</v>
      </c>
      <c r="M7">
        <v>8</v>
      </c>
      <c r="N7">
        <v>2</v>
      </c>
      <c r="O7">
        <v>1</v>
      </c>
      <c r="P7">
        <v>0</v>
      </c>
      <c r="Q7">
        <v>1</v>
      </c>
      <c r="R7">
        <v>0</v>
      </c>
      <c r="S7">
        <v>0</v>
      </c>
      <c r="T7" t="str">
        <f>IF(mental_health[Sleep_Hours]&lt;5,"Low",IF(mental_health[Sleep_Hours]&lt;7,"Medium","Good"))</f>
        <v>Low</v>
      </c>
      <c r="U7" t="str">
        <f>IF(mental_health[Stress_Level]&lt;=3,"Low",IF(mental_health[Stress_Level]&lt;=7,"Medium","High"))</f>
        <v>Low</v>
      </c>
      <c r="V7" t="str">
        <f>IF(mental_health[Daily_Screen_Time]&lt;=4,"Low",IF(mental_health[Daily_Screen_Time]&lt;=8,"Medium","High"))</f>
        <v>Medium</v>
      </c>
    </row>
    <row r="8" spans="1:22" x14ac:dyDescent="0.3">
      <c r="A8">
        <v>7</v>
      </c>
      <c r="B8">
        <v>54</v>
      </c>
      <c r="C8" t="s">
        <v>23</v>
      </c>
      <c r="D8" t="s">
        <v>24</v>
      </c>
      <c r="E8">
        <v>4.0999999999999996</v>
      </c>
      <c r="F8">
        <v>2.2000000000000002</v>
      </c>
      <c r="G8">
        <v>0</v>
      </c>
      <c r="H8" t="str">
        <f t="shared" si="0"/>
        <v>No Night Usage</v>
      </c>
      <c r="I8">
        <v>8.3000000000000007</v>
      </c>
      <c r="J8" s="3">
        <v>3</v>
      </c>
      <c r="K8">
        <v>7.3</v>
      </c>
      <c r="L8" t="s">
        <v>20</v>
      </c>
      <c r="M8">
        <v>5</v>
      </c>
      <c r="N8">
        <v>4</v>
      </c>
      <c r="O8">
        <v>1</v>
      </c>
      <c r="P8">
        <v>1</v>
      </c>
      <c r="Q8">
        <v>1</v>
      </c>
      <c r="R8">
        <v>0</v>
      </c>
      <c r="S8">
        <v>0</v>
      </c>
      <c r="T8" t="str">
        <f>IF(mental_health[Sleep_Hours]&lt;5,"Low",IF(mental_health[Sleep_Hours]&lt;7,"Medium","Good"))</f>
        <v>Good</v>
      </c>
      <c r="U8" t="str">
        <f>IF(mental_health[Stress_Level]&lt;=3,"Low",IF(mental_health[Stress_Level]&lt;=7,"Medium","High"))</f>
        <v>Low</v>
      </c>
      <c r="V8" t="str">
        <f>IF(mental_health[Daily_Screen_Time]&lt;=4,"Low",IF(mental_health[Daily_Screen_Time]&lt;=8,"Medium","High"))</f>
        <v>Medium</v>
      </c>
    </row>
    <row r="9" spans="1:22" x14ac:dyDescent="0.3">
      <c r="A9">
        <v>8</v>
      </c>
      <c r="B9">
        <v>34</v>
      </c>
      <c r="C9" t="s">
        <v>18</v>
      </c>
      <c r="D9" t="s">
        <v>24</v>
      </c>
      <c r="E9">
        <v>2.8</v>
      </c>
      <c r="F9">
        <v>3.5</v>
      </c>
      <c r="G9">
        <v>1</v>
      </c>
      <c r="H9" t="str">
        <f t="shared" si="0"/>
        <v>Night Usage</v>
      </c>
      <c r="I9">
        <v>4.8</v>
      </c>
      <c r="J9" s="3">
        <v>4</v>
      </c>
      <c r="K9">
        <v>8.4</v>
      </c>
      <c r="L9" t="s">
        <v>25</v>
      </c>
      <c r="M9">
        <v>9</v>
      </c>
      <c r="N9">
        <v>0</v>
      </c>
      <c r="O9">
        <v>1</v>
      </c>
      <c r="P9">
        <v>0</v>
      </c>
      <c r="Q9">
        <v>0</v>
      </c>
      <c r="R9">
        <v>0</v>
      </c>
      <c r="S9">
        <v>1</v>
      </c>
      <c r="T9" t="str">
        <f>IF(mental_health[Sleep_Hours]&lt;5,"Low",IF(mental_health[Sleep_Hours]&lt;7,"Medium","Good"))</f>
        <v>Low</v>
      </c>
      <c r="U9" t="str">
        <f>IF(mental_health[Stress_Level]&lt;=3,"Low",IF(mental_health[Stress_Level]&lt;=7,"Medium","High"))</f>
        <v>Medium</v>
      </c>
      <c r="V9" t="str">
        <f>IF(mental_health[Daily_Screen_Time]&lt;=4,"Low",IF(mental_health[Daily_Screen_Time]&lt;=8,"Medium","High"))</f>
        <v>Low</v>
      </c>
    </row>
    <row r="10" spans="1:22" x14ac:dyDescent="0.3">
      <c r="A10">
        <v>9</v>
      </c>
      <c r="B10">
        <v>38</v>
      </c>
      <c r="C10" t="s">
        <v>18</v>
      </c>
      <c r="D10" t="s">
        <v>22</v>
      </c>
      <c r="E10">
        <v>6.7</v>
      </c>
      <c r="F10">
        <v>5.5</v>
      </c>
      <c r="G10">
        <v>0</v>
      </c>
      <c r="H10" t="str">
        <f t="shared" si="0"/>
        <v>No Night Usage</v>
      </c>
      <c r="I10">
        <v>6.9</v>
      </c>
      <c r="J10" s="3">
        <v>4</v>
      </c>
      <c r="K10">
        <v>5</v>
      </c>
      <c r="L10" t="s">
        <v>20</v>
      </c>
      <c r="M10">
        <v>4</v>
      </c>
      <c r="N10">
        <v>1</v>
      </c>
      <c r="O10">
        <v>0</v>
      </c>
      <c r="P10">
        <v>0</v>
      </c>
      <c r="Q10">
        <v>0</v>
      </c>
      <c r="R10">
        <v>1</v>
      </c>
      <c r="S10">
        <v>0</v>
      </c>
      <c r="T10" t="str">
        <f>IF(mental_health[Sleep_Hours]&lt;5,"Low",IF(mental_health[Sleep_Hours]&lt;7,"Medium","Good"))</f>
        <v>Medium</v>
      </c>
      <c r="U10" t="str">
        <f>IF(mental_health[Stress_Level]&lt;=3,"Low",IF(mental_health[Stress_Level]&lt;=7,"Medium","High"))</f>
        <v>Medium</v>
      </c>
      <c r="V10" t="str">
        <f>IF(mental_health[Daily_Screen_Time]&lt;=4,"Low",IF(mental_health[Daily_Screen_Time]&lt;=8,"Medium","High"))</f>
        <v>Medium</v>
      </c>
    </row>
    <row r="11" spans="1:22" x14ac:dyDescent="0.3">
      <c r="A11">
        <v>10</v>
      </c>
      <c r="B11">
        <v>26</v>
      </c>
      <c r="C11" t="s">
        <v>18</v>
      </c>
      <c r="D11" t="s">
        <v>22</v>
      </c>
      <c r="E11">
        <v>6.8</v>
      </c>
      <c r="F11">
        <v>1.5</v>
      </c>
      <c r="G11">
        <v>0</v>
      </c>
      <c r="H11" t="str">
        <f t="shared" si="0"/>
        <v>No Night Usage</v>
      </c>
      <c r="I11">
        <v>5</v>
      </c>
      <c r="J11" s="3">
        <v>10</v>
      </c>
      <c r="K11">
        <v>7.4</v>
      </c>
      <c r="L11" t="s">
        <v>25</v>
      </c>
      <c r="M11">
        <v>3</v>
      </c>
      <c r="N11">
        <v>3</v>
      </c>
      <c r="O11">
        <v>1</v>
      </c>
      <c r="P11">
        <v>0</v>
      </c>
      <c r="Q11">
        <v>1</v>
      </c>
      <c r="R11">
        <v>1</v>
      </c>
      <c r="S11">
        <v>1</v>
      </c>
      <c r="T11" t="str">
        <f>IF(mental_health[Sleep_Hours]&lt;5,"Low",IF(mental_health[Sleep_Hours]&lt;7,"Medium","Good"))</f>
        <v>Medium</v>
      </c>
      <c r="U11" t="str">
        <f>IF(mental_health[Stress_Level]&lt;=3,"Low",IF(mental_health[Stress_Level]&lt;=7,"Medium","High"))</f>
        <v>High</v>
      </c>
      <c r="V11" t="str">
        <f>IF(mental_health[Daily_Screen_Time]&lt;=4,"Low",IF(mental_health[Daily_Screen_Time]&lt;=8,"Medium","High"))</f>
        <v>Medium</v>
      </c>
    </row>
    <row r="12" spans="1:22" x14ac:dyDescent="0.3">
      <c r="A12">
        <v>11</v>
      </c>
      <c r="B12">
        <v>26</v>
      </c>
      <c r="C12" t="s">
        <v>18</v>
      </c>
      <c r="D12" t="s">
        <v>24</v>
      </c>
      <c r="E12">
        <v>10.4</v>
      </c>
      <c r="F12">
        <v>3.5</v>
      </c>
      <c r="G12">
        <v>1</v>
      </c>
      <c r="H12" t="str">
        <f t="shared" si="0"/>
        <v>Night Usage</v>
      </c>
      <c r="I12">
        <v>5.3</v>
      </c>
      <c r="J12" s="3">
        <v>9</v>
      </c>
      <c r="K12">
        <v>3.9</v>
      </c>
      <c r="L12" t="s">
        <v>25</v>
      </c>
      <c r="M12">
        <v>10</v>
      </c>
      <c r="N12">
        <v>4</v>
      </c>
      <c r="O12">
        <v>0</v>
      </c>
      <c r="P12">
        <v>0</v>
      </c>
      <c r="Q12">
        <v>1</v>
      </c>
      <c r="R12">
        <v>1</v>
      </c>
      <c r="S12">
        <v>0</v>
      </c>
      <c r="T12" t="str">
        <f>IF(mental_health[Sleep_Hours]&lt;5,"Low",IF(mental_health[Sleep_Hours]&lt;7,"Medium","Good"))</f>
        <v>Medium</v>
      </c>
      <c r="U12" t="str">
        <f>IF(mental_health[Stress_Level]&lt;=3,"Low",IF(mental_health[Stress_Level]&lt;=7,"Medium","High"))</f>
        <v>High</v>
      </c>
      <c r="V12" t="str">
        <f>IF(mental_health[Daily_Screen_Time]&lt;=4,"Low",IF(mental_health[Daily_Screen_Time]&lt;=8,"Medium","High"))</f>
        <v>High</v>
      </c>
    </row>
    <row r="13" spans="1:22" x14ac:dyDescent="0.3">
      <c r="A13">
        <v>12</v>
      </c>
      <c r="B13">
        <v>39</v>
      </c>
      <c r="C13" t="s">
        <v>18</v>
      </c>
      <c r="D13" t="s">
        <v>24</v>
      </c>
      <c r="E13">
        <v>4.2</v>
      </c>
      <c r="F13">
        <v>4.7</v>
      </c>
      <c r="G13">
        <v>1</v>
      </c>
      <c r="H13" t="str">
        <f t="shared" si="0"/>
        <v>Night Usage</v>
      </c>
      <c r="I13">
        <v>4.5999999999999996</v>
      </c>
      <c r="J13" s="3">
        <v>10</v>
      </c>
      <c r="K13">
        <v>3.9</v>
      </c>
      <c r="L13" t="s">
        <v>25</v>
      </c>
      <c r="M13">
        <v>8</v>
      </c>
      <c r="N13">
        <v>0</v>
      </c>
      <c r="O13">
        <v>1</v>
      </c>
      <c r="P13">
        <v>0</v>
      </c>
      <c r="Q13">
        <v>0</v>
      </c>
      <c r="R13">
        <v>1</v>
      </c>
      <c r="S13">
        <v>1</v>
      </c>
      <c r="T13" t="str">
        <f>IF(mental_health[Sleep_Hours]&lt;5,"Low",IF(mental_health[Sleep_Hours]&lt;7,"Medium","Good"))</f>
        <v>Low</v>
      </c>
      <c r="U13" t="str">
        <f>IF(mental_health[Stress_Level]&lt;=3,"Low",IF(mental_health[Stress_Level]&lt;=7,"Medium","High"))</f>
        <v>High</v>
      </c>
      <c r="V13" t="str">
        <f>IF(mental_health[Daily_Screen_Time]&lt;=4,"Low",IF(mental_health[Daily_Screen_Time]&lt;=8,"Medium","High"))</f>
        <v>Medium</v>
      </c>
    </row>
    <row r="14" spans="1:22" x14ac:dyDescent="0.3">
      <c r="A14">
        <v>13</v>
      </c>
      <c r="B14">
        <v>51</v>
      </c>
      <c r="C14" t="s">
        <v>23</v>
      </c>
      <c r="D14" t="s">
        <v>22</v>
      </c>
      <c r="E14">
        <v>5.8</v>
      </c>
      <c r="F14">
        <v>8</v>
      </c>
      <c r="G14">
        <v>0</v>
      </c>
      <c r="H14" t="str">
        <f t="shared" si="0"/>
        <v>No Night Usage</v>
      </c>
      <c r="I14">
        <v>5.0999999999999996</v>
      </c>
      <c r="J14" s="3">
        <v>6</v>
      </c>
      <c r="K14">
        <v>7.8</v>
      </c>
      <c r="L14" t="s">
        <v>21</v>
      </c>
      <c r="M14">
        <v>1</v>
      </c>
      <c r="N14">
        <v>3</v>
      </c>
      <c r="O14">
        <v>1</v>
      </c>
      <c r="P14">
        <v>0</v>
      </c>
      <c r="Q14">
        <v>1</v>
      </c>
      <c r="R14">
        <v>0</v>
      </c>
      <c r="S14">
        <v>1</v>
      </c>
      <c r="T14" t="str">
        <f>IF(mental_health[Sleep_Hours]&lt;5,"Low",IF(mental_health[Sleep_Hours]&lt;7,"Medium","Good"))</f>
        <v>Medium</v>
      </c>
      <c r="U14" t="str">
        <f>IF(mental_health[Stress_Level]&lt;=3,"Low",IF(mental_health[Stress_Level]&lt;=7,"Medium","High"))</f>
        <v>Medium</v>
      </c>
      <c r="V14" t="str">
        <f>IF(mental_health[Daily_Screen_Time]&lt;=4,"Low",IF(mental_health[Daily_Screen_Time]&lt;=8,"Medium","High"))</f>
        <v>Medium</v>
      </c>
    </row>
    <row r="15" spans="1:22" x14ac:dyDescent="0.3">
      <c r="A15">
        <v>14</v>
      </c>
      <c r="B15">
        <v>55</v>
      </c>
      <c r="C15" t="s">
        <v>23</v>
      </c>
      <c r="D15" t="s">
        <v>22</v>
      </c>
      <c r="E15">
        <v>10.1</v>
      </c>
      <c r="F15">
        <v>4.3</v>
      </c>
      <c r="G15">
        <v>0</v>
      </c>
      <c r="H15" t="str">
        <f t="shared" si="0"/>
        <v>No Night Usage</v>
      </c>
      <c r="I15">
        <v>5.5</v>
      </c>
      <c r="J15" s="3">
        <v>9</v>
      </c>
      <c r="K15">
        <v>8.9</v>
      </c>
      <c r="L15" t="s">
        <v>20</v>
      </c>
      <c r="M15">
        <v>9</v>
      </c>
      <c r="N15">
        <v>3</v>
      </c>
      <c r="O15">
        <v>0</v>
      </c>
      <c r="P15">
        <v>1</v>
      </c>
      <c r="Q15">
        <v>1</v>
      </c>
      <c r="R15">
        <v>1</v>
      </c>
      <c r="S15">
        <v>1</v>
      </c>
      <c r="T15" t="str">
        <f>IF(mental_health[Sleep_Hours]&lt;5,"Low",IF(mental_health[Sleep_Hours]&lt;7,"Medium","Good"))</f>
        <v>Medium</v>
      </c>
      <c r="U15" t="str">
        <f>IF(mental_health[Stress_Level]&lt;=3,"Low",IF(mental_health[Stress_Level]&lt;=7,"Medium","High"))</f>
        <v>High</v>
      </c>
      <c r="V15" t="str">
        <f>IF(mental_health[Daily_Screen_Time]&lt;=4,"Low",IF(mental_health[Daily_Screen_Time]&lt;=8,"Medium","High"))</f>
        <v>High</v>
      </c>
    </row>
    <row r="16" spans="1:22" x14ac:dyDescent="0.3">
      <c r="A16">
        <v>15</v>
      </c>
      <c r="B16">
        <v>39</v>
      </c>
      <c r="C16" t="s">
        <v>18</v>
      </c>
      <c r="D16" t="s">
        <v>24</v>
      </c>
      <c r="E16">
        <v>10.199999999999999</v>
      </c>
      <c r="F16">
        <v>6.7</v>
      </c>
      <c r="G16">
        <v>1</v>
      </c>
      <c r="H16" t="str">
        <f t="shared" si="0"/>
        <v>Night Usage</v>
      </c>
      <c r="I16">
        <v>7.3</v>
      </c>
      <c r="J16" s="3">
        <v>4</v>
      </c>
      <c r="K16">
        <v>3.2</v>
      </c>
      <c r="L16" t="s">
        <v>21</v>
      </c>
      <c r="M16">
        <v>4</v>
      </c>
      <c r="N16">
        <v>0</v>
      </c>
      <c r="O16">
        <v>0</v>
      </c>
      <c r="P16">
        <v>1</v>
      </c>
      <c r="Q16">
        <v>1</v>
      </c>
      <c r="R16">
        <v>0</v>
      </c>
      <c r="S16">
        <v>1</v>
      </c>
      <c r="T16" t="str">
        <f>IF(mental_health[Sleep_Hours]&lt;5,"Low",IF(mental_health[Sleep_Hours]&lt;7,"Medium","Good"))</f>
        <v>Good</v>
      </c>
      <c r="U16" t="str">
        <f>IF(mental_health[Stress_Level]&lt;=3,"Low",IF(mental_health[Stress_Level]&lt;=7,"Medium","High"))</f>
        <v>Medium</v>
      </c>
      <c r="V16" t="str">
        <f>IF(mental_health[Daily_Screen_Time]&lt;=4,"Low",IF(mental_health[Daily_Screen_Time]&lt;=8,"Medium","High"))</f>
        <v>High</v>
      </c>
    </row>
    <row r="17" spans="1:22" x14ac:dyDescent="0.3">
      <c r="A17">
        <v>16</v>
      </c>
      <c r="B17">
        <v>18</v>
      </c>
      <c r="C17" t="s">
        <v>18</v>
      </c>
      <c r="D17" t="s">
        <v>19</v>
      </c>
      <c r="E17">
        <v>5.8</v>
      </c>
      <c r="F17">
        <v>4</v>
      </c>
      <c r="G17">
        <v>1</v>
      </c>
      <c r="H17" t="str">
        <f t="shared" si="0"/>
        <v>Night Usage</v>
      </c>
      <c r="I17">
        <v>6.1</v>
      </c>
      <c r="J17" s="3">
        <v>9</v>
      </c>
      <c r="K17">
        <v>3.2</v>
      </c>
      <c r="L17" t="s">
        <v>25</v>
      </c>
      <c r="M17">
        <v>9</v>
      </c>
      <c r="N17">
        <v>2</v>
      </c>
      <c r="O17">
        <v>1</v>
      </c>
      <c r="P17">
        <v>0</v>
      </c>
      <c r="Q17">
        <v>0</v>
      </c>
      <c r="R17">
        <v>1</v>
      </c>
      <c r="S17">
        <v>0</v>
      </c>
      <c r="T17" t="str">
        <f>IF(mental_health[Sleep_Hours]&lt;5,"Low",IF(mental_health[Sleep_Hours]&lt;7,"Medium","Good"))</f>
        <v>Medium</v>
      </c>
      <c r="U17" t="str">
        <f>IF(mental_health[Stress_Level]&lt;=3,"Low",IF(mental_health[Stress_Level]&lt;=7,"Medium","High"))</f>
        <v>High</v>
      </c>
      <c r="V17" t="str">
        <f>IF(mental_health[Daily_Screen_Time]&lt;=4,"Low",IF(mental_health[Daily_Screen_Time]&lt;=8,"Medium","High"))</f>
        <v>Medium</v>
      </c>
    </row>
    <row r="18" spans="1:22" x14ac:dyDescent="0.3">
      <c r="A18">
        <v>17</v>
      </c>
      <c r="B18">
        <v>37</v>
      </c>
      <c r="C18" t="s">
        <v>18</v>
      </c>
      <c r="D18" t="s">
        <v>22</v>
      </c>
      <c r="E18">
        <v>6.6</v>
      </c>
      <c r="F18">
        <v>6.6</v>
      </c>
      <c r="G18">
        <v>0</v>
      </c>
      <c r="H18" t="str">
        <f t="shared" si="0"/>
        <v>No Night Usage</v>
      </c>
      <c r="I18">
        <v>8.6999999999999993</v>
      </c>
      <c r="J18" s="3">
        <v>9</v>
      </c>
      <c r="K18">
        <v>7.7</v>
      </c>
      <c r="L18" t="s">
        <v>20</v>
      </c>
      <c r="M18">
        <v>8</v>
      </c>
      <c r="N18">
        <v>0</v>
      </c>
      <c r="O18">
        <v>0</v>
      </c>
      <c r="P18">
        <v>0</v>
      </c>
      <c r="Q18">
        <v>1</v>
      </c>
      <c r="R18">
        <v>1</v>
      </c>
      <c r="S18">
        <v>0</v>
      </c>
      <c r="T18" t="str">
        <f>IF(mental_health[Sleep_Hours]&lt;5,"Low",IF(mental_health[Sleep_Hours]&lt;7,"Medium","Good"))</f>
        <v>Good</v>
      </c>
      <c r="U18" t="str">
        <f>IF(mental_health[Stress_Level]&lt;=3,"Low",IF(mental_health[Stress_Level]&lt;=7,"Medium","High"))</f>
        <v>High</v>
      </c>
      <c r="V18" t="str">
        <f>IF(mental_health[Daily_Screen_Time]&lt;=4,"Low",IF(mental_health[Daily_Screen_Time]&lt;=8,"Medium","High"))</f>
        <v>Medium</v>
      </c>
    </row>
    <row r="19" spans="1:22" x14ac:dyDescent="0.3">
      <c r="A19">
        <v>18</v>
      </c>
      <c r="B19">
        <v>17</v>
      </c>
      <c r="C19" t="s">
        <v>18</v>
      </c>
      <c r="D19" t="s">
        <v>24</v>
      </c>
      <c r="E19">
        <v>5</v>
      </c>
      <c r="F19">
        <v>5.2</v>
      </c>
      <c r="G19">
        <v>0</v>
      </c>
      <c r="H19" t="str">
        <f t="shared" si="0"/>
        <v>No Night Usage</v>
      </c>
      <c r="I19">
        <v>3.3</v>
      </c>
      <c r="J19" s="3">
        <v>6</v>
      </c>
      <c r="K19">
        <v>4.7</v>
      </c>
      <c r="L19" t="s">
        <v>21</v>
      </c>
      <c r="M19">
        <v>3</v>
      </c>
      <c r="N19">
        <v>1</v>
      </c>
      <c r="O19">
        <v>0</v>
      </c>
      <c r="P19">
        <v>1</v>
      </c>
      <c r="Q19">
        <v>1</v>
      </c>
      <c r="R19">
        <v>0</v>
      </c>
      <c r="S19">
        <v>0</v>
      </c>
      <c r="T19" t="str">
        <f>IF(mental_health[Sleep_Hours]&lt;5,"Low",IF(mental_health[Sleep_Hours]&lt;7,"Medium","Good"))</f>
        <v>Low</v>
      </c>
      <c r="U19" t="str">
        <f>IF(mental_health[Stress_Level]&lt;=3,"Low",IF(mental_health[Stress_Level]&lt;=7,"Medium","High"))</f>
        <v>Medium</v>
      </c>
      <c r="V19" t="str">
        <f>IF(mental_health[Daily_Screen_Time]&lt;=4,"Low",IF(mental_health[Daily_Screen_Time]&lt;=8,"Medium","High"))</f>
        <v>Medium</v>
      </c>
    </row>
    <row r="20" spans="1:22" x14ac:dyDescent="0.3">
      <c r="A20">
        <v>19</v>
      </c>
      <c r="B20">
        <v>39</v>
      </c>
      <c r="C20" t="s">
        <v>23</v>
      </c>
      <c r="D20" t="s">
        <v>24</v>
      </c>
      <c r="E20">
        <v>11.3</v>
      </c>
      <c r="F20">
        <v>7.2</v>
      </c>
      <c r="G20">
        <v>0</v>
      </c>
      <c r="H20" t="str">
        <f t="shared" si="0"/>
        <v>No Night Usage</v>
      </c>
      <c r="I20">
        <v>6</v>
      </c>
      <c r="J20" s="3">
        <v>5</v>
      </c>
      <c r="K20">
        <v>5.9</v>
      </c>
      <c r="L20" t="s">
        <v>25</v>
      </c>
      <c r="M20">
        <v>3</v>
      </c>
      <c r="N20">
        <v>3</v>
      </c>
      <c r="O20">
        <v>1</v>
      </c>
      <c r="P20">
        <v>1</v>
      </c>
      <c r="Q20">
        <v>1</v>
      </c>
      <c r="R20">
        <v>1</v>
      </c>
      <c r="S20">
        <v>1</v>
      </c>
      <c r="T20" t="str">
        <f>IF(mental_health[Sleep_Hours]&lt;5,"Low",IF(mental_health[Sleep_Hours]&lt;7,"Medium","Good"))</f>
        <v>Medium</v>
      </c>
      <c r="U20" t="str">
        <f>IF(mental_health[Stress_Level]&lt;=3,"Low",IF(mental_health[Stress_Level]&lt;=7,"Medium","High"))</f>
        <v>Medium</v>
      </c>
      <c r="V20" t="str">
        <f>IF(mental_health[Daily_Screen_Time]&lt;=4,"Low",IF(mental_health[Daily_Screen_Time]&lt;=8,"Medium","High"))</f>
        <v>High</v>
      </c>
    </row>
    <row r="21" spans="1:22" x14ac:dyDescent="0.3">
      <c r="A21">
        <v>20</v>
      </c>
      <c r="B21">
        <v>59</v>
      </c>
      <c r="C21" t="s">
        <v>18</v>
      </c>
      <c r="D21" t="s">
        <v>24</v>
      </c>
      <c r="E21">
        <v>3.2</v>
      </c>
      <c r="F21">
        <v>3.9</v>
      </c>
      <c r="G21">
        <v>1</v>
      </c>
      <c r="H21" t="str">
        <f t="shared" si="0"/>
        <v>Night Usage</v>
      </c>
      <c r="I21">
        <v>6.5</v>
      </c>
      <c r="J21" s="3">
        <v>3</v>
      </c>
      <c r="K21">
        <v>6</v>
      </c>
      <c r="L21" t="s">
        <v>21</v>
      </c>
      <c r="M21">
        <v>9</v>
      </c>
      <c r="N21">
        <v>1</v>
      </c>
      <c r="O21">
        <v>0</v>
      </c>
      <c r="P21">
        <v>0</v>
      </c>
      <c r="Q21">
        <v>0</v>
      </c>
      <c r="R21">
        <v>1</v>
      </c>
      <c r="S21">
        <v>1</v>
      </c>
      <c r="T21" t="str">
        <f>IF(mental_health[Sleep_Hours]&lt;5,"Low",IF(mental_health[Sleep_Hours]&lt;7,"Medium","Good"))</f>
        <v>Medium</v>
      </c>
      <c r="U21" t="str">
        <f>IF(mental_health[Stress_Level]&lt;=3,"Low",IF(mental_health[Stress_Level]&lt;=7,"Medium","High"))</f>
        <v>Low</v>
      </c>
      <c r="V21" t="str">
        <f>IF(mental_health[Daily_Screen_Time]&lt;=4,"Low",IF(mental_health[Daily_Screen_Time]&lt;=8,"Medium","High"))</f>
        <v>Low</v>
      </c>
    </row>
    <row r="22" spans="1:22" x14ac:dyDescent="0.3">
      <c r="A22">
        <v>21</v>
      </c>
      <c r="B22">
        <v>45</v>
      </c>
      <c r="C22" t="s">
        <v>18</v>
      </c>
      <c r="D22" t="s">
        <v>24</v>
      </c>
      <c r="E22">
        <v>11.3</v>
      </c>
      <c r="F22">
        <v>5.2</v>
      </c>
      <c r="G22">
        <v>0</v>
      </c>
      <c r="H22" t="str">
        <f t="shared" si="0"/>
        <v>No Night Usage</v>
      </c>
      <c r="I22">
        <v>8.5</v>
      </c>
      <c r="J22" s="3">
        <v>5</v>
      </c>
      <c r="K22">
        <v>3.8</v>
      </c>
      <c r="L22" t="s">
        <v>21</v>
      </c>
      <c r="M22">
        <v>3</v>
      </c>
      <c r="N22">
        <v>4</v>
      </c>
      <c r="O22">
        <v>0</v>
      </c>
      <c r="P22">
        <v>1</v>
      </c>
      <c r="Q22">
        <v>1</v>
      </c>
      <c r="R22">
        <v>0</v>
      </c>
      <c r="S22">
        <v>0</v>
      </c>
      <c r="T22" t="str">
        <f>IF(mental_health[Sleep_Hours]&lt;5,"Low",IF(mental_health[Sleep_Hours]&lt;7,"Medium","Good"))</f>
        <v>Good</v>
      </c>
      <c r="U22" t="str">
        <f>IF(mental_health[Stress_Level]&lt;=3,"Low",IF(mental_health[Stress_Level]&lt;=7,"Medium","High"))</f>
        <v>Medium</v>
      </c>
      <c r="V22" t="str">
        <f>IF(mental_health[Daily_Screen_Time]&lt;=4,"Low",IF(mental_health[Daily_Screen_Time]&lt;=8,"Medium","High"))</f>
        <v>High</v>
      </c>
    </row>
    <row r="23" spans="1:22" x14ac:dyDescent="0.3">
      <c r="A23">
        <v>22</v>
      </c>
      <c r="B23">
        <v>53</v>
      </c>
      <c r="C23" t="s">
        <v>18</v>
      </c>
      <c r="D23" t="s">
        <v>19</v>
      </c>
      <c r="E23">
        <v>8.8000000000000007</v>
      </c>
      <c r="F23">
        <v>5.4</v>
      </c>
      <c r="G23">
        <v>1</v>
      </c>
      <c r="H23" t="str">
        <f t="shared" si="0"/>
        <v>Night Usage</v>
      </c>
      <c r="I23">
        <v>3.3</v>
      </c>
      <c r="J23" s="3">
        <v>3</v>
      </c>
      <c r="K23">
        <v>2</v>
      </c>
      <c r="L23" t="s">
        <v>20</v>
      </c>
      <c r="M23">
        <v>4</v>
      </c>
      <c r="N23">
        <v>3</v>
      </c>
      <c r="O23">
        <v>1</v>
      </c>
      <c r="P23">
        <v>0</v>
      </c>
      <c r="Q23">
        <v>0</v>
      </c>
      <c r="R23">
        <v>1</v>
      </c>
      <c r="S23">
        <v>1</v>
      </c>
      <c r="T23" t="str">
        <f>IF(mental_health[Sleep_Hours]&lt;5,"Low",IF(mental_health[Sleep_Hours]&lt;7,"Medium","Good"))</f>
        <v>Low</v>
      </c>
      <c r="U23" t="str">
        <f>IF(mental_health[Stress_Level]&lt;=3,"Low",IF(mental_health[Stress_Level]&lt;=7,"Medium","High"))</f>
        <v>Low</v>
      </c>
      <c r="V23" t="str">
        <f>IF(mental_health[Daily_Screen_Time]&lt;=4,"Low",IF(mental_health[Daily_Screen_Time]&lt;=8,"Medium","High"))</f>
        <v>High</v>
      </c>
    </row>
    <row r="24" spans="1:22" x14ac:dyDescent="0.3">
      <c r="A24">
        <v>23</v>
      </c>
      <c r="B24">
        <v>17</v>
      </c>
      <c r="C24" t="s">
        <v>18</v>
      </c>
      <c r="D24" t="s">
        <v>24</v>
      </c>
      <c r="E24">
        <v>7.3</v>
      </c>
      <c r="F24">
        <v>3.9</v>
      </c>
      <c r="G24">
        <v>0</v>
      </c>
      <c r="H24" t="str">
        <f t="shared" si="0"/>
        <v>No Night Usage</v>
      </c>
      <c r="I24">
        <v>6.4</v>
      </c>
      <c r="J24" s="3">
        <v>5</v>
      </c>
      <c r="K24">
        <v>10.5</v>
      </c>
      <c r="L24" t="s">
        <v>20</v>
      </c>
      <c r="M24">
        <v>9</v>
      </c>
      <c r="N24">
        <v>2</v>
      </c>
      <c r="O24">
        <v>1</v>
      </c>
      <c r="P24">
        <v>1</v>
      </c>
      <c r="Q24">
        <v>0</v>
      </c>
      <c r="R24">
        <v>1</v>
      </c>
      <c r="S24">
        <v>0</v>
      </c>
      <c r="T24" t="str">
        <f>IF(mental_health[Sleep_Hours]&lt;5,"Low",IF(mental_health[Sleep_Hours]&lt;7,"Medium","Good"))</f>
        <v>Medium</v>
      </c>
      <c r="U24" t="str">
        <f>IF(mental_health[Stress_Level]&lt;=3,"Low",IF(mental_health[Stress_Level]&lt;=7,"Medium","High"))</f>
        <v>Medium</v>
      </c>
      <c r="V24" t="str">
        <f>IF(mental_health[Daily_Screen_Time]&lt;=4,"Low",IF(mental_health[Daily_Screen_Time]&lt;=8,"Medium","High"))</f>
        <v>Medium</v>
      </c>
    </row>
    <row r="25" spans="1:22" x14ac:dyDescent="0.3">
      <c r="A25">
        <v>24</v>
      </c>
      <c r="B25">
        <v>36</v>
      </c>
      <c r="C25" t="s">
        <v>23</v>
      </c>
      <c r="D25" t="s">
        <v>22</v>
      </c>
      <c r="E25">
        <v>2.2999999999999998</v>
      </c>
      <c r="F25">
        <v>2</v>
      </c>
      <c r="G25">
        <v>1</v>
      </c>
      <c r="H25" t="str">
        <f t="shared" si="0"/>
        <v>Night Usage</v>
      </c>
      <c r="I25">
        <v>8.1</v>
      </c>
      <c r="J25" s="3">
        <v>5</v>
      </c>
      <c r="K25">
        <v>9.1999999999999993</v>
      </c>
      <c r="L25" t="s">
        <v>21</v>
      </c>
      <c r="M25">
        <v>4</v>
      </c>
      <c r="N25">
        <v>0</v>
      </c>
      <c r="O25">
        <v>0</v>
      </c>
      <c r="P25">
        <v>1</v>
      </c>
      <c r="Q25">
        <v>0</v>
      </c>
      <c r="R25">
        <v>0</v>
      </c>
      <c r="S25">
        <v>1</v>
      </c>
      <c r="T25" t="str">
        <f>IF(mental_health[Sleep_Hours]&lt;5,"Low",IF(mental_health[Sleep_Hours]&lt;7,"Medium","Good"))</f>
        <v>Good</v>
      </c>
      <c r="U25" t="str">
        <f>IF(mental_health[Stress_Level]&lt;=3,"Low",IF(mental_health[Stress_Level]&lt;=7,"Medium","High"))</f>
        <v>Medium</v>
      </c>
      <c r="V25" t="str">
        <f>IF(mental_health[Daily_Screen_Time]&lt;=4,"Low",IF(mental_health[Daily_Screen_Time]&lt;=8,"Medium","High"))</f>
        <v>Low</v>
      </c>
    </row>
    <row r="26" spans="1:22" x14ac:dyDescent="0.3">
      <c r="A26">
        <v>25</v>
      </c>
      <c r="B26">
        <v>48</v>
      </c>
      <c r="C26" t="s">
        <v>18</v>
      </c>
      <c r="D26" t="s">
        <v>19</v>
      </c>
      <c r="E26">
        <v>6.8</v>
      </c>
      <c r="F26">
        <v>1.7</v>
      </c>
      <c r="G26">
        <v>1</v>
      </c>
      <c r="H26" t="str">
        <f t="shared" si="0"/>
        <v>Night Usage</v>
      </c>
      <c r="I26">
        <v>4.5</v>
      </c>
      <c r="J26" s="3">
        <v>2</v>
      </c>
      <c r="K26">
        <v>8.9</v>
      </c>
      <c r="L26" t="s">
        <v>20</v>
      </c>
      <c r="M26">
        <v>3</v>
      </c>
      <c r="N26">
        <v>4</v>
      </c>
      <c r="O26">
        <v>0</v>
      </c>
      <c r="P26">
        <v>1</v>
      </c>
      <c r="Q26">
        <v>0</v>
      </c>
      <c r="R26">
        <v>0</v>
      </c>
      <c r="S26">
        <v>0</v>
      </c>
      <c r="T26" t="str">
        <f>IF(mental_health[Sleep_Hours]&lt;5,"Low",IF(mental_health[Sleep_Hours]&lt;7,"Medium","Good"))</f>
        <v>Low</v>
      </c>
      <c r="U26" t="str">
        <f>IF(mental_health[Stress_Level]&lt;=3,"Low",IF(mental_health[Stress_Level]&lt;=7,"Medium","High"))</f>
        <v>Low</v>
      </c>
      <c r="V26" t="str">
        <f>IF(mental_health[Daily_Screen_Time]&lt;=4,"Low",IF(mental_health[Daily_Screen_Time]&lt;=8,"Medium","High"))</f>
        <v>Medium</v>
      </c>
    </row>
    <row r="27" spans="1:22" x14ac:dyDescent="0.3">
      <c r="A27">
        <v>26</v>
      </c>
      <c r="B27">
        <v>27</v>
      </c>
      <c r="C27" t="s">
        <v>18</v>
      </c>
      <c r="D27" t="s">
        <v>24</v>
      </c>
      <c r="E27">
        <v>6.1</v>
      </c>
      <c r="F27">
        <v>1.1000000000000001</v>
      </c>
      <c r="G27">
        <v>1</v>
      </c>
      <c r="H27" t="str">
        <f t="shared" si="0"/>
        <v>Night Usage</v>
      </c>
      <c r="I27">
        <v>8.3000000000000007</v>
      </c>
      <c r="J27" s="3">
        <v>9</v>
      </c>
      <c r="K27">
        <v>7.5</v>
      </c>
      <c r="L27" t="s">
        <v>20</v>
      </c>
      <c r="M27">
        <v>7</v>
      </c>
      <c r="N27">
        <v>1</v>
      </c>
      <c r="O27">
        <v>0</v>
      </c>
      <c r="P27">
        <v>1</v>
      </c>
      <c r="Q27">
        <v>1</v>
      </c>
      <c r="R27">
        <v>1</v>
      </c>
      <c r="S27">
        <v>0</v>
      </c>
      <c r="T27" t="str">
        <f>IF(mental_health[Sleep_Hours]&lt;5,"Low",IF(mental_health[Sleep_Hours]&lt;7,"Medium","Good"))</f>
        <v>Good</v>
      </c>
      <c r="U27" t="str">
        <f>IF(mental_health[Stress_Level]&lt;=3,"Low",IF(mental_health[Stress_Level]&lt;=7,"Medium","High"))</f>
        <v>High</v>
      </c>
      <c r="V27" t="str">
        <f>IF(mental_health[Daily_Screen_Time]&lt;=4,"Low",IF(mental_health[Daily_Screen_Time]&lt;=8,"Medium","High"))</f>
        <v>Medium</v>
      </c>
    </row>
    <row r="28" spans="1:22" x14ac:dyDescent="0.3">
      <c r="A28">
        <v>27</v>
      </c>
      <c r="B28">
        <v>37</v>
      </c>
      <c r="C28" t="s">
        <v>23</v>
      </c>
      <c r="D28" t="s">
        <v>19</v>
      </c>
      <c r="E28">
        <v>3.6</v>
      </c>
      <c r="F28">
        <v>7.1</v>
      </c>
      <c r="G28">
        <v>1</v>
      </c>
      <c r="H28" t="str">
        <f t="shared" si="0"/>
        <v>Night Usage</v>
      </c>
      <c r="I28">
        <v>3.1</v>
      </c>
      <c r="J28" s="3">
        <v>7</v>
      </c>
      <c r="K28">
        <v>9</v>
      </c>
      <c r="L28" t="s">
        <v>21</v>
      </c>
      <c r="M28">
        <v>6</v>
      </c>
      <c r="N28">
        <v>4</v>
      </c>
      <c r="O28">
        <v>1</v>
      </c>
      <c r="P28">
        <v>1</v>
      </c>
      <c r="Q28">
        <v>0</v>
      </c>
      <c r="R28">
        <v>1</v>
      </c>
      <c r="S28">
        <v>1</v>
      </c>
      <c r="T28" t="str">
        <f>IF(mental_health[Sleep_Hours]&lt;5,"Low",IF(mental_health[Sleep_Hours]&lt;7,"Medium","Good"))</f>
        <v>Low</v>
      </c>
      <c r="U28" t="str">
        <f>IF(mental_health[Stress_Level]&lt;=3,"Low",IF(mental_health[Stress_Level]&lt;=7,"Medium","High"))</f>
        <v>Medium</v>
      </c>
      <c r="V28" t="str">
        <f>IF(mental_health[Daily_Screen_Time]&lt;=4,"Low",IF(mental_health[Daily_Screen_Time]&lt;=8,"Medium","High"))</f>
        <v>Low</v>
      </c>
    </row>
    <row r="29" spans="1:22" x14ac:dyDescent="0.3">
      <c r="A29">
        <v>28</v>
      </c>
      <c r="B29">
        <v>59</v>
      </c>
      <c r="C29" t="s">
        <v>23</v>
      </c>
      <c r="D29" t="s">
        <v>22</v>
      </c>
      <c r="E29">
        <v>8.6</v>
      </c>
      <c r="F29">
        <v>2.7</v>
      </c>
      <c r="G29">
        <v>0</v>
      </c>
      <c r="H29" t="str">
        <f t="shared" si="0"/>
        <v>No Night Usage</v>
      </c>
      <c r="I29">
        <v>7.4</v>
      </c>
      <c r="J29" s="3">
        <v>6</v>
      </c>
      <c r="K29">
        <v>11.4</v>
      </c>
      <c r="L29" t="s">
        <v>20</v>
      </c>
      <c r="M29">
        <v>1</v>
      </c>
      <c r="N29">
        <v>2</v>
      </c>
      <c r="O29">
        <v>1</v>
      </c>
      <c r="P29">
        <v>0</v>
      </c>
      <c r="Q29">
        <v>0</v>
      </c>
      <c r="R29">
        <v>0</v>
      </c>
      <c r="S29">
        <v>0</v>
      </c>
      <c r="T29" t="str">
        <f>IF(mental_health[Sleep_Hours]&lt;5,"Low",IF(mental_health[Sleep_Hours]&lt;7,"Medium","Good"))</f>
        <v>Good</v>
      </c>
      <c r="U29" t="str">
        <f>IF(mental_health[Stress_Level]&lt;=3,"Low",IF(mental_health[Stress_Level]&lt;=7,"Medium","High"))</f>
        <v>Medium</v>
      </c>
      <c r="V29" t="str">
        <f>IF(mental_health[Daily_Screen_Time]&lt;=4,"Low",IF(mental_health[Daily_Screen_Time]&lt;=8,"Medium","High"))</f>
        <v>High</v>
      </c>
    </row>
    <row r="30" spans="1:22" x14ac:dyDescent="0.3">
      <c r="A30">
        <v>29</v>
      </c>
      <c r="B30">
        <v>40</v>
      </c>
      <c r="C30" t="s">
        <v>23</v>
      </c>
      <c r="D30" t="s">
        <v>24</v>
      </c>
      <c r="E30">
        <v>11.7</v>
      </c>
      <c r="F30">
        <v>2.5</v>
      </c>
      <c r="G30">
        <v>1</v>
      </c>
      <c r="H30" t="str">
        <f t="shared" si="0"/>
        <v>Night Usage</v>
      </c>
      <c r="I30">
        <v>8.6</v>
      </c>
      <c r="J30" s="3">
        <v>5</v>
      </c>
      <c r="K30">
        <v>8.6999999999999993</v>
      </c>
      <c r="L30" t="s">
        <v>20</v>
      </c>
      <c r="M30">
        <v>10</v>
      </c>
      <c r="N30">
        <v>0</v>
      </c>
      <c r="O30">
        <v>0</v>
      </c>
      <c r="P30">
        <v>0</v>
      </c>
      <c r="Q30">
        <v>0</v>
      </c>
      <c r="R30">
        <v>1</v>
      </c>
      <c r="S30">
        <v>0</v>
      </c>
      <c r="T30" t="str">
        <f>IF(mental_health[Sleep_Hours]&lt;5,"Low",IF(mental_health[Sleep_Hours]&lt;7,"Medium","Good"))</f>
        <v>Good</v>
      </c>
      <c r="U30" t="str">
        <f>IF(mental_health[Stress_Level]&lt;=3,"Low",IF(mental_health[Stress_Level]&lt;=7,"Medium","High"))</f>
        <v>Medium</v>
      </c>
      <c r="V30" t="str">
        <f>IF(mental_health[Daily_Screen_Time]&lt;=4,"Low",IF(mental_health[Daily_Screen_Time]&lt;=8,"Medium","High"))</f>
        <v>High</v>
      </c>
    </row>
    <row r="31" spans="1:22" x14ac:dyDescent="0.3">
      <c r="A31">
        <v>30</v>
      </c>
      <c r="B31">
        <v>42</v>
      </c>
      <c r="C31" t="s">
        <v>18</v>
      </c>
      <c r="D31" t="s">
        <v>22</v>
      </c>
      <c r="E31">
        <v>7.6</v>
      </c>
      <c r="F31">
        <v>6.2</v>
      </c>
      <c r="G31">
        <v>1</v>
      </c>
      <c r="H31" t="str">
        <f t="shared" si="0"/>
        <v>Night Usage</v>
      </c>
      <c r="I31">
        <v>6.9</v>
      </c>
      <c r="J31" s="3">
        <v>4</v>
      </c>
      <c r="K31">
        <v>4.7</v>
      </c>
      <c r="L31" t="s">
        <v>25</v>
      </c>
      <c r="M31">
        <v>8</v>
      </c>
      <c r="N31">
        <v>4</v>
      </c>
      <c r="O31">
        <v>0</v>
      </c>
      <c r="P31">
        <v>1</v>
      </c>
      <c r="Q31">
        <v>1</v>
      </c>
      <c r="R31">
        <v>0</v>
      </c>
      <c r="S31">
        <v>0</v>
      </c>
      <c r="T31" t="str">
        <f>IF(mental_health[Sleep_Hours]&lt;5,"Low",IF(mental_health[Sleep_Hours]&lt;7,"Medium","Good"))</f>
        <v>Medium</v>
      </c>
      <c r="U31" t="str">
        <f>IF(mental_health[Stress_Level]&lt;=3,"Low",IF(mental_health[Stress_Level]&lt;=7,"Medium","High"))</f>
        <v>Medium</v>
      </c>
      <c r="V31" t="str">
        <f>IF(mental_health[Daily_Screen_Time]&lt;=4,"Low",IF(mental_health[Daily_Screen_Time]&lt;=8,"Medium","High"))</f>
        <v>Medium</v>
      </c>
    </row>
    <row r="32" spans="1:22" x14ac:dyDescent="0.3">
      <c r="A32">
        <v>31</v>
      </c>
      <c r="B32">
        <v>57</v>
      </c>
      <c r="C32" t="s">
        <v>18</v>
      </c>
      <c r="D32" t="s">
        <v>24</v>
      </c>
      <c r="E32">
        <v>9.1</v>
      </c>
      <c r="F32">
        <v>3.2</v>
      </c>
      <c r="G32">
        <v>1</v>
      </c>
      <c r="H32" t="str">
        <f t="shared" si="0"/>
        <v>Night Usage</v>
      </c>
      <c r="I32">
        <v>5.6</v>
      </c>
      <c r="J32" s="3">
        <v>8</v>
      </c>
      <c r="K32">
        <v>7.7</v>
      </c>
      <c r="L32" t="s">
        <v>20</v>
      </c>
      <c r="M32">
        <v>1</v>
      </c>
      <c r="N32">
        <v>1</v>
      </c>
      <c r="O32">
        <v>0</v>
      </c>
      <c r="P32">
        <v>0</v>
      </c>
      <c r="Q32">
        <v>1</v>
      </c>
      <c r="R32">
        <v>1</v>
      </c>
      <c r="S32">
        <v>1</v>
      </c>
      <c r="T32" t="str">
        <f>IF(mental_health[Sleep_Hours]&lt;5,"Low",IF(mental_health[Sleep_Hours]&lt;7,"Medium","Good"))</f>
        <v>Medium</v>
      </c>
      <c r="U32" t="str">
        <f>IF(mental_health[Stress_Level]&lt;=3,"Low",IF(mental_health[Stress_Level]&lt;=7,"Medium","High"))</f>
        <v>High</v>
      </c>
      <c r="V32" t="str">
        <f>IF(mental_health[Daily_Screen_Time]&lt;=4,"Low",IF(mental_health[Daily_Screen_Time]&lt;=8,"Medium","High"))</f>
        <v>High</v>
      </c>
    </row>
    <row r="33" spans="1:22" x14ac:dyDescent="0.3">
      <c r="A33">
        <v>32</v>
      </c>
      <c r="B33">
        <v>43</v>
      </c>
      <c r="C33" t="s">
        <v>23</v>
      </c>
      <c r="D33" t="s">
        <v>24</v>
      </c>
      <c r="E33">
        <v>2.7</v>
      </c>
      <c r="F33">
        <v>4.5</v>
      </c>
      <c r="G33">
        <v>0</v>
      </c>
      <c r="H33" t="str">
        <f t="shared" si="0"/>
        <v>No Night Usage</v>
      </c>
      <c r="I33">
        <v>3.3</v>
      </c>
      <c r="J33" s="3">
        <v>2</v>
      </c>
      <c r="K33">
        <v>6.4</v>
      </c>
      <c r="L33" t="s">
        <v>25</v>
      </c>
      <c r="M33">
        <v>4</v>
      </c>
      <c r="N33">
        <v>4</v>
      </c>
      <c r="O33">
        <v>1</v>
      </c>
      <c r="P33">
        <v>0</v>
      </c>
      <c r="Q33">
        <v>0</v>
      </c>
      <c r="R33">
        <v>0</v>
      </c>
      <c r="S33">
        <v>1</v>
      </c>
      <c r="T33" t="str">
        <f>IF(mental_health[Sleep_Hours]&lt;5,"Low",IF(mental_health[Sleep_Hours]&lt;7,"Medium","Good"))</f>
        <v>Low</v>
      </c>
      <c r="U33" t="str">
        <f>IF(mental_health[Stress_Level]&lt;=3,"Low",IF(mental_health[Stress_Level]&lt;=7,"Medium","High"))</f>
        <v>Low</v>
      </c>
      <c r="V33" t="str">
        <f>IF(mental_health[Daily_Screen_Time]&lt;=4,"Low",IF(mental_health[Daily_Screen_Time]&lt;=8,"Medium","High"))</f>
        <v>Low</v>
      </c>
    </row>
    <row r="34" spans="1:22" x14ac:dyDescent="0.3">
      <c r="A34">
        <v>33</v>
      </c>
      <c r="B34">
        <v>31</v>
      </c>
      <c r="C34" t="s">
        <v>23</v>
      </c>
      <c r="D34" t="s">
        <v>24</v>
      </c>
      <c r="E34">
        <v>6.2</v>
      </c>
      <c r="F34">
        <v>2.1</v>
      </c>
      <c r="G34">
        <v>0</v>
      </c>
      <c r="H34" t="str">
        <f t="shared" si="0"/>
        <v>No Night Usage</v>
      </c>
      <c r="I34">
        <v>8.5</v>
      </c>
      <c r="J34" s="3">
        <v>8</v>
      </c>
      <c r="K34">
        <v>7.6</v>
      </c>
      <c r="L34" t="s">
        <v>21</v>
      </c>
      <c r="M34">
        <v>6</v>
      </c>
      <c r="N34">
        <v>0</v>
      </c>
      <c r="O34">
        <v>1</v>
      </c>
      <c r="P34">
        <v>1</v>
      </c>
      <c r="Q34">
        <v>0</v>
      </c>
      <c r="R34">
        <v>1</v>
      </c>
      <c r="S34">
        <v>0</v>
      </c>
      <c r="T34" t="str">
        <f>IF(mental_health[Sleep_Hours]&lt;5,"Low",IF(mental_health[Sleep_Hours]&lt;7,"Medium","Good"))</f>
        <v>Good</v>
      </c>
      <c r="U34" t="str">
        <f>IF(mental_health[Stress_Level]&lt;=3,"Low",IF(mental_health[Stress_Level]&lt;=7,"Medium","High"))</f>
        <v>High</v>
      </c>
      <c r="V34" t="str">
        <f>IF(mental_health[Daily_Screen_Time]&lt;=4,"Low",IF(mental_health[Daily_Screen_Time]&lt;=8,"Medium","High"))</f>
        <v>Medium</v>
      </c>
    </row>
    <row r="35" spans="1:22" x14ac:dyDescent="0.3">
      <c r="A35">
        <v>34</v>
      </c>
      <c r="B35">
        <v>30</v>
      </c>
      <c r="C35" t="s">
        <v>23</v>
      </c>
      <c r="D35" t="s">
        <v>24</v>
      </c>
      <c r="E35">
        <v>3.2</v>
      </c>
      <c r="F35">
        <v>7.7</v>
      </c>
      <c r="G35">
        <v>0</v>
      </c>
      <c r="H35" t="str">
        <f t="shared" si="0"/>
        <v>No Night Usage</v>
      </c>
      <c r="I35">
        <v>5.8</v>
      </c>
      <c r="J35" s="3">
        <v>1</v>
      </c>
      <c r="K35">
        <v>7.2</v>
      </c>
      <c r="L35" t="s">
        <v>25</v>
      </c>
      <c r="M35">
        <v>6</v>
      </c>
      <c r="N35">
        <v>4</v>
      </c>
      <c r="O35">
        <v>0</v>
      </c>
      <c r="P35">
        <v>0</v>
      </c>
      <c r="Q35">
        <v>0</v>
      </c>
      <c r="R35">
        <v>0</v>
      </c>
      <c r="S35">
        <v>0</v>
      </c>
      <c r="T35" t="str">
        <f>IF(mental_health[Sleep_Hours]&lt;5,"Low",IF(mental_health[Sleep_Hours]&lt;7,"Medium","Good"))</f>
        <v>Medium</v>
      </c>
      <c r="U35" t="str">
        <f>IF(mental_health[Stress_Level]&lt;=3,"Low",IF(mental_health[Stress_Level]&lt;=7,"Medium","High"))</f>
        <v>Low</v>
      </c>
      <c r="V35" t="str">
        <f>IF(mental_health[Daily_Screen_Time]&lt;=4,"Low",IF(mental_health[Daily_Screen_Time]&lt;=8,"Medium","High"))</f>
        <v>Low</v>
      </c>
    </row>
    <row r="36" spans="1:22" x14ac:dyDescent="0.3">
      <c r="A36">
        <v>35</v>
      </c>
      <c r="B36">
        <v>59</v>
      </c>
      <c r="C36" t="s">
        <v>23</v>
      </c>
      <c r="D36" t="s">
        <v>24</v>
      </c>
      <c r="E36">
        <v>8.1</v>
      </c>
      <c r="F36">
        <v>7</v>
      </c>
      <c r="G36">
        <v>0</v>
      </c>
      <c r="H36" t="str">
        <f t="shared" si="0"/>
        <v>No Night Usage</v>
      </c>
      <c r="I36">
        <v>3.2</v>
      </c>
      <c r="J36" s="3">
        <v>10</v>
      </c>
      <c r="K36">
        <v>10.6</v>
      </c>
      <c r="L36" t="s">
        <v>21</v>
      </c>
      <c r="M36">
        <v>7</v>
      </c>
      <c r="N36">
        <v>1</v>
      </c>
      <c r="O36">
        <v>0</v>
      </c>
      <c r="P36">
        <v>0</v>
      </c>
      <c r="Q36">
        <v>0</v>
      </c>
      <c r="R36">
        <v>1</v>
      </c>
      <c r="S36">
        <v>1</v>
      </c>
      <c r="T36" t="str">
        <f>IF(mental_health[Sleep_Hours]&lt;5,"Low",IF(mental_health[Sleep_Hours]&lt;7,"Medium","Good"))</f>
        <v>Low</v>
      </c>
      <c r="U36" t="str">
        <f>IF(mental_health[Stress_Level]&lt;=3,"Low",IF(mental_health[Stress_Level]&lt;=7,"Medium","High"))</f>
        <v>High</v>
      </c>
      <c r="V36" t="str">
        <f>IF(mental_health[Daily_Screen_Time]&lt;=4,"Low",IF(mental_health[Daily_Screen_Time]&lt;=8,"Medium","High"))</f>
        <v>High</v>
      </c>
    </row>
    <row r="37" spans="1:22" x14ac:dyDescent="0.3">
      <c r="A37">
        <v>36</v>
      </c>
      <c r="B37">
        <v>18</v>
      </c>
      <c r="C37" t="s">
        <v>23</v>
      </c>
      <c r="D37" t="s">
        <v>19</v>
      </c>
      <c r="E37">
        <v>11.4</v>
      </c>
      <c r="F37">
        <v>7</v>
      </c>
      <c r="G37">
        <v>0</v>
      </c>
      <c r="H37" t="str">
        <f t="shared" si="0"/>
        <v>No Night Usage</v>
      </c>
      <c r="I37">
        <v>7.1</v>
      </c>
      <c r="J37" s="3">
        <v>1</v>
      </c>
      <c r="K37">
        <v>8.5</v>
      </c>
      <c r="L37" t="s">
        <v>20</v>
      </c>
      <c r="M37">
        <v>5</v>
      </c>
      <c r="N37">
        <v>0</v>
      </c>
      <c r="O37">
        <v>0</v>
      </c>
      <c r="P37">
        <v>1</v>
      </c>
      <c r="Q37">
        <v>0</v>
      </c>
      <c r="R37">
        <v>0</v>
      </c>
      <c r="S37">
        <v>0</v>
      </c>
      <c r="T37" t="str">
        <f>IF(mental_health[Sleep_Hours]&lt;5,"Low",IF(mental_health[Sleep_Hours]&lt;7,"Medium","Good"))</f>
        <v>Good</v>
      </c>
      <c r="U37" t="str">
        <f>IF(mental_health[Stress_Level]&lt;=3,"Low",IF(mental_health[Stress_Level]&lt;=7,"Medium","High"))</f>
        <v>Low</v>
      </c>
      <c r="V37" t="str">
        <f>IF(mental_health[Daily_Screen_Time]&lt;=4,"Low",IF(mental_health[Daily_Screen_Time]&lt;=8,"Medium","High"))</f>
        <v>High</v>
      </c>
    </row>
    <row r="38" spans="1:22" x14ac:dyDescent="0.3">
      <c r="A38">
        <v>37</v>
      </c>
      <c r="B38">
        <v>52</v>
      </c>
      <c r="C38" t="s">
        <v>23</v>
      </c>
      <c r="D38" t="s">
        <v>24</v>
      </c>
      <c r="E38">
        <v>8.6</v>
      </c>
      <c r="F38">
        <v>3.8</v>
      </c>
      <c r="G38">
        <v>0</v>
      </c>
      <c r="H38" t="str">
        <f t="shared" si="0"/>
        <v>No Night Usage</v>
      </c>
      <c r="I38">
        <v>5.9</v>
      </c>
      <c r="J38" s="3">
        <v>3</v>
      </c>
      <c r="K38">
        <v>3.9</v>
      </c>
      <c r="L38" t="s">
        <v>20</v>
      </c>
      <c r="M38">
        <v>5</v>
      </c>
      <c r="N38">
        <v>2</v>
      </c>
      <c r="O38">
        <v>0</v>
      </c>
      <c r="P38">
        <v>0</v>
      </c>
      <c r="Q38">
        <v>0</v>
      </c>
      <c r="R38">
        <v>0</v>
      </c>
      <c r="S38">
        <v>1</v>
      </c>
      <c r="T38" t="str">
        <f>IF(mental_health[Sleep_Hours]&lt;5,"Low",IF(mental_health[Sleep_Hours]&lt;7,"Medium","Good"))</f>
        <v>Medium</v>
      </c>
      <c r="U38" t="str">
        <f>IF(mental_health[Stress_Level]&lt;=3,"Low",IF(mental_health[Stress_Level]&lt;=7,"Medium","High"))</f>
        <v>Low</v>
      </c>
      <c r="V38" t="str">
        <f>IF(mental_health[Daily_Screen_Time]&lt;=4,"Low",IF(mental_health[Daily_Screen_Time]&lt;=8,"Medium","High"))</f>
        <v>High</v>
      </c>
    </row>
    <row r="39" spans="1:22" x14ac:dyDescent="0.3">
      <c r="A39">
        <v>38</v>
      </c>
      <c r="B39">
        <v>22</v>
      </c>
      <c r="C39" t="s">
        <v>18</v>
      </c>
      <c r="D39" t="s">
        <v>24</v>
      </c>
      <c r="E39">
        <v>2.8</v>
      </c>
      <c r="F39">
        <v>6.3</v>
      </c>
      <c r="G39">
        <v>1</v>
      </c>
      <c r="H39" t="str">
        <f t="shared" si="0"/>
        <v>Night Usage</v>
      </c>
      <c r="I39">
        <v>3.7</v>
      </c>
      <c r="J39" s="3">
        <v>5</v>
      </c>
      <c r="K39">
        <v>2.6</v>
      </c>
      <c r="L39" t="s">
        <v>25</v>
      </c>
      <c r="M39">
        <v>4</v>
      </c>
      <c r="N39">
        <v>2</v>
      </c>
      <c r="O39">
        <v>1</v>
      </c>
      <c r="P39">
        <v>1</v>
      </c>
      <c r="Q39">
        <v>1</v>
      </c>
      <c r="R39">
        <v>1</v>
      </c>
      <c r="S39">
        <v>0</v>
      </c>
      <c r="T39" t="str">
        <f>IF(mental_health[Sleep_Hours]&lt;5,"Low",IF(mental_health[Sleep_Hours]&lt;7,"Medium","Good"))</f>
        <v>Low</v>
      </c>
      <c r="U39" t="str">
        <f>IF(mental_health[Stress_Level]&lt;=3,"Low",IF(mental_health[Stress_Level]&lt;=7,"Medium","High"))</f>
        <v>Medium</v>
      </c>
      <c r="V39" t="str">
        <f>IF(mental_health[Daily_Screen_Time]&lt;=4,"Low",IF(mental_health[Daily_Screen_Time]&lt;=8,"Medium","High"))</f>
        <v>Low</v>
      </c>
    </row>
    <row r="40" spans="1:22" x14ac:dyDescent="0.3">
      <c r="A40">
        <v>39</v>
      </c>
      <c r="B40">
        <v>36</v>
      </c>
      <c r="C40" t="s">
        <v>18</v>
      </c>
      <c r="D40" t="s">
        <v>19</v>
      </c>
      <c r="E40">
        <v>5.5</v>
      </c>
      <c r="F40">
        <v>2</v>
      </c>
      <c r="G40">
        <v>1</v>
      </c>
      <c r="H40" t="str">
        <f t="shared" si="0"/>
        <v>Night Usage</v>
      </c>
      <c r="I40">
        <v>4.3</v>
      </c>
      <c r="J40" s="3">
        <v>6</v>
      </c>
      <c r="K40">
        <v>6.2</v>
      </c>
      <c r="L40" t="s">
        <v>21</v>
      </c>
      <c r="M40">
        <v>6</v>
      </c>
      <c r="N40">
        <v>3</v>
      </c>
      <c r="O40">
        <v>0</v>
      </c>
      <c r="P40">
        <v>1</v>
      </c>
      <c r="Q40">
        <v>0</v>
      </c>
      <c r="R40">
        <v>1</v>
      </c>
      <c r="S40">
        <v>1</v>
      </c>
      <c r="T40" t="str">
        <f>IF(mental_health[Sleep_Hours]&lt;5,"Low",IF(mental_health[Sleep_Hours]&lt;7,"Medium","Good"))</f>
        <v>Low</v>
      </c>
      <c r="U40" t="str">
        <f>IF(mental_health[Stress_Level]&lt;=3,"Low",IF(mental_health[Stress_Level]&lt;=7,"Medium","High"))</f>
        <v>Medium</v>
      </c>
      <c r="V40" t="str">
        <f>IF(mental_health[Daily_Screen_Time]&lt;=4,"Low",IF(mental_health[Daily_Screen_Time]&lt;=8,"Medium","High"))</f>
        <v>Medium</v>
      </c>
    </row>
    <row r="41" spans="1:22" x14ac:dyDescent="0.3">
      <c r="A41">
        <v>40</v>
      </c>
      <c r="B41">
        <v>24</v>
      </c>
      <c r="C41" t="s">
        <v>18</v>
      </c>
      <c r="D41" t="s">
        <v>19</v>
      </c>
      <c r="E41">
        <v>7.5</v>
      </c>
      <c r="F41">
        <v>1.1000000000000001</v>
      </c>
      <c r="G41">
        <v>1</v>
      </c>
      <c r="H41" t="str">
        <f t="shared" si="0"/>
        <v>Night Usage</v>
      </c>
      <c r="I41">
        <v>3.4</v>
      </c>
      <c r="J41" s="3">
        <v>4</v>
      </c>
      <c r="K41">
        <v>2.2000000000000002</v>
      </c>
      <c r="L41" t="s">
        <v>20</v>
      </c>
      <c r="M41">
        <v>7</v>
      </c>
      <c r="N41">
        <v>4</v>
      </c>
      <c r="O41">
        <v>0</v>
      </c>
      <c r="P41">
        <v>0</v>
      </c>
      <c r="Q41">
        <v>0</v>
      </c>
      <c r="R41">
        <v>0</v>
      </c>
      <c r="S41">
        <v>0</v>
      </c>
      <c r="T41" t="str">
        <f>IF(mental_health[Sleep_Hours]&lt;5,"Low",IF(mental_health[Sleep_Hours]&lt;7,"Medium","Good"))</f>
        <v>Low</v>
      </c>
      <c r="U41" t="str">
        <f>IF(mental_health[Stress_Level]&lt;=3,"Low",IF(mental_health[Stress_Level]&lt;=7,"Medium","High"))</f>
        <v>Medium</v>
      </c>
      <c r="V41" t="str">
        <f>IF(mental_health[Daily_Screen_Time]&lt;=4,"Low",IF(mental_health[Daily_Screen_Time]&lt;=8,"Medium","High"))</f>
        <v>Medium</v>
      </c>
    </row>
    <row r="42" spans="1:22" x14ac:dyDescent="0.3">
      <c r="A42">
        <v>41</v>
      </c>
      <c r="B42">
        <v>54</v>
      </c>
      <c r="C42" t="s">
        <v>23</v>
      </c>
      <c r="D42" t="s">
        <v>19</v>
      </c>
      <c r="E42">
        <v>6</v>
      </c>
      <c r="F42">
        <v>1.1000000000000001</v>
      </c>
      <c r="G42">
        <v>0</v>
      </c>
      <c r="H42" t="str">
        <f t="shared" si="0"/>
        <v>No Night Usage</v>
      </c>
      <c r="I42">
        <v>6.4</v>
      </c>
      <c r="J42" s="3">
        <v>7</v>
      </c>
      <c r="K42">
        <v>5.2</v>
      </c>
      <c r="L42" t="s">
        <v>25</v>
      </c>
      <c r="M42">
        <v>10</v>
      </c>
      <c r="N42">
        <v>1</v>
      </c>
      <c r="O42">
        <v>1</v>
      </c>
      <c r="P42">
        <v>1</v>
      </c>
      <c r="Q42">
        <v>0</v>
      </c>
      <c r="R42">
        <v>1</v>
      </c>
      <c r="S42">
        <v>1</v>
      </c>
      <c r="T42" t="str">
        <f>IF(mental_health[Sleep_Hours]&lt;5,"Low",IF(mental_health[Sleep_Hours]&lt;7,"Medium","Good"))</f>
        <v>Medium</v>
      </c>
      <c r="U42" t="str">
        <f>IF(mental_health[Stress_Level]&lt;=3,"Low",IF(mental_health[Stress_Level]&lt;=7,"Medium","High"))</f>
        <v>Medium</v>
      </c>
      <c r="V42" t="str">
        <f>IF(mental_health[Daily_Screen_Time]&lt;=4,"Low",IF(mental_health[Daily_Screen_Time]&lt;=8,"Medium","High"))</f>
        <v>Medium</v>
      </c>
    </row>
    <row r="43" spans="1:22" x14ac:dyDescent="0.3">
      <c r="A43">
        <v>42</v>
      </c>
      <c r="B43">
        <v>33</v>
      </c>
      <c r="C43" t="s">
        <v>23</v>
      </c>
      <c r="D43" t="s">
        <v>19</v>
      </c>
      <c r="E43">
        <v>10.3</v>
      </c>
      <c r="F43">
        <v>5.0999999999999996</v>
      </c>
      <c r="G43">
        <v>1</v>
      </c>
      <c r="H43" t="str">
        <f t="shared" si="0"/>
        <v>Night Usage</v>
      </c>
      <c r="I43">
        <v>6.7</v>
      </c>
      <c r="J43" s="3">
        <v>7</v>
      </c>
      <c r="K43">
        <v>5.7</v>
      </c>
      <c r="L43" t="s">
        <v>25</v>
      </c>
      <c r="M43">
        <v>10</v>
      </c>
      <c r="N43">
        <v>4</v>
      </c>
      <c r="O43">
        <v>0</v>
      </c>
      <c r="P43">
        <v>0</v>
      </c>
      <c r="Q43">
        <v>1</v>
      </c>
      <c r="R43">
        <v>1</v>
      </c>
      <c r="S43">
        <v>1</v>
      </c>
      <c r="T43" t="str">
        <f>IF(mental_health[Sleep_Hours]&lt;5,"Low",IF(mental_health[Sleep_Hours]&lt;7,"Medium","Good"))</f>
        <v>Medium</v>
      </c>
      <c r="U43" t="str">
        <f>IF(mental_health[Stress_Level]&lt;=3,"Low",IF(mental_health[Stress_Level]&lt;=7,"Medium","High"))</f>
        <v>Medium</v>
      </c>
      <c r="V43" t="str">
        <f>IF(mental_health[Daily_Screen_Time]&lt;=4,"Low",IF(mental_health[Daily_Screen_Time]&lt;=8,"Medium","High"))</f>
        <v>High</v>
      </c>
    </row>
    <row r="44" spans="1:22" x14ac:dyDescent="0.3">
      <c r="A44">
        <v>43</v>
      </c>
      <c r="B44">
        <v>19</v>
      </c>
      <c r="C44" t="s">
        <v>23</v>
      </c>
      <c r="D44" t="s">
        <v>19</v>
      </c>
      <c r="E44">
        <v>10.1</v>
      </c>
      <c r="F44">
        <v>4.2</v>
      </c>
      <c r="G44">
        <v>1</v>
      </c>
      <c r="H44" t="str">
        <f t="shared" si="0"/>
        <v>Night Usage</v>
      </c>
      <c r="I44">
        <v>6</v>
      </c>
      <c r="J44" s="3">
        <v>2</v>
      </c>
      <c r="K44">
        <v>5.8</v>
      </c>
      <c r="L44" t="s">
        <v>25</v>
      </c>
      <c r="M44">
        <v>1</v>
      </c>
      <c r="N44">
        <v>0</v>
      </c>
      <c r="O44">
        <v>0</v>
      </c>
      <c r="P44">
        <v>0</v>
      </c>
      <c r="Q44">
        <v>0</v>
      </c>
      <c r="R44">
        <v>1</v>
      </c>
      <c r="S44">
        <v>0</v>
      </c>
      <c r="T44" t="str">
        <f>IF(mental_health[Sleep_Hours]&lt;5,"Low",IF(mental_health[Sleep_Hours]&lt;7,"Medium","Good"))</f>
        <v>Medium</v>
      </c>
      <c r="U44" t="str">
        <f>IF(mental_health[Stress_Level]&lt;=3,"Low",IF(mental_health[Stress_Level]&lt;=7,"Medium","High"))</f>
        <v>Low</v>
      </c>
      <c r="V44" t="str">
        <f>IF(mental_health[Daily_Screen_Time]&lt;=4,"Low",IF(mental_health[Daily_Screen_Time]&lt;=8,"Medium","High"))</f>
        <v>High</v>
      </c>
    </row>
    <row r="45" spans="1:22" x14ac:dyDescent="0.3">
      <c r="A45">
        <v>44</v>
      </c>
      <c r="B45">
        <v>40</v>
      </c>
      <c r="C45" t="s">
        <v>23</v>
      </c>
      <c r="D45" t="s">
        <v>19</v>
      </c>
      <c r="E45">
        <v>8.1</v>
      </c>
      <c r="F45">
        <v>4.5999999999999996</v>
      </c>
      <c r="G45">
        <v>0</v>
      </c>
      <c r="H45" t="str">
        <f t="shared" si="0"/>
        <v>No Night Usage</v>
      </c>
      <c r="I45">
        <v>7.9</v>
      </c>
      <c r="J45" s="3">
        <v>2</v>
      </c>
      <c r="K45">
        <v>11.8</v>
      </c>
      <c r="L45" t="s">
        <v>20</v>
      </c>
      <c r="M45">
        <v>9</v>
      </c>
      <c r="N45">
        <v>3</v>
      </c>
      <c r="O45">
        <v>0</v>
      </c>
      <c r="P45">
        <v>1</v>
      </c>
      <c r="Q45">
        <v>0</v>
      </c>
      <c r="R45">
        <v>0</v>
      </c>
      <c r="S45">
        <v>0</v>
      </c>
      <c r="T45" t="str">
        <f>IF(mental_health[Sleep_Hours]&lt;5,"Low",IF(mental_health[Sleep_Hours]&lt;7,"Medium","Good"))</f>
        <v>Good</v>
      </c>
      <c r="U45" t="str">
        <f>IF(mental_health[Stress_Level]&lt;=3,"Low",IF(mental_health[Stress_Level]&lt;=7,"Medium","High"))</f>
        <v>Low</v>
      </c>
      <c r="V45" t="str">
        <f>IF(mental_health[Daily_Screen_Time]&lt;=4,"Low",IF(mental_health[Daily_Screen_Time]&lt;=8,"Medium","High"))</f>
        <v>High</v>
      </c>
    </row>
    <row r="46" spans="1:22" x14ac:dyDescent="0.3">
      <c r="A46">
        <v>45</v>
      </c>
      <c r="B46">
        <v>29</v>
      </c>
      <c r="C46" t="s">
        <v>23</v>
      </c>
      <c r="D46" t="s">
        <v>24</v>
      </c>
      <c r="E46">
        <v>5.7</v>
      </c>
      <c r="F46">
        <v>1.1000000000000001</v>
      </c>
      <c r="G46">
        <v>1</v>
      </c>
      <c r="H46" t="str">
        <f t="shared" si="0"/>
        <v>Night Usage</v>
      </c>
      <c r="I46">
        <v>8.1999999999999993</v>
      </c>
      <c r="J46" s="3">
        <v>2</v>
      </c>
      <c r="K46">
        <v>5</v>
      </c>
      <c r="L46" t="s">
        <v>21</v>
      </c>
      <c r="M46">
        <v>8</v>
      </c>
      <c r="N46">
        <v>1</v>
      </c>
      <c r="O46">
        <v>0</v>
      </c>
      <c r="P46">
        <v>0</v>
      </c>
      <c r="Q46">
        <v>1</v>
      </c>
      <c r="R46">
        <v>1</v>
      </c>
      <c r="S46">
        <v>0</v>
      </c>
      <c r="T46" t="str">
        <f>IF(mental_health[Sleep_Hours]&lt;5,"Low",IF(mental_health[Sleep_Hours]&lt;7,"Medium","Good"))</f>
        <v>Good</v>
      </c>
      <c r="U46" t="str">
        <f>IF(mental_health[Stress_Level]&lt;=3,"Low",IF(mental_health[Stress_Level]&lt;=7,"Medium","High"))</f>
        <v>Low</v>
      </c>
      <c r="V46" t="str">
        <f>IF(mental_health[Daily_Screen_Time]&lt;=4,"Low",IF(mental_health[Daily_Screen_Time]&lt;=8,"Medium","High"))</f>
        <v>Medium</v>
      </c>
    </row>
    <row r="47" spans="1:22" x14ac:dyDescent="0.3">
      <c r="A47">
        <v>46</v>
      </c>
      <c r="B47">
        <v>24</v>
      </c>
      <c r="C47" t="s">
        <v>23</v>
      </c>
      <c r="D47" t="s">
        <v>24</v>
      </c>
      <c r="E47">
        <v>4.5999999999999996</v>
      </c>
      <c r="F47">
        <v>4</v>
      </c>
      <c r="G47">
        <v>0</v>
      </c>
      <c r="H47" t="str">
        <f t="shared" si="0"/>
        <v>No Night Usage</v>
      </c>
      <c r="I47">
        <v>6.7</v>
      </c>
      <c r="J47" s="3">
        <v>2</v>
      </c>
      <c r="K47">
        <v>4.7</v>
      </c>
      <c r="L47" t="s">
        <v>20</v>
      </c>
      <c r="M47">
        <v>7</v>
      </c>
      <c r="N47">
        <v>4</v>
      </c>
      <c r="O47">
        <v>0</v>
      </c>
      <c r="P47">
        <v>0</v>
      </c>
      <c r="Q47">
        <v>1</v>
      </c>
      <c r="R47">
        <v>1</v>
      </c>
      <c r="S47">
        <v>0</v>
      </c>
      <c r="T47" t="str">
        <f>IF(mental_health[Sleep_Hours]&lt;5,"Low",IF(mental_health[Sleep_Hours]&lt;7,"Medium","Good"))</f>
        <v>Medium</v>
      </c>
      <c r="U47" t="str">
        <f>IF(mental_health[Stress_Level]&lt;=3,"Low",IF(mental_health[Stress_Level]&lt;=7,"Medium","High"))</f>
        <v>Low</v>
      </c>
      <c r="V47" t="str">
        <f>IF(mental_health[Daily_Screen_Time]&lt;=4,"Low",IF(mental_health[Daily_Screen_Time]&lt;=8,"Medium","High"))</f>
        <v>Medium</v>
      </c>
    </row>
    <row r="48" spans="1:22" x14ac:dyDescent="0.3">
      <c r="A48">
        <v>47</v>
      </c>
      <c r="B48">
        <v>41</v>
      </c>
      <c r="C48" t="s">
        <v>18</v>
      </c>
      <c r="D48" t="s">
        <v>22</v>
      </c>
      <c r="E48">
        <v>3.1</v>
      </c>
      <c r="F48">
        <v>6</v>
      </c>
      <c r="G48">
        <v>1</v>
      </c>
      <c r="H48" t="str">
        <f t="shared" si="0"/>
        <v>Night Usage</v>
      </c>
      <c r="I48">
        <v>3.1</v>
      </c>
      <c r="J48" s="3">
        <v>9</v>
      </c>
      <c r="K48">
        <v>3.3</v>
      </c>
      <c r="L48" t="s">
        <v>20</v>
      </c>
      <c r="M48">
        <v>9</v>
      </c>
      <c r="N48">
        <v>1</v>
      </c>
      <c r="O48">
        <v>0</v>
      </c>
      <c r="P48">
        <v>0</v>
      </c>
      <c r="Q48">
        <v>0</v>
      </c>
      <c r="R48">
        <v>0</v>
      </c>
      <c r="S48">
        <v>1</v>
      </c>
      <c r="T48" t="str">
        <f>IF(mental_health[Sleep_Hours]&lt;5,"Low",IF(mental_health[Sleep_Hours]&lt;7,"Medium","Good"))</f>
        <v>Low</v>
      </c>
      <c r="U48" t="str">
        <f>IF(mental_health[Stress_Level]&lt;=3,"Low",IF(mental_health[Stress_Level]&lt;=7,"Medium","High"))</f>
        <v>High</v>
      </c>
      <c r="V48" t="str">
        <f>IF(mental_health[Daily_Screen_Time]&lt;=4,"Low",IF(mental_health[Daily_Screen_Time]&lt;=8,"Medium","High"))</f>
        <v>Low</v>
      </c>
    </row>
    <row r="49" spans="1:22" x14ac:dyDescent="0.3">
      <c r="A49">
        <v>48</v>
      </c>
      <c r="B49">
        <v>17</v>
      </c>
      <c r="C49" t="s">
        <v>18</v>
      </c>
      <c r="D49" t="s">
        <v>24</v>
      </c>
      <c r="E49">
        <v>5.5</v>
      </c>
      <c r="F49">
        <v>4.0999999999999996</v>
      </c>
      <c r="G49">
        <v>0</v>
      </c>
      <c r="H49" t="str">
        <f t="shared" si="0"/>
        <v>No Night Usage</v>
      </c>
      <c r="I49">
        <v>7.2</v>
      </c>
      <c r="J49" s="3">
        <v>5</v>
      </c>
      <c r="K49">
        <v>7.1</v>
      </c>
      <c r="L49" t="s">
        <v>21</v>
      </c>
      <c r="M49">
        <v>3</v>
      </c>
      <c r="N49">
        <v>0</v>
      </c>
      <c r="O49">
        <v>1</v>
      </c>
      <c r="P49">
        <v>0</v>
      </c>
      <c r="Q49">
        <v>1</v>
      </c>
      <c r="R49">
        <v>0</v>
      </c>
      <c r="S49">
        <v>1</v>
      </c>
      <c r="T49" t="str">
        <f>IF(mental_health[Sleep_Hours]&lt;5,"Low",IF(mental_health[Sleep_Hours]&lt;7,"Medium","Good"))</f>
        <v>Good</v>
      </c>
      <c r="U49" t="str">
        <f>IF(mental_health[Stress_Level]&lt;=3,"Low",IF(mental_health[Stress_Level]&lt;=7,"Medium","High"))</f>
        <v>Medium</v>
      </c>
      <c r="V49" t="str">
        <f>IF(mental_health[Daily_Screen_Time]&lt;=4,"Low",IF(mental_health[Daily_Screen_Time]&lt;=8,"Medium","High"))</f>
        <v>Medium</v>
      </c>
    </row>
    <row r="50" spans="1:22" x14ac:dyDescent="0.3">
      <c r="A50">
        <v>49</v>
      </c>
      <c r="B50">
        <v>35</v>
      </c>
      <c r="C50" t="s">
        <v>23</v>
      </c>
      <c r="D50" t="s">
        <v>24</v>
      </c>
      <c r="E50">
        <v>6.1</v>
      </c>
      <c r="F50">
        <v>6.1</v>
      </c>
      <c r="G50">
        <v>0</v>
      </c>
      <c r="H50" t="str">
        <f t="shared" si="0"/>
        <v>No Night Usage</v>
      </c>
      <c r="I50">
        <v>5.5</v>
      </c>
      <c r="J50" s="3">
        <v>8</v>
      </c>
      <c r="K50">
        <v>3.5</v>
      </c>
      <c r="L50" t="s">
        <v>25</v>
      </c>
      <c r="M50">
        <v>10</v>
      </c>
      <c r="N50">
        <v>3</v>
      </c>
      <c r="O50">
        <v>0</v>
      </c>
      <c r="P50">
        <v>0</v>
      </c>
      <c r="Q50">
        <v>0</v>
      </c>
      <c r="R50">
        <v>1</v>
      </c>
      <c r="S50">
        <v>0</v>
      </c>
      <c r="T50" t="str">
        <f>IF(mental_health[Sleep_Hours]&lt;5,"Low",IF(mental_health[Sleep_Hours]&lt;7,"Medium","Good"))</f>
        <v>Medium</v>
      </c>
      <c r="U50" t="str">
        <f>IF(mental_health[Stress_Level]&lt;=3,"Low",IF(mental_health[Stress_Level]&lt;=7,"Medium","High"))</f>
        <v>High</v>
      </c>
      <c r="V50" t="str">
        <f>IF(mental_health[Daily_Screen_Time]&lt;=4,"Low",IF(mental_health[Daily_Screen_Time]&lt;=8,"Medium","High"))</f>
        <v>Medium</v>
      </c>
    </row>
    <row r="51" spans="1:22" x14ac:dyDescent="0.3">
      <c r="A51">
        <v>50</v>
      </c>
      <c r="B51">
        <v>43</v>
      </c>
      <c r="C51" t="s">
        <v>18</v>
      </c>
      <c r="D51" t="s">
        <v>19</v>
      </c>
      <c r="E51">
        <v>8.8000000000000007</v>
      </c>
      <c r="F51">
        <v>2.6</v>
      </c>
      <c r="G51">
        <v>0</v>
      </c>
      <c r="H51" t="str">
        <f t="shared" si="0"/>
        <v>No Night Usage</v>
      </c>
      <c r="I51">
        <v>6.4</v>
      </c>
      <c r="J51" s="3">
        <v>5</v>
      </c>
      <c r="K51">
        <v>8.1999999999999993</v>
      </c>
      <c r="L51" t="s">
        <v>20</v>
      </c>
      <c r="M51">
        <v>4</v>
      </c>
      <c r="N51">
        <v>1</v>
      </c>
      <c r="O51">
        <v>1</v>
      </c>
      <c r="P51">
        <v>0</v>
      </c>
      <c r="Q51">
        <v>1</v>
      </c>
      <c r="R51">
        <v>0</v>
      </c>
      <c r="S51">
        <v>1</v>
      </c>
      <c r="T51" t="str">
        <f>IF(mental_health[Sleep_Hours]&lt;5,"Low",IF(mental_health[Sleep_Hours]&lt;7,"Medium","Good"))</f>
        <v>Medium</v>
      </c>
      <c r="U51" t="str">
        <f>IF(mental_health[Stress_Level]&lt;=3,"Low",IF(mental_health[Stress_Level]&lt;=7,"Medium","High"))</f>
        <v>Medium</v>
      </c>
      <c r="V51" t="str">
        <f>IF(mental_health[Daily_Screen_Time]&lt;=4,"Low",IF(mental_health[Daily_Screen_Time]&lt;=8,"Medium","High"))</f>
        <v>High</v>
      </c>
    </row>
    <row r="52" spans="1:22" x14ac:dyDescent="0.3">
      <c r="A52">
        <v>51</v>
      </c>
      <c r="B52">
        <v>22</v>
      </c>
      <c r="C52" t="s">
        <v>23</v>
      </c>
      <c r="D52" t="s">
        <v>19</v>
      </c>
      <c r="E52">
        <v>8.6</v>
      </c>
      <c r="F52">
        <v>6.7</v>
      </c>
      <c r="G52">
        <v>1</v>
      </c>
      <c r="H52" t="str">
        <f t="shared" si="0"/>
        <v>Night Usage</v>
      </c>
      <c r="I52">
        <v>6.9</v>
      </c>
      <c r="J52" s="3">
        <v>5</v>
      </c>
      <c r="K52">
        <v>3.6</v>
      </c>
      <c r="L52" t="s">
        <v>25</v>
      </c>
      <c r="M52">
        <v>7</v>
      </c>
      <c r="N52">
        <v>0</v>
      </c>
      <c r="O52">
        <v>1</v>
      </c>
      <c r="P52">
        <v>0</v>
      </c>
      <c r="Q52">
        <v>1</v>
      </c>
      <c r="R52">
        <v>1</v>
      </c>
      <c r="S52">
        <v>0</v>
      </c>
      <c r="T52" t="str">
        <f>IF(mental_health[Sleep_Hours]&lt;5,"Low",IF(mental_health[Sleep_Hours]&lt;7,"Medium","Good"))</f>
        <v>Medium</v>
      </c>
      <c r="U52" t="str">
        <f>IF(mental_health[Stress_Level]&lt;=3,"Low",IF(mental_health[Stress_Level]&lt;=7,"Medium","High"))</f>
        <v>Medium</v>
      </c>
      <c r="V52" t="str">
        <f>IF(mental_health[Daily_Screen_Time]&lt;=4,"Low",IF(mental_health[Daily_Screen_Time]&lt;=8,"Medium","High"))</f>
        <v>High</v>
      </c>
    </row>
    <row r="53" spans="1:22" x14ac:dyDescent="0.3">
      <c r="A53">
        <v>52</v>
      </c>
      <c r="B53">
        <v>59</v>
      </c>
      <c r="C53" t="s">
        <v>18</v>
      </c>
      <c r="D53" t="s">
        <v>24</v>
      </c>
      <c r="E53">
        <v>2.7</v>
      </c>
      <c r="F53">
        <v>5.0999999999999996</v>
      </c>
      <c r="G53">
        <v>1</v>
      </c>
      <c r="H53" t="str">
        <f t="shared" si="0"/>
        <v>Night Usage</v>
      </c>
      <c r="I53">
        <v>5.0999999999999996</v>
      </c>
      <c r="J53" s="3">
        <v>1</v>
      </c>
      <c r="K53">
        <v>7.8</v>
      </c>
      <c r="L53" t="s">
        <v>25</v>
      </c>
      <c r="M53">
        <v>6</v>
      </c>
      <c r="N53">
        <v>2</v>
      </c>
      <c r="O53">
        <v>1</v>
      </c>
      <c r="P53">
        <v>1</v>
      </c>
      <c r="Q53">
        <v>1</v>
      </c>
      <c r="R53">
        <v>1</v>
      </c>
      <c r="S53">
        <v>0</v>
      </c>
      <c r="T53" t="str">
        <f>IF(mental_health[Sleep_Hours]&lt;5,"Low",IF(mental_health[Sleep_Hours]&lt;7,"Medium","Good"))</f>
        <v>Medium</v>
      </c>
      <c r="U53" t="str">
        <f>IF(mental_health[Stress_Level]&lt;=3,"Low",IF(mental_health[Stress_Level]&lt;=7,"Medium","High"))</f>
        <v>Low</v>
      </c>
      <c r="V53" t="str">
        <f>IF(mental_health[Daily_Screen_Time]&lt;=4,"Low",IF(mental_health[Daily_Screen_Time]&lt;=8,"Medium","High"))</f>
        <v>Low</v>
      </c>
    </row>
    <row r="54" spans="1:22" x14ac:dyDescent="0.3">
      <c r="A54">
        <v>53</v>
      </c>
      <c r="B54">
        <v>23</v>
      </c>
      <c r="C54" t="s">
        <v>23</v>
      </c>
      <c r="D54" t="s">
        <v>22</v>
      </c>
      <c r="E54">
        <v>6</v>
      </c>
      <c r="F54">
        <v>2.5</v>
      </c>
      <c r="G54">
        <v>0</v>
      </c>
      <c r="H54" t="str">
        <f t="shared" si="0"/>
        <v>No Night Usage</v>
      </c>
      <c r="I54">
        <v>8.5</v>
      </c>
      <c r="J54" s="3">
        <v>6</v>
      </c>
      <c r="K54">
        <v>10.3</v>
      </c>
      <c r="L54" t="s">
        <v>21</v>
      </c>
      <c r="M54">
        <v>2</v>
      </c>
      <c r="N54">
        <v>1</v>
      </c>
      <c r="O54">
        <v>1</v>
      </c>
      <c r="P54">
        <v>0</v>
      </c>
      <c r="Q54">
        <v>1</v>
      </c>
      <c r="R54">
        <v>0</v>
      </c>
      <c r="S54">
        <v>1</v>
      </c>
      <c r="T54" t="str">
        <f>IF(mental_health[Sleep_Hours]&lt;5,"Low",IF(mental_health[Sleep_Hours]&lt;7,"Medium","Good"))</f>
        <v>Good</v>
      </c>
      <c r="U54" t="str">
        <f>IF(mental_health[Stress_Level]&lt;=3,"Low",IF(mental_health[Stress_Level]&lt;=7,"Medium","High"))</f>
        <v>Medium</v>
      </c>
      <c r="V54" t="str">
        <f>IF(mental_health[Daily_Screen_Time]&lt;=4,"Low",IF(mental_health[Daily_Screen_Time]&lt;=8,"Medium","High"))</f>
        <v>Medium</v>
      </c>
    </row>
    <row r="55" spans="1:22" x14ac:dyDescent="0.3">
      <c r="A55">
        <v>54</v>
      </c>
      <c r="B55">
        <v>50</v>
      </c>
      <c r="C55" t="s">
        <v>23</v>
      </c>
      <c r="D55" t="s">
        <v>19</v>
      </c>
      <c r="E55">
        <v>3.8</v>
      </c>
      <c r="F55">
        <v>2.7</v>
      </c>
      <c r="G55">
        <v>0</v>
      </c>
      <c r="H55" t="str">
        <f t="shared" si="0"/>
        <v>No Night Usage</v>
      </c>
      <c r="I55">
        <v>3.8</v>
      </c>
      <c r="J55" s="3">
        <v>4</v>
      </c>
      <c r="K55">
        <v>2.4</v>
      </c>
      <c r="L55" t="s">
        <v>21</v>
      </c>
      <c r="M55">
        <v>2</v>
      </c>
      <c r="N55">
        <v>3</v>
      </c>
      <c r="O55">
        <v>0</v>
      </c>
      <c r="P55">
        <v>1</v>
      </c>
      <c r="Q55">
        <v>1</v>
      </c>
      <c r="R55">
        <v>0</v>
      </c>
      <c r="S55">
        <v>0</v>
      </c>
      <c r="T55" t="str">
        <f>IF(mental_health[Sleep_Hours]&lt;5,"Low",IF(mental_health[Sleep_Hours]&lt;7,"Medium","Good"))</f>
        <v>Low</v>
      </c>
      <c r="U55" t="str">
        <f>IF(mental_health[Stress_Level]&lt;=3,"Low",IF(mental_health[Stress_Level]&lt;=7,"Medium","High"))</f>
        <v>Medium</v>
      </c>
      <c r="V55" t="str">
        <f>IF(mental_health[Daily_Screen_Time]&lt;=4,"Low",IF(mental_health[Daily_Screen_Time]&lt;=8,"Medium","High"))</f>
        <v>Low</v>
      </c>
    </row>
    <row r="56" spans="1:22" x14ac:dyDescent="0.3">
      <c r="A56">
        <v>55</v>
      </c>
      <c r="B56">
        <v>29</v>
      </c>
      <c r="C56" t="s">
        <v>18</v>
      </c>
      <c r="D56" t="s">
        <v>24</v>
      </c>
      <c r="E56">
        <v>3.6</v>
      </c>
      <c r="F56">
        <v>5.4</v>
      </c>
      <c r="G56">
        <v>1</v>
      </c>
      <c r="H56" t="str">
        <f t="shared" si="0"/>
        <v>Night Usage</v>
      </c>
      <c r="I56">
        <v>7</v>
      </c>
      <c r="J56" s="3">
        <v>3</v>
      </c>
      <c r="K56">
        <v>6.2</v>
      </c>
      <c r="L56" t="s">
        <v>21</v>
      </c>
      <c r="M56">
        <v>10</v>
      </c>
      <c r="N56">
        <v>1</v>
      </c>
      <c r="O56">
        <v>0</v>
      </c>
      <c r="P56">
        <v>1</v>
      </c>
      <c r="Q56">
        <v>0</v>
      </c>
      <c r="R56">
        <v>1</v>
      </c>
      <c r="S56">
        <v>0</v>
      </c>
      <c r="T56" t="str">
        <f>IF(mental_health[Sleep_Hours]&lt;5,"Low",IF(mental_health[Sleep_Hours]&lt;7,"Medium","Good"))</f>
        <v>Good</v>
      </c>
      <c r="U56" t="str">
        <f>IF(mental_health[Stress_Level]&lt;=3,"Low",IF(mental_health[Stress_Level]&lt;=7,"Medium","High"))</f>
        <v>Low</v>
      </c>
      <c r="V56" t="str">
        <f>IF(mental_health[Daily_Screen_Time]&lt;=4,"Low",IF(mental_health[Daily_Screen_Time]&lt;=8,"Medium","High"))</f>
        <v>Low</v>
      </c>
    </row>
    <row r="57" spans="1:22" x14ac:dyDescent="0.3">
      <c r="A57">
        <v>56</v>
      </c>
      <c r="B57">
        <v>32</v>
      </c>
      <c r="C57" t="s">
        <v>18</v>
      </c>
      <c r="D57" t="s">
        <v>24</v>
      </c>
      <c r="E57">
        <v>10.3</v>
      </c>
      <c r="F57">
        <v>6.8</v>
      </c>
      <c r="G57">
        <v>1</v>
      </c>
      <c r="H57" t="str">
        <f t="shared" si="0"/>
        <v>Night Usage</v>
      </c>
      <c r="I57">
        <v>3</v>
      </c>
      <c r="J57" s="3">
        <v>6</v>
      </c>
      <c r="K57">
        <v>6.6</v>
      </c>
      <c r="L57" t="s">
        <v>25</v>
      </c>
      <c r="M57">
        <v>7</v>
      </c>
      <c r="N57">
        <v>1</v>
      </c>
      <c r="O57">
        <v>0</v>
      </c>
      <c r="P57">
        <v>0</v>
      </c>
      <c r="Q57">
        <v>1</v>
      </c>
      <c r="R57">
        <v>1</v>
      </c>
      <c r="S57">
        <v>0</v>
      </c>
      <c r="T57" t="str">
        <f>IF(mental_health[Sleep_Hours]&lt;5,"Low",IF(mental_health[Sleep_Hours]&lt;7,"Medium","Good"))</f>
        <v>Low</v>
      </c>
      <c r="U57" t="str">
        <f>IF(mental_health[Stress_Level]&lt;=3,"Low",IF(mental_health[Stress_Level]&lt;=7,"Medium","High"))</f>
        <v>Medium</v>
      </c>
      <c r="V57" t="str">
        <f>IF(mental_health[Daily_Screen_Time]&lt;=4,"Low",IF(mental_health[Daily_Screen_Time]&lt;=8,"Medium","High"))</f>
        <v>High</v>
      </c>
    </row>
    <row r="58" spans="1:22" x14ac:dyDescent="0.3">
      <c r="A58">
        <v>57</v>
      </c>
      <c r="B58">
        <v>51</v>
      </c>
      <c r="C58" t="s">
        <v>23</v>
      </c>
      <c r="D58" t="s">
        <v>22</v>
      </c>
      <c r="E58">
        <v>2.4</v>
      </c>
      <c r="F58">
        <v>3.9</v>
      </c>
      <c r="G58">
        <v>0</v>
      </c>
      <c r="H58" t="str">
        <f t="shared" si="0"/>
        <v>No Night Usage</v>
      </c>
      <c r="I58">
        <v>8.5</v>
      </c>
      <c r="J58" s="3">
        <v>2</v>
      </c>
      <c r="K58">
        <v>9.9</v>
      </c>
      <c r="L58" t="s">
        <v>25</v>
      </c>
      <c r="M58">
        <v>9</v>
      </c>
      <c r="N58">
        <v>0</v>
      </c>
      <c r="O58">
        <v>0</v>
      </c>
      <c r="P58">
        <v>1</v>
      </c>
      <c r="Q58">
        <v>0</v>
      </c>
      <c r="R58">
        <v>0</v>
      </c>
      <c r="S58">
        <v>0</v>
      </c>
      <c r="T58" t="str">
        <f>IF(mental_health[Sleep_Hours]&lt;5,"Low",IF(mental_health[Sleep_Hours]&lt;7,"Medium","Good"))</f>
        <v>Good</v>
      </c>
      <c r="U58" t="str">
        <f>IF(mental_health[Stress_Level]&lt;=3,"Low",IF(mental_health[Stress_Level]&lt;=7,"Medium","High"))</f>
        <v>Low</v>
      </c>
      <c r="V58" t="str">
        <f>IF(mental_health[Daily_Screen_Time]&lt;=4,"Low",IF(mental_health[Daily_Screen_Time]&lt;=8,"Medium","High"))</f>
        <v>Low</v>
      </c>
    </row>
    <row r="59" spans="1:22" x14ac:dyDescent="0.3">
      <c r="A59">
        <v>58</v>
      </c>
      <c r="B59">
        <v>55</v>
      </c>
      <c r="C59" t="s">
        <v>23</v>
      </c>
      <c r="D59" t="s">
        <v>22</v>
      </c>
      <c r="E59">
        <v>6.2</v>
      </c>
      <c r="F59">
        <v>2.8</v>
      </c>
      <c r="G59">
        <v>1</v>
      </c>
      <c r="H59" t="str">
        <f t="shared" si="0"/>
        <v>Night Usage</v>
      </c>
      <c r="I59">
        <v>3.7</v>
      </c>
      <c r="J59" s="3">
        <v>8</v>
      </c>
      <c r="K59">
        <v>6.7</v>
      </c>
      <c r="L59" t="s">
        <v>20</v>
      </c>
      <c r="M59">
        <v>9</v>
      </c>
      <c r="N59">
        <v>4</v>
      </c>
      <c r="O59">
        <v>1</v>
      </c>
      <c r="P59">
        <v>1</v>
      </c>
      <c r="Q59">
        <v>0</v>
      </c>
      <c r="R59">
        <v>0</v>
      </c>
      <c r="S59">
        <v>0</v>
      </c>
      <c r="T59" t="str">
        <f>IF(mental_health[Sleep_Hours]&lt;5,"Low",IF(mental_health[Sleep_Hours]&lt;7,"Medium","Good"))</f>
        <v>Low</v>
      </c>
      <c r="U59" t="str">
        <f>IF(mental_health[Stress_Level]&lt;=3,"Low",IF(mental_health[Stress_Level]&lt;=7,"Medium","High"))</f>
        <v>High</v>
      </c>
      <c r="V59" t="str">
        <f>IF(mental_health[Daily_Screen_Time]&lt;=4,"Low",IF(mental_health[Daily_Screen_Time]&lt;=8,"Medium","High"))</f>
        <v>Medium</v>
      </c>
    </row>
    <row r="60" spans="1:22" x14ac:dyDescent="0.3">
      <c r="A60">
        <v>59</v>
      </c>
      <c r="B60">
        <v>19</v>
      </c>
      <c r="C60" t="s">
        <v>18</v>
      </c>
      <c r="D60" t="s">
        <v>19</v>
      </c>
      <c r="E60">
        <v>3.7</v>
      </c>
      <c r="F60">
        <v>7.1</v>
      </c>
      <c r="G60">
        <v>1</v>
      </c>
      <c r="H60" t="str">
        <f t="shared" si="0"/>
        <v>Night Usage</v>
      </c>
      <c r="I60">
        <v>3.6</v>
      </c>
      <c r="J60" s="3">
        <v>1</v>
      </c>
      <c r="K60">
        <v>7.7</v>
      </c>
      <c r="L60" t="s">
        <v>25</v>
      </c>
      <c r="M60">
        <v>7</v>
      </c>
      <c r="N60">
        <v>4</v>
      </c>
      <c r="O60">
        <v>1</v>
      </c>
      <c r="P60">
        <v>1</v>
      </c>
      <c r="Q60">
        <v>0</v>
      </c>
      <c r="R60">
        <v>0</v>
      </c>
      <c r="S60">
        <v>0</v>
      </c>
      <c r="T60" t="str">
        <f>IF(mental_health[Sleep_Hours]&lt;5,"Low",IF(mental_health[Sleep_Hours]&lt;7,"Medium","Good"))</f>
        <v>Low</v>
      </c>
      <c r="U60" t="str">
        <f>IF(mental_health[Stress_Level]&lt;=3,"Low",IF(mental_health[Stress_Level]&lt;=7,"Medium","High"))</f>
        <v>Low</v>
      </c>
      <c r="V60" t="str">
        <f>IF(mental_health[Daily_Screen_Time]&lt;=4,"Low",IF(mental_health[Daily_Screen_Time]&lt;=8,"Medium","High"))</f>
        <v>Low</v>
      </c>
    </row>
    <row r="61" spans="1:22" x14ac:dyDescent="0.3">
      <c r="A61">
        <v>60</v>
      </c>
      <c r="B61">
        <v>17</v>
      </c>
      <c r="C61" t="s">
        <v>18</v>
      </c>
      <c r="D61" t="s">
        <v>22</v>
      </c>
      <c r="E61">
        <v>10.8</v>
      </c>
      <c r="F61">
        <v>5.7</v>
      </c>
      <c r="G61">
        <v>1</v>
      </c>
      <c r="H61" t="str">
        <f t="shared" si="0"/>
        <v>Night Usage</v>
      </c>
      <c r="I61">
        <v>5</v>
      </c>
      <c r="J61" s="3">
        <v>9</v>
      </c>
      <c r="K61">
        <v>9.9</v>
      </c>
      <c r="L61" t="s">
        <v>21</v>
      </c>
      <c r="M61">
        <v>8</v>
      </c>
      <c r="N61">
        <v>1</v>
      </c>
      <c r="O61">
        <v>1</v>
      </c>
      <c r="P61">
        <v>0</v>
      </c>
      <c r="Q61">
        <v>1</v>
      </c>
      <c r="R61">
        <v>1</v>
      </c>
      <c r="S61">
        <v>1</v>
      </c>
      <c r="T61" t="str">
        <f>IF(mental_health[Sleep_Hours]&lt;5,"Low",IF(mental_health[Sleep_Hours]&lt;7,"Medium","Good"))</f>
        <v>Medium</v>
      </c>
      <c r="U61" t="str">
        <f>IF(mental_health[Stress_Level]&lt;=3,"Low",IF(mental_health[Stress_Level]&lt;=7,"Medium","High"))</f>
        <v>High</v>
      </c>
      <c r="V61" t="str">
        <f>IF(mental_health[Daily_Screen_Time]&lt;=4,"Low",IF(mental_health[Daily_Screen_Time]&lt;=8,"Medium","High"))</f>
        <v>High</v>
      </c>
    </row>
    <row r="62" spans="1:22" x14ac:dyDescent="0.3">
      <c r="A62">
        <v>61</v>
      </c>
      <c r="B62">
        <v>21</v>
      </c>
      <c r="C62" t="s">
        <v>23</v>
      </c>
      <c r="D62" t="s">
        <v>24</v>
      </c>
      <c r="E62">
        <v>7.6</v>
      </c>
      <c r="F62">
        <v>4.0999999999999996</v>
      </c>
      <c r="G62">
        <v>0</v>
      </c>
      <c r="H62" t="str">
        <f t="shared" si="0"/>
        <v>No Night Usage</v>
      </c>
      <c r="I62">
        <v>5.2</v>
      </c>
      <c r="J62" s="3">
        <v>8</v>
      </c>
      <c r="K62">
        <v>7.6</v>
      </c>
      <c r="L62" t="s">
        <v>21</v>
      </c>
      <c r="M62">
        <v>10</v>
      </c>
      <c r="N62">
        <v>3</v>
      </c>
      <c r="O62">
        <v>0</v>
      </c>
      <c r="P62">
        <v>1</v>
      </c>
      <c r="Q62">
        <v>0</v>
      </c>
      <c r="R62">
        <v>0</v>
      </c>
      <c r="S62">
        <v>1</v>
      </c>
      <c r="T62" t="str">
        <f>IF(mental_health[Sleep_Hours]&lt;5,"Low",IF(mental_health[Sleep_Hours]&lt;7,"Medium","Good"))</f>
        <v>Medium</v>
      </c>
      <c r="U62" t="str">
        <f>IF(mental_health[Stress_Level]&lt;=3,"Low",IF(mental_health[Stress_Level]&lt;=7,"Medium","High"))</f>
        <v>High</v>
      </c>
      <c r="V62" t="str">
        <f>IF(mental_health[Daily_Screen_Time]&lt;=4,"Low",IF(mental_health[Daily_Screen_Time]&lt;=8,"Medium","High"))</f>
        <v>Medium</v>
      </c>
    </row>
    <row r="63" spans="1:22" x14ac:dyDescent="0.3">
      <c r="A63">
        <v>62</v>
      </c>
      <c r="B63">
        <v>57</v>
      </c>
      <c r="C63" t="s">
        <v>18</v>
      </c>
      <c r="D63" t="s">
        <v>24</v>
      </c>
      <c r="E63">
        <v>4.3</v>
      </c>
      <c r="F63">
        <v>4.4000000000000004</v>
      </c>
      <c r="G63">
        <v>0</v>
      </c>
      <c r="H63" t="str">
        <f t="shared" si="0"/>
        <v>No Night Usage</v>
      </c>
      <c r="I63">
        <v>4.3</v>
      </c>
      <c r="J63" s="3">
        <v>1</v>
      </c>
      <c r="K63">
        <v>5.6</v>
      </c>
      <c r="L63" t="s">
        <v>21</v>
      </c>
      <c r="M63">
        <v>3</v>
      </c>
      <c r="N63">
        <v>3</v>
      </c>
      <c r="O63">
        <v>1</v>
      </c>
      <c r="P63">
        <v>1</v>
      </c>
      <c r="Q63">
        <v>1</v>
      </c>
      <c r="R63">
        <v>1</v>
      </c>
      <c r="S63">
        <v>1</v>
      </c>
      <c r="T63" t="str">
        <f>IF(mental_health[Sleep_Hours]&lt;5,"Low",IF(mental_health[Sleep_Hours]&lt;7,"Medium","Good"))</f>
        <v>Low</v>
      </c>
      <c r="U63" t="str">
        <f>IF(mental_health[Stress_Level]&lt;=3,"Low",IF(mental_health[Stress_Level]&lt;=7,"Medium","High"))</f>
        <v>Low</v>
      </c>
      <c r="V63" t="str">
        <f>IF(mental_health[Daily_Screen_Time]&lt;=4,"Low",IF(mental_health[Daily_Screen_Time]&lt;=8,"Medium","High"))</f>
        <v>Medium</v>
      </c>
    </row>
    <row r="64" spans="1:22" x14ac:dyDescent="0.3">
      <c r="A64">
        <v>63</v>
      </c>
      <c r="B64">
        <v>19</v>
      </c>
      <c r="C64" t="s">
        <v>23</v>
      </c>
      <c r="D64" t="s">
        <v>22</v>
      </c>
      <c r="E64">
        <v>7</v>
      </c>
      <c r="F64">
        <v>2.4</v>
      </c>
      <c r="G64">
        <v>1</v>
      </c>
      <c r="H64" t="str">
        <f t="shared" si="0"/>
        <v>Night Usage</v>
      </c>
      <c r="I64">
        <v>6.5</v>
      </c>
      <c r="J64" s="3">
        <v>10</v>
      </c>
      <c r="K64">
        <v>2.9</v>
      </c>
      <c r="L64" t="s">
        <v>21</v>
      </c>
      <c r="M64">
        <v>1</v>
      </c>
      <c r="N64">
        <v>0</v>
      </c>
      <c r="O64">
        <v>0</v>
      </c>
      <c r="P64">
        <v>1</v>
      </c>
      <c r="Q64">
        <v>1</v>
      </c>
      <c r="R64">
        <v>1</v>
      </c>
      <c r="S64">
        <v>1</v>
      </c>
      <c r="T64" t="str">
        <f>IF(mental_health[Sleep_Hours]&lt;5,"Low",IF(mental_health[Sleep_Hours]&lt;7,"Medium","Good"))</f>
        <v>Medium</v>
      </c>
      <c r="U64" t="str">
        <f>IF(mental_health[Stress_Level]&lt;=3,"Low",IF(mental_health[Stress_Level]&lt;=7,"Medium","High"))</f>
        <v>High</v>
      </c>
      <c r="V64" t="str">
        <f>IF(mental_health[Daily_Screen_Time]&lt;=4,"Low",IF(mental_health[Daily_Screen_Time]&lt;=8,"Medium","High"))</f>
        <v>Medium</v>
      </c>
    </row>
    <row r="65" spans="1:22" x14ac:dyDescent="0.3">
      <c r="A65">
        <v>64</v>
      </c>
      <c r="B65">
        <v>44</v>
      </c>
      <c r="C65" t="s">
        <v>23</v>
      </c>
      <c r="D65" t="s">
        <v>22</v>
      </c>
      <c r="E65">
        <v>9.3000000000000007</v>
      </c>
      <c r="F65">
        <v>5.4</v>
      </c>
      <c r="G65">
        <v>0</v>
      </c>
      <c r="H65" t="str">
        <f t="shared" si="0"/>
        <v>No Night Usage</v>
      </c>
      <c r="I65">
        <v>5.7</v>
      </c>
      <c r="J65" s="3">
        <v>9</v>
      </c>
      <c r="K65">
        <v>9.3000000000000007</v>
      </c>
      <c r="L65" t="s">
        <v>25</v>
      </c>
      <c r="M65">
        <v>7</v>
      </c>
      <c r="N65">
        <v>1</v>
      </c>
      <c r="O65">
        <v>1</v>
      </c>
      <c r="P65">
        <v>1</v>
      </c>
      <c r="Q65">
        <v>0</v>
      </c>
      <c r="R65">
        <v>1</v>
      </c>
      <c r="S65">
        <v>1</v>
      </c>
      <c r="T65" t="str">
        <f>IF(mental_health[Sleep_Hours]&lt;5,"Low",IF(mental_health[Sleep_Hours]&lt;7,"Medium","Good"))</f>
        <v>Medium</v>
      </c>
      <c r="U65" t="str">
        <f>IF(mental_health[Stress_Level]&lt;=3,"Low",IF(mental_health[Stress_Level]&lt;=7,"Medium","High"))</f>
        <v>High</v>
      </c>
      <c r="V65" t="str">
        <f>IF(mental_health[Daily_Screen_Time]&lt;=4,"Low",IF(mental_health[Daily_Screen_Time]&lt;=8,"Medium","High"))</f>
        <v>High</v>
      </c>
    </row>
    <row r="66" spans="1:22" x14ac:dyDescent="0.3">
      <c r="A66">
        <v>65</v>
      </c>
      <c r="B66">
        <v>33</v>
      </c>
      <c r="C66" t="s">
        <v>23</v>
      </c>
      <c r="D66" t="s">
        <v>22</v>
      </c>
      <c r="E66">
        <v>11.6</v>
      </c>
      <c r="F66">
        <v>3.5</v>
      </c>
      <c r="G66">
        <v>1</v>
      </c>
      <c r="H66" t="str">
        <f t="shared" ref="H66:H129" si="1">IF(G66=1,"Night Usage","No Night Usage")</f>
        <v>Night Usage</v>
      </c>
      <c r="I66">
        <v>3.2</v>
      </c>
      <c r="J66" s="3">
        <v>2</v>
      </c>
      <c r="K66">
        <v>10.7</v>
      </c>
      <c r="L66" t="s">
        <v>21</v>
      </c>
      <c r="M66">
        <v>8</v>
      </c>
      <c r="N66">
        <v>1</v>
      </c>
      <c r="O66">
        <v>0</v>
      </c>
      <c r="P66">
        <v>1</v>
      </c>
      <c r="Q66">
        <v>1</v>
      </c>
      <c r="R66">
        <v>0</v>
      </c>
      <c r="S66">
        <v>0</v>
      </c>
      <c r="T66" t="str">
        <f>IF(mental_health[Sleep_Hours]&lt;5,"Low",IF(mental_health[Sleep_Hours]&lt;7,"Medium","Good"))</f>
        <v>Low</v>
      </c>
      <c r="U66" t="str">
        <f>IF(mental_health[Stress_Level]&lt;=3,"Low",IF(mental_health[Stress_Level]&lt;=7,"Medium","High"))</f>
        <v>Low</v>
      </c>
      <c r="V66" t="str">
        <f>IF(mental_health[Daily_Screen_Time]&lt;=4,"Low",IF(mental_health[Daily_Screen_Time]&lt;=8,"Medium","High"))</f>
        <v>High</v>
      </c>
    </row>
    <row r="67" spans="1:22" x14ac:dyDescent="0.3">
      <c r="A67">
        <v>66</v>
      </c>
      <c r="B67">
        <v>41</v>
      </c>
      <c r="C67" t="s">
        <v>23</v>
      </c>
      <c r="D67" t="s">
        <v>22</v>
      </c>
      <c r="E67">
        <v>4.2</v>
      </c>
      <c r="F67">
        <v>8</v>
      </c>
      <c r="G67">
        <v>1</v>
      </c>
      <c r="H67" t="str">
        <f t="shared" si="1"/>
        <v>Night Usage</v>
      </c>
      <c r="I67">
        <v>4.9000000000000004</v>
      </c>
      <c r="J67" s="3">
        <v>3</v>
      </c>
      <c r="K67">
        <v>11.7</v>
      </c>
      <c r="L67" t="s">
        <v>20</v>
      </c>
      <c r="M67">
        <v>2</v>
      </c>
      <c r="N67">
        <v>4</v>
      </c>
      <c r="O67">
        <v>1</v>
      </c>
      <c r="P67">
        <v>1</v>
      </c>
      <c r="Q67">
        <v>0</v>
      </c>
      <c r="R67">
        <v>1</v>
      </c>
      <c r="S67">
        <v>1</v>
      </c>
      <c r="T67" t="str">
        <f>IF(mental_health[Sleep_Hours]&lt;5,"Low",IF(mental_health[Sleep_Hours]&lt;7,"Medium","Good"))</f>
        <v>Low</v>
      </c>
      <c r="U67" t="str">
        <f>IF(mental_health[Stress_Level]&lt;=3,"Low",IF(mental_health[Stress_Level]&lt;=7,"Medium","High"))</f>
        <v>Low</v>
      </c>
      <c r="V67" t="str">
        <f>IF(mental_health[Daily_Screen_Time]&lt;=4,"Low",IF(mental_health[Daily_Screen_Time]&lt;=8,"Medium","High"))</f>
        <v>Medium</v>
      </c>
    </row>
    <row r="68" spans="1:22" x14ac:dyDescent="0.3">
      <c r="A68">
        <v>67</v>
      </c>
      <c r="B68">
        <v>59</v>
      </c>
      <c r="C68" t="s">
        <v>18</v>
      </c>
      <c r="D68" t="s">
        <v>19</v>
      </c>
      <c r="E68">
        <v>10.9</v>
      </c>
      <c r="F68">
        <v>4.4000000000000004</v>
      </c>
      <c r="G68">
        <v>0</v>
      </c>
      <c r="H68" t="str">
        <f t="shared" si="1"/>
        <v>No Night Usage</v>
      </c>
      <c r="I68">
        <v>7.9</v>
      </c>
      <c r="J68" s="3">
        <v>2</v>
      </c>
      <c r="K68">
        <v>11.3</v>
      </c>
      <c r="L68" t="s">
        <v>25</v>
      </c>
      <c r="M68">
        <v>9</v>
      </c>
      <c r="N68">
        <v>0</v>
      </c>
      <c r="O68">
        <v>1</v>
      </c>
      <c r="P68">
        <v>0</v>
      </c>
      <c r="Q68">
        <v>0</v>
      </c>
      <c r="R68">
        <v>0</v>
      </c>
      <c r="S68">
        <v>1</v>
      </c>
      <c r="T68" t="str">
        <f>IF(mental_health[Sleep_Hours]&lt;5,"Low",IF(mental_health[Sleep_Hours]&lt;7,"Medium","Good"))</f>
        <v>Good</v>
      </c>
      <c r="U68" t="str">
        <f>IF(mental_health[Stress_Level]&lt;=3,"Low",IF(mental_health[Stress_Level]&lt;=7,"Medium","High"))</f>
        <v>Low</v>
      </c>
      <c r="V68" t="str">
        <f>IF(mental_health[Daily_Screen_Time]&lt;=4,"Low",IF(mental_health[Daily_Screen_Time]&lt;=8,"Medium","High"))</f>
        <v>High</v>
      </c>
    </row>
    <row r="69" spans="1:22" x14ac:dyDescent="0.3">
      <c r="A69">
        <v>68</v>
      </c>
      <c r="B69">
        <v>49</v>
      </c>
      <c r="C69" t="s">
        <v>18</v>
      </c>
      <c r="D69" t="s">
        <v>22</v>
      </c>
      <c r="E69">
        <v>11.3</v>
      </c>
      <c r="F69">
        <v>4.4000000000000004</v>
      </c>
      <c r="G69">
        <v>0</v>
      </c>
      <c r="H69" t="str">
        <f t="shared" si="1"/>
        <v>No Night Usage</v>
      </c>
      <c r="I69">
        <v>7.1</v>
      </c>
      <c r="J69" s="3">
        <v>8</v>
      </c>
      <c r="K69">
        <v>10</v>
      </c>
      <c r="L69" t="s">
        <v>21</v>
      </c>
      <c r="M69">
        <v>4</v>
      </c>
      <c r="N69">
        <v>2</v>
      </c>
      <c r="O69">
        <v>0</v>
      </c>
      <c r="P69">
        <v>1</v>
      </c>
      <c r="Q69">
        <v>1</v>
      </c>
      <c r="R69">
        <v>1</v>
      </c>
      <c r="S69">
        <v>1</v>
      </c>
      <c r="T69" t="str">
        <f>IF(mental_health[Sleep_Hours]&lt;5,"Low",IF(mental_health[Sleep_Hours]&lt;7,"Medium","Good"))</f>
        <v>Good</v>
      </c>
      <c r="U69" t="str">
        <f>IF(mental_health[Stress_Level]&lt;=3,"Low",IF(mental_health[Stress_Level]&lt;=7,"Medium","High"))</f>
        <v>High</v>
      </c>
      <c r="V69" t="str">
        <f>IF(mental_health[Daily_Screen_Time]&lt;=4,"Low",IF(mental_health[Daily_Screen_Time]&lt;=8,"Medium","High"))</f>
        <v>High</v>
      </c>
    </row>
    <row r="70" spans="1:22" x14ac:dyDescent="0.3">
      <c r="A70">
        <v>69</v>
      </c>
      <c r="B70">
        <v>25</v>
      </c>
      <c r="C70" t="s">
        <v>18</v>
      </c>
      <c r="D70" t="s">
        <v>19</v>
      </c>
      <c r="E70">
        <v>11.2</v>
      </c>
      <c r="F70">
        <v>5</v>
      </c>
      <c r="G70">
        <v>0</v>
      </c>
      <c r="H70" t="str">
        <f t="shared" si="1"/>
        <v>No Night Usage</v>
      </c>
      <c r="I70">
        <v>7.3</v>
      </c>
      <c r="J70" s="3">
        <v>2</v>
      </c>
      <c r="K70">
        <v>8.4</v>
      </c>
      <c r="L70" t="s">
        <v>20</v>
      </c>
      <c r="M70">
        <v>10</v>
      </c>
      <c r="N70">
        <v>3</v>
      </c>
      <c r="O70">
        <v>1</v>
      </c>
      <c r="P70">
        <v>1</v>
      </c>
      <c r="Q70">
        <v>1</v>
      </c>
      <c r="R70">
        <v>1</v>
      </c>
      <c r="S70">
        <v>0</v>
      </c>
      <c r="T70" t="str">
        <f>IF(mental_health[Sleep_Hours]&lt;5,"Low",IF(mental_health[Sleep_Hours]&lt;7,"Medium","Good"))</f>
        <v>Good</v>
      </c>
      <c r="U70" t="str">
        <f>IF(mental_health[Stress_Level]&lt;=3,"Low",IF(mental_health[Stress_Level]&lt;=7,"Medium","High"))</f>
        <v>Low</v>
      </c>
      <c r="V70" t="str">
        <f>IF(mental_health[Daily_Screen_Time]&lt;=4,"Low",IF(mental_health[Daily_Screen_Time]&lt;=8,"Medium","High"))</f>
        <v>High</v>
      </c>
    </row>
    <row r="71" spans="1:22" x14ac:dyDescent="0.3">
      <c r="A71">
        <v>70</v>
      </c>
      <c r="B71">
        <v>51</v>
      </c>
      <c r="C71" t="s">
        <v>18</v>
      </c>
      <c r="D71" t="s">
        <v>24</v>
      </c>
      <c r="E71">
        <v>8.4</v>
      </c>
      <c r="F71">
        <v>7.4</v>
      </c>
      <c r="G71">
        <v>1</v>
      </c>
      <c r="H71" t="str">
        <f t="shared" si="1"/>
        <v>Night Usage</v>
      </c>
      <c r="I71">
        <v>7.2</v>
      </c>
      <c r="J71" s="3">
        <v>10</v>
      </c>
      <c r="K71">
        <v>9.8000000000000007</v>
      </c>
      <c r="L71" t="s">
        <v>21</v>
      </c>
      <c r="M71">
        <v>9</v>
      </c>
      <c r="N71">
        <v>3</v>
      </c>
      <c r="O71">
        <v>1</v>
      </c>
      <c r="P71">
        <v>0</v>
      </c>
      <c r="Q71">
        <v>0</v>
      </c>
      <c r="R71">
        <v>1</v>
      </c>
      <c r="S71">
        <v>1</v>
      </c>
      <c r="T71" t="str">
        <f>IF(mental_health[Sleep_Hours]&lt;5,"Low",IF(mental_health[Sleep_Hours]&lt;7,"Medium","Good"))</f>
        <v>Good</v>
      </c>
      <c r="U71" t="str">
        <f>IF(mental_health[Stress_Level]&lt;=3,"Low",IF(mental_health[Stress_Level]&lt;=7,"Medium","High"))</f>
        <v>High</v>
      </c>
      <c r="V71" t="str">
        <f>IF(mental_health[Daily_Screen_Time]&lt;=4,"Low",IF(mental_health[Daily_Screen_Time]&lt;=8,"Medium","High"))</f>
        <v>High</v>
      </c>
    </row>
    <row r="72" spans="1:22" x14ac:dyDescent="0.3">
      <c r="A72">
        <v>71</v>
      </c>
      <c r="B72">
        <v>29</v>
      </c>
      <c r="C72" t="s">
        <v>18</v>
      </c>
      <c r="D72" t="s">
        <v>22</v>
      </c>
      <c r="E72">
        <v>8.3000000000000007</v>
      </c>
      <c r="F72">
        <v>6.6</v>
      </c>
      <c r="G72">
        <v>1</v>
      </c>
      <c r="H72" t="str">
        <f t="shared" si="1"/>
        <v>Night Usage</v>
      </c>
      <c r="I72">
        <v>4.9000000000000004</v>
      </c>
      <c r="J72" s="3">
        <v>2</v>
      </c>
      <c r="K72">
        <v>6.3</v>
      </c>
      <c r="L72" t="s">
        <v>25</v>
      </c>
      <c r="M72">
        <v>3</v>
      </c>
      <c r="N72">
        <v>1</v>
      </c>
      <c r="O72">
        <v>0</v>
      </c>
      <c r="P72">
        <v>0</v>
      </c>
      <c r="Q72">
        <v>0</v>
      </c>
      <c r="R72">
        <v>0</v>
      </c>
      <c r="S72">
        <v>1</v>
      </c>
      <c r="T72" t="str">
        <f>IF(mental_health[Sleep_Hours]&lt;5,"Low",IF(mental_health[Sleep_Hours]&lt;7,"Medium","Good"))</f>
        <v>Low</v>
      </c>
      <c r="U72" t="str">
        <f>IF(mental_health[Stress_Level]&lt;=3,"Low",IF(mental_health[Stress_Level]&lt;=7,"Medium","High"))</f>
        <v>Low</v>
      </c>
      <c r="V72" t="str">
        <f>IF(mental_health[Daily_Screen_Time]&lt;=4,"Low",IF(mental_health[Daily_Screen_Time]&lt;=8,"Medium","High"))</f>
        <v>High</v>
      </c>
    </row>
    <row r="73" spans="1:22" x14ac:dyDescent="0.3">
      <c r="A73">
        <v>72</v>
      </c>
      <c r="B73">
        <v>46</v>
      </c>
      <c r="C73" t="s">
        <v>18</v>
      </c>
      <c r="D73" t="s">
        <v>19</v>
      </c>
      <c r="E73">
        <v>6</v>
      </c>
      <c r="F73">
        <v>4.2</v>
      </c>
      <c r="G73">
        <v>0</v>
      </c>
      <c r="H73" t="str">
        <f t="shared" si="1"/>
        <v>No Night Usage</v>
      </c>
      <c r="I73">
        <v>3.6</v>
      </c>
      <c r="J73" s="3">
        <v>1</v>
      </c>
      <c r="K73">
        <v>7.9</v>
      </c>
      <c r="L73" t="s">
        <v>25</v>
      </c>
      <c r="M73">
        <v>8</v>
      </c>
      <c r="N73">
        <v>0</v>
      </c>
      <c r="O73">
        <v>1</v>
      </c>
      <c r="P73">
        <v>1</v>
      </c>
      <c r="Q73">
        <v>0</v>
      </c>
      <c r="R73">
        <v>0</v>
      </c>
      <c r="S73">
        <v>0</v>
      </c>
      <c r="T73" t="str">
        <f>IF(mental_health[Sleep_Hours]&lt;5,"Low",IF(mental_health[Sleep_Hours]&lt;7,"Medium","Good"))</f>
        <v>Low</v>
      </c>
      <c r="U73" t="str">
        <f>IF(mental_health[Stress_Level]&lt;=3,"Low",IF(mental_health[Stress_Level]&lt;=7,"Medium","High"))</f>
        <v>Low</v>
      </c>
      <c r="V73" t="str">
        <f>IF(mental_health[Daily_Screen_Time]&lt;=4,"Low",IF(mental_health[Daily_Screen_Time]&lt;=8,"Medium","High"))</f>
        <v>Medium</v>
      </c>
    </row>
    <row r="74" spans="1:22" x14ac:dyDescent="0.3">
      <c r="A74">
        <v>73</v>
      </c>
      <c r="B74">
        <v>30</v>
      </c>
      <c r="C74" t="s">
        <v>18</v>
      </c>
      <c r="D74" t="s">
        <v>22</v>
      </c>
      <c r="E74">
        <v>9.5</v>
      </c>
      <c r="F74">
        <v>6</v>
      </c>
      <c r="G74">
        <v>0</v>
      </c>
      <c r="H74" t="str">
        <f t="shared" si="1"/>
        <v>No Night Usage</v>
      </c>
      <c r="I74">
        <v>4.5999999999999996</v>
      </c>
      <c r="J74" s="3">
        <v>7</v>
      </c>
      <c r="K74">
        <v>5.5</v>
      </c>
      <c r="L74" t="s">
        <v>20</v>
      </c>
      <c r="M74">
        <v>2</v>
      </c>
      <c r="N74">
        <v>2</v>
      </c>
      <c r="O74">
        <v>1</v>
      </c>
      <c r="P74">
        <v>1</v>
      </c>
      <c r="Q74">
        <v>1</v>
      </c>
      <c r="R74">
        <v>1</v>
      </c>
      <c r="S74">
        <v>0</v>
      </c>
      <c r="T74" t="str">
        <f>IF(mental_health[Sleep_Hours]&lt;5,"Low",IF(mental_health[Sleep_Hours]&lt;7,"Medium","Good"))</f>
        <v>Low</v>
      </c>
      <c r="U74" t="str">
        <f>IF(mental_health[Stress_Level]&lt;=3,"Low",IF(mental_health[Stress_Level]&lt;=7,"Medium","High"))</f>
        <v>Medium</v>
      </c>
      <c r="V74" t="str">
        <f>IF(mental_health[Daily_Screen_Time]&lt;=4,"Low",IF(mental_health[Daily_Screen_Time]&lt;=8,"Medium","High"))</f>
        <v>High</v>
      </c>
    </row>
    <row r="75" spans="1:22" x14ac:dyDescent="0.3">
      <c r="A75">
        <v>74</v>
      </c>
      <c r="B75">
        <v>23</v>
      </c>
      <c r="C75" t="s">
        <v>23</v>
      </c>
      <c r="D75" t="s">
        <v>24</v>
      </c>
      <c r="E75">
        <v>7.3</v>
      </c>
      <c r="F75">
        <v>5.0999999999999996</v>
      </c>
      <c r="G75">
        <v>0</v>
      </c>
      <c r="H75" t="str">
        <f t="shared" si="1"/>
        <v>No Night Usage</v>
      </c>
      <c r="I75">
        <v>8</v>
      </c>
      <c r="J75" s="3">
        <v>2</v>
      </c>
      <c r="K75">
        <v>5.3</v>
      </c>
      <c r="L75" t="s">
        <v>25</v>
      </c>
      <c r="M75">
        <v>3</v>
      </c>
      <c r="N75">
        <v>3</v>
      </c>
      <c r="O75">
        <v>1</v>
      </c>
      <c r="P75">
        <v>0</v>
      </c>
      <c r="Q75">
        <v>1</v>
      </c>
      <c r="R75">
        <v>0</v>
      </c>
      <c r="S75">
        <v>0</v>
      </c>
      <c r="T75" t="str">
        <f>IF(mental_health[Sleep_Hours]&lt;5,"Low",IF(mental_health[Sleep_Hours]&lt;7,"Medium","Good"))</f>
        <v>Good</v>
      </c>
      <c r="U75" t="str">
        <f>IF(mental_health[Stress_Level]&lt;=3,"Low",IF(mental_health[Stress_Level]&lt;=7,"Medium","High"))</f>
        <v>Low</v>
      </c>
      <c r="V75" t="str">
        <f>IF(mental_health[Daily_Screen_Time]&lt;=4,"Low",IF(mental_health[Daily_Screen_Time]&lt;=8,"Medium","High"))</f>
        <v>Medium</v>
      </c>
    </row>
    <row r="76" spans="1:22" x14ac:dyDescent="0.3">
      <c r="A76">
        <v>75</v>
      </c>
      <c r="B76">
        <v>29</v>
      </c>
      <c r="C76" t="s">
        <v>18</v>
      </c>
      <c r="D76" t="s">
        <v>24</v>
      </c>
      <c r="E76">
        <v>8.8000000000000007</v>
      </c>
      <c r="F76">
        <v>4.4000000000000004</v>
      </c>
      <c r="G76">
        <v>1</v>
      </c>
      <c r="H76" t="str">
        <f t="shared" si="1"/>
        <v>Night Usage</v>
      </c>
      <c r="I76">
        <v>8.9</v>
      </c>
      <c r="J76" s="3">
        <v>10</v>
      </c>
      <c r="K76">
        <v>9.6</v>
      </c>
      <c r="L76" t="s">
        <v>20</v>
      </c>
      <c r="M76">
        <v>1</v>
      </c>
      <c r="N76">
        <v>0</v>
      </c>
      <c r="O76">
        <v>1</v>
      </c>
      <c r="P76">
        <v>1</v>
      </c>
      <c r="Q76">
        <v>1</v>
      </c>
      <c r="R76">
        <v>1</v>
      </c>
      <c r="S76">
        <v>1</v>
      </c>
      <c r="T76" t="str">
        <f>IF(mental_health[Sleep_Hours]&lt;5,"Low",IF(mental_health[Sleep_Hours]&lt;7,"Medium","Good"))</f>
        <v>Good</v>
      </c>
      <c r="U76" t="str">
        <f>IF(mental_health[Stress_Level]&lt;=3,"Low",IF(mental_health[Stress_Level]&lt;=7,"Medium","High"))</f>
        <v>High</v>
      </c>
      <c r="V76" t="str">
        <f>IF(mental_health[Daily_Screen_Time]&lt;=4,"Low",IF(mental_health[Daily_Screen_Time]&lt;=8,"Medium","High"))</f>
        <v>High</v>
      </c>
    </row>
    <row r="77" spans="1:22" x14ac:dyDescent="0.3">
      <c r="A77">
        <v>76</v>
      </c>
      <c r="B77">
        <v>38</v>
      </c>
      <c r="C77" t="s">
        <v>18</v>
      </c>
      <c r="D77" t="s">
        <v>24</v>
      </c>
      <c r="E77">
        <v>6.3</v>
      </c>
      <c r="F77">
        <v>2.2999999999999998</v>
      </c>
      <c r="G77">
        <v>1</v>
      </c>
      <c r="H77" t="str">
        <f t="shared" si="1"/>
        <v>Night Usage</v>
      </c>
      <c r="I77">
        <v>6</v>
      </c>
      <c r="J77" s="3">
        <v>5</v>
      </c>
      <c r="K77">
        <v>6.5</v>
      </c>
      <c r="L77" t="s">
        <v>21</v>
      </c>
      <c r="M77">
        <v>5</v>
      </c>
      <c r="N77">
        <v>2</v>
      </c>
      <c r="O77">
        <v>0</v>
      </c>
      <c r="P77">
        <v>1</v>
      </c>
      <c r="Q77">
        <v>1</v>
      </c>
      <c r="R77">
        <v>1</v>
      </c>
      <c r="S77">
        <v>1</v>
      </c>
      <c r="T77" t="str">
        <f>IF(mental_health[Sleep_Hours]&lt;5,"Low",IF(mental_health[Sleep_Hours]&lt;7,"Medium","Good"))</f>
        <v>Medium</v>
      </c>
      <c r="U77" t="str">
        <f>IF(mental_health[Stress_Level]&lt;=3,"Low",IF(mental_health[Stress_Level]&lt;=7,"Medium","High"))</f>
        <v>Medium</v>
      </c>
      <c r="V77" t="str">
        <f>IF(mental_health[Daily_Screen_Time]&lt;=4,"Low",IF(mental_health[Daily_Screen_Time]&lt;=8,"Medium","High"))</f>
        <v>Medium</v>
      </c>
    </row>
    <row r="78" spans="1:22" x14ac:dyDescent="0.3">
      <c r="A78">
        <v>77</v>
      </c>
      <c r="B78">
        <v>55</v>
      </c>
      <c r="C78" t="s">
        <v>23</v>
      </c>
      <c r="D78" t="s">
        <v>22</v>
      </c>
      <c r="E78">
        <v>9.3000000000000007</v>
      </c>
      <c r="F78">
        <v>4.2</v>
      </c>
      <c r="G78">
        <v>1</v>
      </c>
      <c r="H78" t="str">
        <f t="shared" si="1"/>
        <v>Night Usage</v>
      </c>
      <c r="I78">
        <v>3.1</v>
      </c>
      <c r="J78" s="3">
        <v>5</v>
      </c>
      <c r="K78">
        <v>4.0999999999999996</v>
      </c>
      <c r="L78" t="s">
        <v>25</v>
      </c>
      <c r="M78">
        <v>4</v>
      </c>
      <c r="N78">
        <v>1</v>
      </c>
      <c r="O78">
        <v>0</v>
      </c>
      <c r="P78">
        <v>0</v>
      </c>
      <c r="Q78">
        <v>1</v>
      </c>
      <c r="R78">
        <v>1</v>
      </c>
      <c r="S78">
        <v>1</v>
      </c>
      <c r="T78" t="str">
        <f>IF(mental_health[Sleep_Hours]&lt;5,"Low",IF(mental_health[Sleep_Hours]&lt;7,"Medium","Good"))</f>
        <v>Low</v>
      </c>
      <c r="U78" t="str">
        <f>IF(mental_health[Stress_Level]&lt;=3,"Low",IF(mental_health[Stress_Level]&lt;=7,"Medium","High"))</f>
        <v>Medium</v>
      </c>
      <c r="V78" t="str">
        <f>IF(mental_health[Daily_Screen_Time]&lt;=4,"Low",IF(mental_health[Daily_Screen_Time]&lt;=8,"Medium","High"))</f>
        <v>High</v>
      </c>
    </row>
    <row r="79" spans="1:22" x14ac:dyDescent="0.3">
      <c r="A79">
        <v>78</v>
      </c>
      <c r="B79">
        <v>36</v>
      </c>
      <c r="C79" t="s">
        <v>18</v>
      </c>
      <c r="D79" t="s">
        <v>22</v>
      </c>
      <c r="E79">
        <v>10.199999999999999</v>
      </c>
      <c r="F79">
        <v>2.7</v>
      </c>
      <c r="G79">
        <v>0</v>
      </c>
      <c r="H79" t="str">
        <f t="shared" si="1"/>
        <v>No Night Usage</v>
      </c>
      <c r="I79">
        <v>3.8</v>
      </c>
      <c r="J79" s="3">
        <v>3</v>
      </c>
      <c r="K79">
        <v>4</v>
      </c>
      <c r="L79" t="s">
        <v>21</v>
      </c>
      <c r="M79">
        <v>1</v>
      </c>
      <c r="N79">
        <v>4</v>
      </c>
      <c r="O79">
        <v>1</v>
      </c>
      <c r="P79">
        <v>1</v>
      </c>
      <c r="Q79">
        <v>1</v>
      </c>
      <c r="R79">
        <v>0</v>
      </c>
      <c r="S79">
        <v>0</v>
      </c>
      <c r="T79" t="str">
        <f>IF(mental_health[Sleep_Hours]&lt;5,"Low",IF(mental_health[Sleep_Hours]&lt;7,"Medium","Good"))</f>
        <v>Low</v>
      </c>
      <c r="U79" t="str">
        <f>IF(mental_health[Stress_Level]&lt;=3,"Low",IF(mental_health[Stress_Level]&lt;=7,"Medium","High"))</f>
        <v>Low</v>
      </c>
      <c r="V79" t="str">
        <f>IF(mental_health[Daily_Screen_Time]&lt;=4,"Low",IF(mental_health[Daily_Screen_Time]&lt;=8,"Medium","High"))</f>
        <v>High</v>
      </c>
    </row>
    <row r="80" spans="1:22" x14ac:dyDescent="0.3">
      <c r="A80">
        <v>79</v>
      </c>
      <c r="B80">
        <v>31</v>
      </c>
      <c r="C80" t="s">
        <v>18</v>
      </c>
      <c r="D80" t="s">
        <v>19</v>
      </c>
      <c r="E80">
        <v>3.5</v>
      </c>
      <c r="F80">
        <v>7.4</v>
      </c>
      <c r="G80">
        <v>0</v>
      </c>
      <c r="H80" t="str">
        <f t="shared" si="1"/>
        <v>No Night Usage</v>
      </c>
      <c r="I80">
        <v>4.9000000000000004</v>
      </c>
      <c r="J80" s="3">
        <v>3</v>
      </c>
      <c r="K80">
        <v>10.6</v>
      </c>
      <c r="L80" t="s">
        <v>21</v>
      </c>
      <c r="M80">
        <v>10</v>
      </c>
      <c r="N80">
        <v>3</v>
      </c>
      <c r="O80">
        <v>0</v>
      </c>
      <c r="P80">
        <v>0</v>
      </c>
      <c r="Q80">
        <v>1</v>
      </c>
      <c r="R80">
        <v>1</v>
      </c>
      <c r="S80">
        <v>0</v>
      </c>
      <c r="T80" t="str">
        <f>IF(mental_health[Sleep_Hours]&lt;5,"Low",IF(mental_health[Sleep_Hours]&lt;7,"Medium","Good"))</f>
        <v>Low</v>
      </c>
      <c r="U80" t="str">
        <f>IF(mental_health[Stress_Level]&lt;=3,"Low",IF(mental_health[Stress_Level]&lt;=7,"Medium","High"))</f>
        <v>Low</v>
      </c>
      <c r="V80" t="str">
        <f>IF(mental_health[Daily_Screen_Time]&lt;=4,"Low",IF(mental_health[Daily_Screen_Time]&lt;=8,"Medium","High"))</f>
        <v>Low</v>
      </c>
    </row>
    <row r="81" spans="1:22" x14ac:dyDescent="0.3">
      <c r="A81">
        <v>80</v>
      </c>
      <c r="B81">
        <v>33</v>
      </c>
      <c r="C81" t="s">
        <v>23</v>
      </c>
      <c r="D81" t="s">
        <v>24</v>
      </c>
      <c r="E81">
        <v>10.3</v>
      </c>
      <c r="F81">
        <v>3.3</v>
      </c>
      <c r="G81">
        <v>1</v>
      </c>
      <c r="H81" t="str">
        <f t="shared" si="1"/>
        <v>Night Usage</v>
      </c>
      <c r="I81">
        <v>6.5</v>
      </c>
      <c r="J81" s="3">
        <v>3</v>
      </c>
      <c r="K81">
        <v>8.8000000000000007</v>
      </c>
      <c r="L81" t="s">
        <v>25</v>
      </c>
      <c r="M81">
        <v>9</v>
      </c>
      <c r="N81">
        <v>3</v>
      </c>
      <c r="O81">
        <v>1</v>
      </c>
      <c r="P81">
        <v>1</v>
      </c>
      <c r="Q81">
        <v>0</v>
      </c>
      <c r="R81">
        <v>1</v>
      </c>
      <c r="S81">
        <v>1</v>
      </c>
      <c r="T81" t="str">
        <f>IF(mental_health[Sleep_Hours]&lt;5,"Low",IF(mental_health[Sleep_Hours]&lt;7,"Medium","Good"))</f>
        <v>Medium</v>
      </c>
      <c r="U81" t="str">
        <f>IF(mental_health[Stress_Level]&lt;=3,"Low",IF(mental_health[Stress_Level]&lt;=7,"Medium","High"))</f>
        <v>Low</v>
      </c>
      <c r="V81" t="str">
        <f>IF(mental_health[Daily_Screen_Time]&lt;=4,"Low",IF(mental_health[Daily_Screen_Time]&lt;=8,"Medium","High"))</f>
        <v>High</v>
      </c>
    </row>
    <row r="82" spans="1:22" x14ac:dyDescent="0.3">
      <c r="A82">
        <v>81</v>
      </c>
      <c r="B82">
        <v>39</v>
      </c>
      <c r="C82" t="s">
        <v>18</v>
      </c>
      <c r="D82" t="s">
        <v>22</v>
      </c>
      <c r="E82">
        <v>7.4</v>
      </c>
      <c r="F82">
        <v>7.7</v>
      </c>
      <c r="G82">
        <v>0</v>
      </c>
      <c r="H82" t="str">
        <f t="shared" si="1"/>
        <v>No Night Usage</v>
      </c>
      <c r="I82">
        <v>3.5</v>
      </c>
      <c r="J82" s="3">
        <v>6</v>
      </c>
      <c r="K82">
        <v>7.5</v>
      </c>
      <c r="L82" t="s">
        <v>21</v>
      </c>
      <c r="M82">
        <v>6</v>
      </c>
      <c r="N82">
        <v>2</v>
      </c>
      <c r="O82">
        <v>0</v>
      </c>
      <c r="P82">
        <v>1</v>
      </c>
      <c r="Q82">
        <v>0</v>
      </c>
      <c r="R82">
        <v>0</v>
      </c>
      <c r="S82">
        <v>0</v>
      </c>
      <c r="T82" t="str">
        <f>IF(mental_health[Sleep_Hours]&lt;5,"Low",IF(mental_health[Sleep_Hours]&lt;7,"Medium","Good"))</f>
        <v>Low</v>
      </c>
      <c r="U82" t="str">
        <f>IF(mental_health[Stress_Level]&lt;=3,"Low",IF(mental_health[Stress_Level]&lt;=7,"Medium","High"))</f>
        <v>Medium</v>
      </c>
      <c r="V82" t="str">
        <f>IF(mental_health[Daily_Screen_Time]&lt;=4,"Low",IF(mental_health[Daily_Screen_Time]&lt;=8,"Medium","High"))</f>
        <v>Medium</v>
      </c>
    </row>
    <row r="83" spans="1:22" x14ac:dyDescent="0.3">
      <c r="A83">
        <v>82</v>
      </c>
      <c r="B83">
        <v>41</v>
      </c>
      <c r="C83" t="s">
        <v>18</v>
      </c>
      <c r="D83" t="s">
        <v>24</v>
      </c>
      <c r="E83">
        <v>10.4</v>
      </c>
      <c r="F83">
        <v>4.7</v>
      </c>
      <c r="G83">
        <v>0</v>
      </c>
      <c r="H83" t="str">
        <f t="shared" si="1"/>
        <v>No Night Usage</v>
      </c>
      <c r="I83">
        <v>8.6999999999999993</v>
      </c>
      <c r="J83" s="3">
        <v>4</v>
      </c>
      <c r="K83">
        <v>6</v>
      </c>
      <c r="L83" t="s">
        <v>20</v>
      </c>
      <c r="M83">
        <v>6</v>
      </c>
      <c r="N83">
        <v>4</v>
      </c>
      <c r="O83">
        <v>1</v>
      </c>
      <c r="P83">
        <v>0</v>
      </c>
      <c r="Q83">
        <v>1</v>
      </c>
      <c r="R83">
        <v>1</v>
      </c>
      <c r="S83">
        <v>0</v>
      </c>
      <c r="T83" t="str">
        <f>IF(mental_health[Sleep_Hours]&lt;5,"Low",IF(mental_health[Sleep_Hours]&lt;7,"Medium","Good"))</f>
        <v>Good</v>
      </c>
      <c r="U83" t="str">
        <f>IF(mental_health[Stress_Level]&lt;=3,"Low",IF(mental_health[Stress_Level]&lt;=7,"Medium","High"))</f>
        <v>Medium</v>
      </c>
      <c r="V83" t="str">
        <f>IF(mental_health[Daily_Screen_Time]&lt;=4,"Low",IF(mental_health[Daily_Screen_Time]&lt;=8,"Medium","High"))</f>
        <v>High</v>
      </c>
    </row>
    <row r="84" spans="1:22" x14ac:dyDescent="0.3">
      <c r="A84">
        <v>83</v>
      </c>
      <c r="B84">
        <v>40</v>
      </c>
      <c r="C84" t="s">
        <v>18</v>
      </c>
      <c r="D84" t="s">
        <v>24</v>
      </c>
      <c r="E84">
        <v>6.3</v>
      </c>
      <c r="F84">
        <v>5.4</v>
      </c>
      <c r="G84">
        <v>0</v>
      </c>
      <c r="H84" t="str">
        <f t="shared" si="1"/>
        <v>No Night Usage</v>
      </c>
      <c r="I84">
        <v>5.2</v>
      </c>
      <c r="J84" s="3">
        <v>3</v>
      </c>
      <c r="K84">
        <v>6.3</v>
      </c>
      <c r="L84" t="s">
        <v>20</v>
      </c>
      <c r="M84">
        <v>2</v>
      </c>
      <c r="N84">
        <v>0</v>
      </c>
      <c r="O84">
        <v>1</v>
      </c>
      <c r="P84">
        <v>0</v>
      </c>
      <c r="Q84">
        <v>0</v>
      </c>
      <c r="R84">
        <v>0</v>
      </c>
      <c r="S84">
        <v>0</v>
      </c>
      <c r="T84" t="str">
        <f>IF(mental_health[Sleep_Hours]&lt;5,"Low",IF(mental_health[Sleep_Hours]&lt;7,"Medium","Good"))</f>
        <v>Medium</v>
      </c>
      <c r="U84" t="str">
        <f>IF(mental_health[Stress_Level]&lt;=3,"Low",IF(mental_health[Stress_Level]&lt;=7,"Medium","High"))</f>
        <v>Low</v>
      </c>
      <c r="V84" t="str">
        <f>IF(mental_health[Daily_Screen_Time]&lt;=4,"Low",IF(mental_health[Daily_Screen_Time]&lt;=8,"Medium","High"))</f>
        <v>Medium</v>
      </c>
    </row>
    <row r="85" spans="1:22" x14ac:dyDescent="0.3">
      <c r="A85">
        <v>84</v>
      </c>
      <c r="B85">
        <v>56</v>
      </c>
      <c r="C85" t="s">
        <v>23</v>
      </c>
      <c r="D85" t="s">
        <v>19</v>
      </c>
      <c r="E85">
        <v>5.8</v>
      </c>
      <c r="F85">
        <v>4.8</v>
      </c>
      <c r="G85">
        <v>0</v>
      </c>
      <c r="H85" t="str">
        <f t="shared" si="1"/>
        <v>No Night Usage</v>
      </c>
      <c r="I85">
        <v>8.5</v>
      </c>
      <c r="J85" s="3">
        <v>2</v>
      </c>
      <c r="K85">
        <v>2.6</v>
      </c>
      <c r="L85" t="s">
        <v>20</v>
      </c>
      <c r="M85">
        <v>7</v>
      </c>
      <c r="N85">
        <v>1</v>
      </c>
      <c r="O85">
        <v>0</v>
      </c>
      <c r="P85">
        <v>1</v>
      </c>
      <c r="Q85">
        <v>0</v>
      </c>
      <c r="R85">
        <v>0</v>
      </c>
      <c r="S85">
        <v>0</v>
      </c>
      <c r="T85" t="str">
        <f>IF(mental_health[Sleep_Hours]&lt;5,"Low",IF(mental_health[Sleep_Hours]&lt;7,"Medium","Good"))</f>
        <v>Good</v>
      </c>
      <c r="U85" t="str">
        <f>IF(mental_health[Stress_Level]&lt;=3,"Low",IF(mental_health[Stress_Level]&lt;=7,"Medium","High"))</f>
        <v>Low</v>
      </c>
      <c r="V85" t="str">
        <f>IF(mental_health[Daily_Screen_Time]&lt;=4,"Low",IF(mental_health[Daily_Screen_Time]&lt;=8,"Medium","High"))</f>
        <v>Medium</v>
      </c>
    </row>
    <row r="86" spans="1:22" x14ac:dyDescent="0.3">
      <c r="A86">
        <v>85</v>
      </c>
      <c r="B86">
        <v>44</v>
      </c>
      <c r="C86" t="s">
        <v>18</v>
      </c>
      <c r="D86" t="s">
        <v>19</v>
      </c>
      <c r="E86">
        <v>11.2</v>
      </c>
      <c r="F86">
        <v>1.9</v>
      </c>
      <c r="G86">
        <v>1</v>
      </c>
      <c r="H86" t="str">
        <f t="shared" si="1"/>
        <v>Night Usage</v>
      </c>
      <c r="I86">
        <v>7.7</v>
      </c>
      <c r="J86" s="3">
        <v>3</v>
      </c>
      <c r="K86">
        <v>6.5</v>
      </c>
      <c r="L86" t="s">
        <v>25</v>
      </c>
      <c r="M86">
        <v>9</v>
      </c>
      <c r="N86">
        <v>0</v>
      </c>
      <c r="O86">
        <v>1</v>
      </c>
      <c r="P86">
        <v>1</v>
      </c>
      <c r="Q86">
        <v>0</v>
      </c>
      <c r="R86">
        <v>1</v>
      </c>
      <c r="S86">
        <v>0</v>
      </c>
      <c r="T86" t="str">
        <f>IF(mental_health[Sleep_Hours]&lt;5,"Low",IF(mental_health[Sleep_Hours]&lt;7,"Medium","Good"))</f>
        <v>Good</v>
      </c>
      <c r="U86" t="str">
        <f>IF(mental_health[Stress_Level]&lt;=3,"Low",IF(mental_health[Stress_Level]&lt;=7,"Medium","High"))</f>
        <v>Low</v>
      </c>
      <c r="V86" t="str">
        <f>IF(mental_health[Daily_Screen_Time]&lt;=4,"Low",IF(mental_health[Daily_Screen_Time]&lt;=8,"Medium","High"))</f>
        <v>High</v>
      </c>
    </row>
    <row r="87" spans="1:22" x14ac:dyDescent="0.3">
      <c r="A87">
        <v>86</v>
      </c>
      <c r="B87">
        <v>30</v>
      </c>
      <c r="C87" t="s">
        <v>18</v>
      </c>
      <c r="D87" t="s">
        <v>19</v>
      </c>
      <c r="E87">
        <v>4.5</v>
      </c>
      <c r="F87">
        <v>3.6</v>
      </c>
      <c r="G87">
        <v>0</v>
      </c>
      <c r="H87" t="str">
        <f t="shared" si="1"/>
        <v>No Night Usage</v>
      </c>
      <c r="I87">
        <v>7.5</v>
      </c>
      <c r="J87" s="3">
        <v>4</v>
      </c>
      <c r="K87">
        <v>10</v>
      </c>
      <c r="L87" t="s">
        <v>21</v>
      </c>
      <c r="M87">
        <v>6</v>
      </c>
      <c r="N87">
        <v>2</v>
      </c>
      <c r="O87">
        <v>1</v>
      </c>
      <c r="P87">
        <v>1</v>
      </c>
      <c r="Q87">
        <v>0</v>
      </c>
      <c r="R87">
        <v>0</v>
      </c>
      <c r="S87">
        <v>0</v>
      </c>
      <c r="T87" t="str">
        <f>IF(mental_health[Sleep_Hours]&lt;5,"Low",IF(mental_health[Sleep_Hours]&lt;7,"Medium","Good"))</f>
        <v>Good</v>
      </c>
      <c r="U87" t="str">
        <f>IF(mental_health[Stress_Level]&lt;=3,"Low",IF(mental_health[Stress_Level]&lt;=7,"Medium","High"))</f>
        <v>Medium</v>
      </c>
      <c r="V87" t="str">
        <f>IF(mental_health[Daily_Screen_Time]&lt;=4,"Low",IF(mental_health[Daily_Screen_Time]&lt;=8,"Medium","High"))</f>
        <v>Medium</v>
      </c>
    </row>
    <row r="88" spans="1:22" x14ac:dyDescent="0.3">
      <c r="A88">
        <v>87</v>
      </c>
      <c r="B88">
        <v>16</v>
      </c>
      <c r="C88" t="s">
        <v>23</v>
      </c>
      <c r="D88" t="s">
        <v>19</v>
      </c>
      <c r="E88">
        <v>10.4</v>
      </c>
      <c r="F88">
        <v>1.7</v>
      </c>
      <c r="G88">
        <v>1</v>
      </c>
      <c r="H88" t="str">
        <f t="shared" si="1"/>
        <v>Night Usage</v>
      </c>
      <c r="I88">
        <v>6.6</v>
      </c>
      <c r="J88" s="3">
        <v>6</v>
      </c>
      <c r="K88">
        <v>5.9</v>
      </c>
      <c r="L88" t="s">
        <v>21</v>
      </c>
      <c r="M88">
        <v>8</v>
      </c>
      <c r="N88">
        <v>3</v>
      </c>
      <c r="O88">
        <v>1</v>
      </c>
      <c r="P88">
        <v>0</v>
      </c>
      <c r="Q88">
        <v>1</v>
      </c>
      <c r="R88">
        <v>0</v>
      </c>
      <c r="S88">
        <v>1</v>
      </c>
      <c r="T88" t="str">
        <f>IF(mental_health[Sleep_Hours]&lt;5,"Low",IF(mental_health[Sleep_Hours]&lt;7,"Medium","Good"))</f>
        <v>Medium</v>
      </c>
      <c r="U88" t="str">
        <f>IF(mental_health[Stress_Level]&lt;=3,"Low",IF(mental_health[Stress_Level]&lt;=7,"Medium","High"))</f>
        <v>Medium</v>
      </c>
      <c r="V88" t="str">
        <f>IF(mental_health[Daily_Screen_Time]&lt;=4,"Low",IF(mental_health[Daily_Screen_Time]&lt;=8,"Medium","High"))</f>
        <v>High</v>
      </c>
    </row>
    <row r="89" spans="1:22" x14ac:dyDescent="0.3">
      <c r="A89">
        <v>88</v>
      </c>
      <c r="B89">
        <v>40</v>
      </c>
      <c r="C89" t="s">
        <v>18</v>
      </c>
      <c r="D89" t="s">
        <v>24</v>
      </c>
      <c r="E89">
        <v>6.8</v>
      </c>
      <c r="F89">
        <v>5.4</v>
      </c>
      <c r="G89">
        <v>1</v>
      </c>
      <c r="H89" t="str">
        <f t="shared" si="1"/>
        <v>Night Usage</v>
      </c>
      <c r="I89">
        <v>6.8</v>
      </c>
      <c r="J89" s="3">
        <v>4</v>
      </c>
      <c r="K89">
        <v>5.8</v>
      </c>
      <c r="L89" t="s">
        <v>21</v>
      </c>
      <c r="M89">
        <v>5</v>
      </c>
      <c r="N89">
        <v>3</v>
      </c>
      <c r="O89">
        <v>1</v>
      </c>
      <c r="P89">
        <v>0</v>
      </c>
      <c r="Q89">
        <v>1</v>
      </c>
      <c r="R89">
        <v>1</v>
      </c>
      <c r="S89">
        <v>1</v>
      </c>
      <c r="T89" t="str">
        <f>IF(mental_health[Sleep_Hours]&lt;5,"Low",IF(mental_health[Sleep_Hours]&lt;7,"Medium","Good"))</f>
        <v>Medium</v>
      </c>
      <c r="U89" t="str">
        <f>IF(mental_health[Stress_Level]&lt;=3,"Low",IF(mental_health[Stress_Level]&lt;=7,"Medium","High"))</f>
        <v>Medium</v>
      </c>
      <c r="V89" t="str">
        <f>IF(mental_health[Daily_Screen_Time]&lt;=4,"Low",IF(mental_health[Daily_Screen_Time]&lt;=8,"Medium","High"))</f>
        <v>Medium</v>
      </c>
    </row>
    <row r="90" spans="1:22" x14ac:dyDescent="0.3">
      <c r="A90">
        <v>89</v>
      </c>
      <c r="B90">
        <v>22</v>
      </c>
      <c r="C90" t="s">
        <v>23</v>
      </c>
      <c r="D90" t="s">
        <v>19</v>
      </c>
      <c r="E90">
        <v>7.1</v>
      </c>
      <c r="F90">
        <v>4.0999999999999996</v>
      </c>
      <c r="G90">
        <v>0</v>
      </c>
      <c r="H90" t="str">
        <f t="shared" si="1"/>
        <v>No Night Usage</v>
      </c>
      <c r="I90">
        <v>6.8</v>
      </c>
      <c r="J90" s="3">
        <v>8</v>
      </c>
      <c r="K90">
        <v>2.2000000000000002</v>
      </c>
      <c r="L90" t="s">
        <v>21</v>
      </c>
      <c r="M90">
        <v>2</v>
      </c>
      <c r="N90">
        <v>0</v>
      </c>
      <c r="O90">
        <v>0</v>
      </c>
      <c r="P90">
        <v>0</v>
      </c>
      <c r="Q90">
        <v>1</v>
      </c>
      <c r="R90">
        <v>1</v>
      </c>
      <c r="S90">
        <v>1</v>
      </c>
      <c r="T90" t="str">
        <f>IF(mental_health[Sleep_Hours]&lt;5,"Low",IF(mental_health[Sleep_Hours]&lt;7,"Medium","Good"))</f>
        <v>Medium</v>
      </c>
      <c r="U90" t="str">
        <f>IF(mental_health[Stress_Level]&lt;=3,"Low",IF(mental_health[Stress_Level]&lt;=7,"Medium","High"))</f>
        <v>High</v>
      </c>
      <c r="V90" t="str">
        <f>IF(mental_health[Daily_Screen_Time]&lt;=4,"Low",IF(mental_health[Daily_Screen_Time]&lt;=8,"Medium","High"))</f>
        <v>Medium</v>
      </c>
    </row>
    <row r="91" spans="1:22" x14ac:dyDescent="0.3">
      <c r="A91">
        <v>90</v>
      </c>
      <c r="B91">
        <v>24</v>
      </c>
      <c r="C91" t="s">
        <v>23</v>
      </c>
      <c r="D91" t="s">
        <v>19</v>
      </c>
      <c r="E91">
        <v>5.0999999999999996</v>
      </c>
      <c r="F91">
        <v>6.4</v>
      </c>
      <c r="G91">
        <v>1</v>
      </c>
      <c r="H91" t="str">
        <f t="shared" si="1"/>
        <v>Night Usage</v>
      </c>
      <c r="I91">
        <v>6.8</v>
      </c>
      <c r="J91" s="3">
        <v>3</v>
      </c>
      <c r="K91">
        <v>6.6</v>
      </c>
      <c r="L91" t="s">
        <v>20</v>
      </c>
      <c r="M91">
        <v>4</v>
      </c>
      <c r="N91">
        <v>1</v>
      </c>
      <c r="O91">
        <v>0</v>
      </c>
      <c r="P91">
        <v>0</v>
      </c>
      <c r="Q91">
        <v>1</v>
      </c>
      <c r="R91">
        <v>0</v>
      </c>
      <c r="S91">
        <v>1</v>
      </c>
      <c r="T91" t="str">
        <f>IF(mental_health[Sleep_Hours]&lt;5,"Low",IF(mental_health[Sleep_Hours]&lt;7,"Medium","Good"))</f>
        <v>Medium</v>
      </c>
      <c r="U91" t="str">
        <f>IF(mental_health[Stress_Level]&lt;=3,"Low",IF(mental_health[Stress_Level]&lt;=7,"Medium","High"))</f>
        <v>Low</v>
      </c>
      <c r="V91" t="str">
        <f>IF(mental_health[Daily_Screen_Time]&lt;=4,"Low",IF(mental_health[Daily_Screen_Time]&lt;=8,"Medium","High"))</f>
        <v>Medium</v>
      </c>
    </row>
    <row r="92" spans="1:22" x14ac:dyDescent="0.3">
      <c r="A92">
        <v>91</v>
      </c>
      <c r="B92">
        <v>39</v>
      </c>
      <c r="C92" t="s">
        <v>18</v>
      </c>
      <c r="D92" t="s">
        <v>19</v>
      </c>
      <c r="E92">
        <v>7.7</v>
      </c>
      <c r="F92">
        <v>2.5</v>
      </c>
      <c r="G92">
        <v>1</v>
      </c>
      <c r="H92" t="str">
        <f t="shared" si="1"/>
        <v>Night Usage</v>
      </c>
      <c r="I92">
        <v>6.3</v>
      </c>
      <c r="J92" s="3">
        <v>3</v>
      </c>
      <c r="K92">
        <v>2.2999999999999998</v>
      </c>
      <c r="L92" t="s">
        <v>25</v>
      </c>
      <c r="M92">
        <v>1</v>
      </c>
      <c r="N92">
        <v>2</v>
      </c>
      <c r="O92">
        <v>0</v>
      </c>
      <c r="P92">
        <v>0</v>
      </c>
      <c r="Q92">
        <v>0</v>
      </c>
      <c r="R92">
        <v>0</v>
      </c>
      <c r="S92">
        <v>1</v>
      </c>
      <c r="T92" t="str">
        <f>IF(mental_health[Sleep_Hours]&lt;5,"Low",IF(mental_health[Sleep_Hours]&lt;7,"Medium","Good"))</f>
        <v>Medium</v>
      </c>
      <c r="U92" t="str">
        <f>IF(mental_health[Stress_Level]&lt;=3,"Low",IF(mental_health[Stress_Level]&lt;=7,"Medium","High"))</f>
        <v>Low</v>
      </c>
      <c r="V92" t="str">
        <f>IF(mental_health[Daily_Screen_Time]&lt;=4,"Low",IF(mental_health[Daily_Screen_Time]&lt;=8,"Medium","High"))</f>
        <v>Medium</v>
      </c>
    </row>
    <row r="93" spans="1:22" x14ac:dyDescent="0.3">
      <c r="A93">
        <v>92</v>
      </c>
      <c r="B93">
        <v>16</v>
      </c>
      <c r="C93" t="s">
        <v>23</v>
      </c>
      <c r="D93" t="s">
        <v>19</v>
      </c>
      <c r="E93">
        <v>5.3</v>
      </c>
      <c r="F93">
        <v>2.2000000000000002</v>
      </c>
      <c r="G93">
        <v>0</v>
      </c>
      <c r="H93" t="str">
        <f t="shared" si="1"/>
        <v>No Night Usage</v>
      </c>
      <c r="I93">
        <v>8.9</v>
      </c>
      <c r="J93" s="3">
        <v>3</v>
      </c>
      <c r="K93">
        <v>7.7</v>
      </c>
      <c r="L93" t="s">
        <v>20</v>
      </c>
      <c r="M93">
        <v>1</v>
      </c>
      <c r="N93">
        <v>1</v>
      </c>
      <c r="O93">
        <v>0</v>
      </c>
      <c r="P93">
        <v>0</v>
      </c>
      <c r="Q93">
        <v>0</v>
      </c>
      <c r="R93">
        <v>1</v>
      </c>
      <c r="S93">
        <v>0</v>
      </c>
      <c r="T93" t="str">
        <f>IF(mental_health[Sleep_Hours]&lt;5,"Low",IF(mental_health[Sleep_Hours]&lt;7,"Medium","Good"))</f>
        <v>Good</v>
      </c>
      <c r="U93" t="str">
        <f>IF(mental_health[Stress_Level]&lt;=3,"Low",IF(mental_health[Stress_Level]&lt;=7,"Medium","High"))</f>
        <v>Low</v>
      </c>
      <c r="V93" t="str">
        <f>IF(mental_health[Daily_Screen_Time]&lt;=4,"Low",IF(mental_health[Daily_Screen_Time]&lt;=8,"Medium","High"))</f>
        <v>Medium</v>
      </c>
    </row>
    <row r="94" spans="1:22" x14ac:dyDescent="0.3">
      <c r="A94">
        <v>93</v>
      </c>
      <c r="B94">
        <v>59</v>
      </c>
      <c r="C94" t="s">
        <v>23</v>
      </c>
      <c r="D94" t="s">
        <v>24</v>
      </c>
      <c r="E94">
        <v>2.4</v>
      </c>
      <c r="F94">
        <v>3.8</v>
      </c>
      <c r="G94">
        <v>1</v>
      </c>
      <c r="H94" t="str">
        <f t="shared" si="1"/>
        <v>Night Usage</v>
      </c>
      <c r="I94">
        <v>7.4</v>
      </c>
      <c r="J94" s="3">
        <v>8</v>
      </c>
      <c r="K94">
        <v>7.1</v>
      </c>
      <c r="L94" t="s">
        <v>20</v>
      </c>
      <c r="M94">
        <v>6</v>
      </c>
      <c r="N94">
        <v>2</v>
      </c>
      <c r="O94">
        <v>1</v>
      </c>
      <c r="P94">
        <v>1</v>
      </c>
      <c r="Q94">
        <v>1</v>
      </c>
      <c r="R94">
        <v>1</v>
      </c>
      <c r="S94">
        <v>1</v>
      </c>
      <c r="T94" t="str">
        <f>IF(mental_health[Sleep_Hours]&lt;5,"Low",IF(mental_health[Sleep_Hours]&lt;7,"Medium","Good"))</f>
        <v>Good</v>
      </c>
      <c r="U94" t="str">
        <f>IF(mental_health[Stress_Level]&lt;=3,"Low",IF(mental_health[Stress_Level]&lt;=7,"Medium","High"))</f>
        <v>High</v>
      </c>
      <c r="V94" t="str">
        <f>IF(mental_health[Daily_Screen_Time]&lt;=4,"Low",IF(mental_health[Daily_Screen_Time]&lt;=8,"Medium","High"))</f>
        <v>Low</v>
      </c>
    </row>
    <row r="95" spans="1:22" x14ac:dyDescent="0.3">
      <c r="A95">
        <v>94</v>
      </c>
      <c r="B95">
        <v>23</v>
      </c>
      <c r="C95" t="s">
        <v>18</v>
      </c>
      <c r="D95" t="s">
        <v>19</v>
      </c>
      <c r="E95">
        <v>4.7</v>
      </c>
      <c r="F95">
        <v>7.5</v>
      </c>
      <c r="G95">
        <v>1</v>
      </c>
      <c r="H95" t="str">
        <f t="shared" si="1"/>
        <v>Night Usage</v>
      </c>
      <c r="I95">
        <v>7.7</v>
      </c>
      <c r="J95" s="3">
        <v>4</v>
      </c>
      <c r="K95">
        <v>10.4</v>
      </c>
      <c r="L95" t="s">
        <v>25</v>
      </c>
      <c r="M95">
        <v>2</v>
      </c>
      <c r="N95">
        <v>1</v>
      </c>
      <c r="O95">
        <v>1</v>
      </c>
      <c r="P95">
        <v>0</v>
      </c>
      <c r="Q95">
        <v>0</v>
      </c>
      <c r="R95">
        <v>0</v>
      </c>
      <c r="S95">
        <v>1</v>
      </c>
      <c r="T95" t="str">
        <f>IF(mental_health[Sleep_Hours]&lt;5,"Low",IF(mental_health[Sleep_Hours]&lt;7,"Medium","Good"))</f>
        <v>Good</v>
      </c>
      <c r="U95" t="str">
        <f>IF(mental_health[Stress_Level]&lt;=3,"Low",IF(mental_health[Stress_Level]&lt;=7,"Medium","High"))</f>
        <v>Medium</v>
      </c>
      <c r="V95" t="str">
        <f>IF(mental_health[Daily_Screen_Time]&lt;=4,"Low",IF(mental_health[Daily_Screen_Time]&lt;=8,"Medium","High"))</f>
        <v>Medium</v>
      </c>
    </row>
    <row r="96" spans="1:22" x14ac:dyDescent="0.3">
      <c r="A96">
        <v>95</v>
      </c>
      <c r="B96">
        <v>39</v>
      </c>
      <c r="C96" t="s">
        <v>23</v>
      </c>
      <c r="D96" t="s">
        <v>24</v>
      </c>
      <c r="E96">
        <v>2.1</v>
      </c>
      <c r="F96">
        <v>6</v>
      </c>
      <c r="G96">
        <v>1</v>
      </c>
      <c r="H96" t="str">
        <f t="shared" si="1"/>
        <v>Night Usage</v>
      </c>
      <c r="I96">
        <v>8.1999999999999993</v>
      </c>
      <c r="J96" s="3">
        <v>1</v>
      </c>
      <c r="K96">
        <v>7.8</v>
      </c>
      <c r="L96" t="s">
        <v>25</v>
      </c>
      <c r="M96">
        <v>6</v>
      </c>
      <c r="N96">
        <v>0</v>
      </c>
      <c r="O96">
        <v>1</v>
      </c>
      <c r="P96">
        <v>0</v>
      </c>
      <c r="Q96">
        <v>0</v>
      </c>
      <c r="R96">
        <v>0</v>
      </c>
      <c r="S96">
        <v>0</v>
      </c>
      <c r="T96" t="str">
        <f>IF(mental_health[Sleep_Hours]&lt;5,"Low",IF(mental_health[Sleep_Hours]&lt;7,"Medium","Good"))</f>
        <v>Good</v>
      </c>
      <c r="U96" t="str">
        <f>IF(mental_health[Stress_Level]&lt;=3,"Low",IF(mental_health[Stress_Level]&lt;=7,"Medium","High"))</f>
        <v>Low</v>
      </c>
      <c r="V96" t="str">
        <f>IF(mental_health[Daily_Screen_Time]&lt;=4,"Low",IF(mental_health[Daily_Screen_Time]&lt;=8,"Medium","High"))</f>
        <v>Low</v>
      </c>
    </row>
    <row r="97" spans="1:22" x14ac:dyDescent="0.3">
      <c r="A97">
        <v>96</v>
      </c>
      <c r="B97">
        <v>26</v>
      </c>
      <c r="C97" t="s">
        <v>23</v>
      </c>
      <c r="D97" t="s">
        <v>22</v>
      </c>
      <c r="E97">
        <v>11.8</v>
      </c>
      <c r="F97">
        <v>3.9</v>
      </c>
      <c r="G97">
        <v>1</v>
      </c>
      <c r="H97" t="str">
        <f t="shared" si="1"/>
        <v>Night Usage</v>
      </c>
      <c r="I97">
        <v>4.3</v>
      </c>
      <c r="J97" s="3">
        <v>2</v>
      </c>
      <c r="K97">
        <v>5.2</v>
      </c>
      <c r="L97" t="s">
        <v>20</v>
      </c>
      <c r="M97">
        <v>1</v>
      </c>
      <c r="N97">
        <v>4</v>
      </c>
      <c r="O97">
        <v>1</v>
      </c>
      <c r="P97">
        <v>0</v>
      </c>
      <c r="Q97">
        <v>1</v>
      </c>
      <c r="R97">
        <v>1</v>
      </c>
      <c r="S97">
        <v>0</v>
      </c>
      <c r="T97" t="str">
        <f>IF(mental_health[Sleep_Hours]&lt;5,"Low",IF(mental_health[Sleep_Hours]&lt;7,"Medium","Good"))</f>
        <v>Low</v>
      </c>
      <c r="U97" t="str">
        <f>IF(mental_health[Stress_Level]&lt;=3,"Low",IF(mental_health[Stress_Level]&lt;=7,"Medium","High"))</f>
        <v>Low</v>
      </c>
      <c r="V97" t="str">
        <f>IF(mental_health[Daily_Screen_Time]&lt;=4,"Low",IF(mental_health[Daily_Screen_Time]&lt;=8,"Medium","High"))</f>
        <v>High</v>
      </c>
    </row>
    <row r="98" spans="1:22" x14ac:dyDescent="0.3">
      <c r="A98">
        <v>97</v>
      </c>
      <c r="B98">
        <v>32</v>
      </c>
      <c r="C98" t="s">
        <v>18</v>
      </c>
      <c r="D98" t="s">
        <v>24</v>
      </c>
      <c r="E98">
        <v>11.7</v>
      </c>
      <c r="F98">
        <v>4.5999999999999996</v>
      </c>
      <c r="G98">
        <v>1</v>
      </c>
      <c r="H98" t="str">
        <f t="shared" si="1"/>
        <v>Night Usage</v>
      </c>
      <c r="I98">
        <v>3.5</v>
      </c>
      <c r="J98" s="3">
        <v>10</v>
      </c>
      <c r="K98">
        <v>7.2</v>
      </c>
      <c r="L98" t="s">
        <v>21</v>
      </c>
      <c r="M98">
        <v>10</v>
      </c>
      <c r="N98">
        <v>2</v>
      </c>
      <c r="O98">
        <v>0</v>
      </c>
      <c r="P98">
        <v>0</v>
      </c>
      <c r="Q98">
        <v>0</v>
      </c>
      <c r="R98">
        <v>0</v>
      </c>
      <c r="S98">
        <v>1</v>
      </c>
      <c r="T98" t="str">
        <f>IF(mental_health[Sleep_Hours]&lt;5,"Low",IF(mental_health[Sleep_Hours]&lt;7,"Medium","Good"))</f>
        <v>Low</v>
      </c>
      <c r="U98" t="str">
        <f>IF(mental_health[Stress_Level]&lt;=3,"Low",IF(mental_health[Stress_Level]&lt;=7,"Medium","High"))</f>
        <v>High</v>
      </c>
      <c r="V98" t="str">
        <f>IF(mental_health[Daily_Screen_Time]&lt;=4,"Low",IF(mental_health[Daily_Screen_Time]&lt;=8,"Medium","High"))</f>
        <v>High</v>
      </c>
    </row>
    <row r="99" spans="1:22" x14ac:dyDescent="0.3">
      <c r="A99">
        <v>98</v>
      </c>
      <c r="B99">
        <v>23</v>
      </c>
      <c r="C99" t="s">
        <v>18</v>
      </c>
      <c r="D99" t="s">
        <v>24</v>
      </c>
      <c r="E99">
        <v>6</v>
      </c>
      <c r="F99">
        <v>1.6</v>
      </c>
      <c r="G99">
        <v>1</v>
      </c>
      <c r="H99" t="str">
        <f t="shared" si="1"/>
        <v>Night Usage</v>
      </c>
      <c r="I99">
        <v>5.9</v>
      </c>
      <c r="J99" s="3">
        <v>2</v>
      </c>
      <c r="K99">
        <v>9</v>
      </c>
      <c r="L99" t="s">
        <v>25</v>
      </c>
      <c r="M99">
        <v>3</v>
      </c>
      <c r="N99">
        <v>0</v>
      </c>
      <c r="O99">
        <v>0</v>
      </c>
      <c r="P99">
        <v>1</v>
      </c>
      <c r="Q99">
        <v>1</v>
      </c>
      <c r="R99">
        <v>0</v>
      </c>
      <c r="S99">
        <v>0</v>
      </c>
      <c r="T99" t="str">
        <f>IF(mental_health[Sleep_Hours]&lt;5,"Low",IF(mental_health[Sleep_Hours]&lt;7,"Medium","Good"))</f>
        <v>Medium</v>
      </c>
      <c r="U99" t="str">
        <f>IF(mental_health[Stress_Level]&lt;=3,"Low",IF(mental_health[Stress_Level]&lt;=7,"Medium","High"))</f>
        <v>Low</v>
      </c>
      <c r="V99" t="str">
        <f>IF(mental_health[Daily_Screen_Time]&lt;=4,"Low",IF(mental_health[Daily_Screen_Time]&lt;=8,"Medium","High"))</f>
        <v>Medium</v>
      </c>
    </row>
    <row r="100" spans="1:22" x14ac:dyDescent="0.3">
      <c r="A100">
        <v>99</v>
      </c>
      <c r="B100">
        <v>50</v>
      </c>
      <c r="C100" t="s">
        <v>18</v>
      </c>
      <c r="D100" t="s">
        <v>19</v>
      </c>
      <c r="E100">
        <v>9.3000000000000007</v>
      </c>
      <c r="F100">
        <v>7.9</v>
      </c>
      <c r="G100">
        <v>1</v>
      </c>
      <c r="H100" t="str">
        <f t="shared" si="1"/>
        <v>Night Usage</v>
      </c>
      <c r="I100">
        <v>6.1</v>
      </c>
      <c r="J100" s="3">
        <v>3</v>
      </c>
      <c r="K100">
        <v>2.9</v>
      </c>
      <c r="L100" t="s">
        <v>25</v>
      </c>
      <c r="M100">
        <v>9</v>
      </c>
      <c r="N100">
        <v>3</v>
      </c>
      <c r="O100">
        <v>0</v>
      </c>
      <c r="P100">
        <v>0</v>
      </c>
      <c r="Q100">
        <v>0</v>
      </c>
      <c r="R100">
        <v>0</v>
      </c>
      <c r="S100">
        <v>0</v>
      </c>
      <c r="T100" t="str">
        <f>IF(mental_health[Sleep_Hours]&lt;5,"Low",IF(mental_health[Sleep_Hours]&lt;7,"Medium","Good"))</f>
        <v>Medium</v>
      </c>
      <c r="U100" t="str">
        <f>IF(mental_health[Stress_Level]&lt;=3,"Low",IF(mental_health[Stress_Level]&lt;=7,"Medium","High"))</f>
        <v>Low</v>
      </c>
      <c r="V100" t="str">
        <f>IF(mental_health[Daily_Screen_Time]&lt;=4,"Low",IF(mental_health[Daily_Screen_Time]&lt;=8,"Medium","High"))</f>
        <v>High</v>
      </c>
    </row>
    <row r="101" spans="1:22" x14ac:dyDescent="0.3">
      <c r="A101">
        <v>100</v>
      </c>
      <c r="B101">
        <v>50</v>
      </c>
      <c r="C101" t="s">
        <v>23</v>
      </c>
      <c r="D101" t="s">
        <v>22</v>
      </c>
      <c r="E101">
        <v>5.5</v>
      </c>
      <c r="F101">
        <v>5.7</v>
      </c>
      <c r="G101">
        <v>1</v>
      </c>
      <c r="H101" t="str">
        <f t="shared" si="1"/>
        <v>Night Usage</v>
      </c>
      <c r="I101">
        <v>8</v>
      </c>
      <c r="J101" s="3">
        <v>6</v>
      </c>
      <c r="K101">
        <v>8.1999999999999993</v>
      </c>
      <c r="L101" t="s">
        <v>20</v>
      </c>
      <c r="M101">
        <v>2</v>
      </c>
      <c r="N101">
        <v>3</v>
      </c>
      <c r="O101">
        <v>1</v>
      </c>
      <c r="P101">
        <v>1</v>
      </c>
      <c r="Q101">
        <v>1</v>
      </c>
      <c r="R101">
        <v>0</v>
      </c>
      <c r="S101">
        <v>1</v>
      </c>
      <c r="T101" t="str">
        <f>IF(mental_health[Sleep_Hours]&lt;5,"Low",IF(mental_health[Sleep_Hours]&lt;7,"Medium","Good"))</f>
        <v>Good</v>
      </c>
      <c r="U101" t="str">
        <f>IF(mental_health[Stress_Level]&lt;=3,"Low",IF(mental_health[Stress_Level]&lt;=7,"Medium","High"))</f>
        <v>Medium</v>
      </c>
      <c r="V101" t="str">
        <f>IF(mental_health[Daily_Screen_Time]&lt;=4,"Low",IF(mental_health[Daily_Screen_Time]&lt;=8,"Medium","High"))</f>
        <v>Medium</v>
      </c>
    </row>
    <row r="102" spans="1:22" x14ac:dyDescent="0.3">
      <c r="A102">
        <v>101</v>
      </c>
      <c r="B102">
        <v>48</v>
      </c>
      <c r="C102" t="s">
        <v>18</v>
      </c>
      <c r="D102" t="s">
        <v>22</v>
      </c>
      <c r="E102">
        <v>8.6999999999999993</v>
      </c>
      <c r="F102">
        <v>3</v>
      </c>
      <c r="G102">
        <v>0</v>
      </c>
      <c r="H102" t="str">
        <f t="shared" si="1"/>
        <v>No Night Usage</v>
      </c>
      <c r="I102">
        <v>5.7</v>
      </c>
      <c r="J102" s="3">
        <v>8</v>
      </c>
      <c r="K102">
        <v>11.2</v>
      </c>
      <c r="L102" t="s">
        <v>21</v>
      </c>
      <c r="M102">
        <v>8</v>
      </c>
      <c r="N102">
        <v>1</v>
      </c>
      <c r="O102">
        <v>1</v>
      </c>
      <c r="P102">
        <v>0</v>
      </c>
      <c r="Q102">
        <v>1</v>
      </c>
      <c r="R102">
        <v>1</v>
      </c>
      <c r="S102">
        <v>0</v>
      </c>
      <c r="T102" t="str">
        <f>IF(mental_health[Sleep_Hours]&lt;5,"Low",IF(mental_health[Sleep_Hours]&lt;7,"Medium","Good"))</f>
        <v>Medium</v>
      </c>
      <c r="U102" t="str">
        <f>IF(mental_health[Stress_Level]&lt;=3,"Low",IF(mental_health[Stress_Level]&lt;=7,"Medium","High"))</f>
        <v>High</v>
      </c>
      <c r="V102" t="str">
        <f>IF(mental_health[Daily_Screen_Time]&lt;=4,"Low",IF(mental_health[Daily_Screen_Time]&lt;=8,"Medium","High"))</f>
        <v>High</v>
      </c>
    </row>
    <row r="103" spans="1:22" x14ac:dyDescent="0.3">
      <c r="A103">
        <v>102</v>
      </c>
      <c r="B103">
        <v>20</v>
      </c>
      <c r="C103" t="s">
        <v>23</v>
      </c>
      <c r="D103" t="s">
        <v>22</v>
      </c>
      <c r="E103">
        <v>10.1</v>
      </c>
      <c r="F103">
        <v>5.0999999999999996</v>
      </c>
      <c r="G103">
        <v>0</v>
      </c>
      <c r="H103" t="str">
        <f t="shared" si="1"/>
        <v>No Night Usage</v>
      </c>
      <c r="I103">
        <v>6.4</v>
      </c>
      <c r="J103" s="3">
        <v>1</v>
      </c>
      <c r="K103">
        <v>5</v>
      </c>
      <c r="L103" t="s">
        <v>25</v>
      </c>
      <c r="M103">
        <v>6</v>
      </c>
      <c r="N103">
        <v>3</v>
      </c>
      <c r="O103">
        <v>1</v>
      </c>
      <c r="P103">
        <v>1</v>
      </c>
      <c r="Q103">
        <v>0</v>
      </c>
      <c r="R103">
        <v>0</v>
      </c>
      <c r="S103">
        <v>0</v>
      </c>
      <c r="T103" t="str">
        <f>IF(mental_health[Sleep_Hours]&lt;5,"Low",IF(mental_health[Sleep_Hours]&lt;7,"Medium","Good"))</f>
        <v>Medium</v>
      </c>
      <c r="U103" t="str">
        <f>IF(mental_health[Stress_Level]&lt;=3,"Low",IF(mental_health[Stress_Level]&lt;=7,"Medium","High"))</f>
        <v>Low</v>
      </c>
      <c r="V103" t="str">
        <f>IF(mental_health[Daily_Screen_Time]&lt;=4,"Low",IF(mental_health[Daily_Screen_Time]&lt;=8,"Medium","High"))</f>
        <v>High</v>
      </c>
    </row>
    <row r="104" spans="1:22" x14ac:dyDescent="0.3">
      <c r="A104">
        <v>103</v>
      </c>
      <c r="B104">
        <v>57</v>
      </c>
      <c r="C104" t="s">
        <v>23</v>
      </c>
      <c r="D104" t="s">
        <v>22</v>
      </c>
      <c r="E104">
        <v>11.5</v>
      </c>
      <c r="F104">
        <v>1.8</v>
      </c>
      <c r="G104">
        <v>0</v>
      </c>
      <c r="H104" t="str">
        <f t="shared" si="1"/>
        <v>No Night Usage</v>
      </c>
      <c r="I104">
        <v>6.2</v>
      </c>
      <c r="J104" s="3">
        <v>9</v>
      </c>
      <c r="K104">
        <v>8.3000000000000007</v>
      </c>
      <c r="L104" t="s">
        <v>20</v>
      </c>
      <c r="M104">
        <v>6</v>
      </c>
      <c r="N104">
        <v>4</v>
      </c>
      <c r="O104">
        <v>1</v>
      </c>
      <c r="P104">
        <v>0</v>
      </c>
      <c r="Q104">
        <v>0</v>
      </c>
      <c r="R104">
        <v>1</v>
      </c>
      <c r="S104">
        <v>1</v>
      </c>
      <c r="T104" t="str">
        <f>IF(mental_health[Sleep_Hours]&lt;5,"Low",IF(mental_health[Sleep_Hours]&lt;7,"Medium","Good"))</f>
        <v>Medium</v>
      </c>
      <c r="U104" t="str">
        <f>IF(mental_health[Stress_Level]&lt;=3,"Low",IF(mental_health[Stress_Level]&lt;=7,"Medium","High"))</f>
        <v>High</v>
      </c>
      <c r="V104" t="str">
        <f>IF(mental_health[Daily_Screen_Time]&lt;=4,"Low",IF(mental_health[Daily_Screen_Time]&lt;=8,"Medium","High"))</f>
        <v>High</v>
      </c>
    </row>
    <row r="105" spans="1:22" x14ac:dyDescent="0.3">
      <c r="A105">
        <v>104</v>
      </c>
      <c r="B105">
        <v>54</v>
      </c>
      <c r="C105" t="s">
        <v>23</v>
      </c>
      <c r="D105" t="s">
        <v>24</v>
      </c>
      <c r="E105">
        <v>6</v>
      </c>
      <c r="F105">
        <v>7.8</v>
      </c>
      <c r="G105">
        <v>1</v>
      </c>
      <c r="H105" t="str">
        <f t="shared" si="1"/>
        <v>Night Usage</v>
      </c>
      <c r="I105">
        <v>3.2</v>
      </c>
      <c r="J105" s="3">
        <v>1</v>
      </c>
      <c r="K105">
        <v>10.199999999999999</v>
      </c>
      <c r="L105" t="s">
        <v>25</v>
      </c>
      <c r="M105">
        <v>7</v>
      </c>
      <c r="N105">
        <v>2</v>
      </c>
      <c r="O105">
        <v>0</v>
      </c>
      <c r="P105">
        <v>0</v>
      </c>
      <c r="Q105">
        <v>1</v>
      </c>
      <c r="R105">
        <v>1</v>
      </c>
      <c r="S105">
        <v>1</v>
      </c>
      <c r="T105" t="str">
        <f>IF(mental_health[Sleep_Hours]&lt;5,"Low",IF(mental_health[Sleep_Hours]&lt;7,"Medium","Good"))</f>
        <v>Low</v>
      </c>
      <c r="U105" t="str">
        <f>IF(mental_health[Stress_Level]&lt;=3,"Low",IF(mental_health[Stress_Level]&lt;=7,"Medium","High"))</f>
        <v>Low</v>
      </c>
      <c r="V105" t="str">
        <f>IF(mental_health[Daily_Screen_Time]&lt;=4,"Low",IF(mental_health[Daily_Screen_Time]&lt;=8,"Medium","High"))</f>
        <v>Medium</v>
      </c>
    </row>
    <row r="106" spans="1:22" x14ac:dyDescent="0.3">
      <c r="A106">
        <v>105</v>
      </c>
      <c r="B106">
        <v>56</v>
      </c>
      <c r="C106" t="s">
        <v>23</v>
      </c>
      <c r="D106" t="s">
        <v>22</v>
      </c>
      <c r="E106">
        <v>9.8000000000000007</v>
      </c>
      <c r="F106">
        <v>2.2000000000000002</v>
      </c>
      <c r="G106">
        <v>1</v>
      </c>
      <c r="H106" t="str">
        <f t="shared" si="1"/>
        <v>Night Usage</v>
      </c>
      <c r="I106">
        <v>6.7</v>
      </c>
      <c r="J106" s="3">
        <v>10</v>
      </c>
      <c r="K106">
        <v>7.1</v>
      </c>
      <c r="L106" t="s">
        <v>21</v>
      </c>
      <c r="M106">
        <v>5</v>
      </c>
      <c r="N106">
        <v>1</v>
      </c>
      <c r="O106">
        <v>0</v>
      </c>
      <c r="P106">
        <v>0</v>
      </c>
      <c r="Q106">
        <v>0</v>
      </c>
      <c r="R106">
        <v>1</v>
      </c>
      <c r="S106">
        <v>1</v>
      </c>
      <c r="T106" t="str">
        <f>IF(mental_health[Sleep_Hours]&lt;5,"Low",IF(mental_health[Sleep_Hours]&lt;7,"Medium","Good"))</f>
        <v>Medium</v>
      </c>
      <c r="U106" t="str">
        <f>IF(mental_health[Stress_Level]&lt;=3,"Low",IF(mental_health[Stress_Level]&lt;=7,"Medium","High"))</f>
        <v>High</v>
      </c>
      <c r="V106" t="str">
        <f>IF(mental_health[Daily_Screen_Time]&lt;=4,"Low",IF(mental_health[Daily_Screen_Time]&lt;=8,"Medium","High"))</f>
        <v>High</v>
      </c>
    </row>
    <row r="107" spans="1:22" x14ac:dyDescent="0.3">
      <c r="A107">
        <v>106</v>
      </c>
      <c r="B107">
        <v>43</v>
      </c>
      <c r="C107" t="s">
        <v>23</v>
      </c>
      <c r="D107" t="s">
        <v>24</v>
      </c>
      <c r="E107">
        <v>4.7</v>
      </c>
      <c r="F107">
        <v>5.5</v>
      </c>
      <c r="G107">
        <v>1</v>
      </c>
      <c r="H107" t="str">
        <f t="shared" si="1"/>
        <v>Night Usage</v>
      </c>
      <c r="I107">
        <v>8</v>
      </c>
      <c r="J107" s="3">
        <v>2</v>
      </c>
      <c r="K107">
        <v>9.1999999999999993</v>
      </c>
      <c r="L107" t="s">
        <v>20</v>
      </c>
      <c r="M107">
        <v>4</v>
      </c>
      <c r="N107">
        <v>2</v>
      </c>
      <c r="O107">
        <v>0</v>
      </c>
      <c r="P107">
        <v>0</v>
      </c>
      <c r="Q107">
        <v>0</v>
      </c>
      <c r="R107">
        <v>0</v>
      </c>
      <c r="S107">
        <v>0</v>
      </c>
      <c r="T107" t="str">
        <f>IF(mental_health[Sleep_Hours]&lt;5,"Low",IF(mental_health[Sleep_Hours]&lt;7,"Medium","Good"))</f>
        <v>Good</v>
      </c>
      <c r="U107" t="str">
        <f>IF(mental_health[Stress_Level]&lt;=3,"Low",IF(mental_health[Stress_Level]&lt;=7,"Medium","High"))</f>
        <v>Low</v>
      </c>
      <c r="V107" t="str">
        <f>IF(mental_health[Daily_Screen_Time]&lt;=4,"Low",IF(mental_health[Daily_Screen_Time]&lt;=8,"Medium","High"))</f>
        <v>Medium</v>
      </c>
    </row>
    <row r="108" spans="1:22" x14ac:dyDescent="0.3">
      <c r="A108">
        <v>107</v>
      </c>
      <c r="B108">
        <v>22</v>
      </c>
      <c r="C108" t="s">
        <v>23</v>
      </c>
      <c r="D108" t="s">
        <v>24</v>
      </c>
      <c r="E108">
        <v>11.9</v>
      </c>
      <c r="F108">
        <v>2.7</v>
      </c>
      <c r="G108">
        <v>0</v>
      </c>
      <c r="H108" t="str">
        <f t="shared" si="1"/>
        <v>No Night Usage</v>
      </c>
      <c r="I108">
        <v>3.9</v>
      </c>
      <c r="J108" s="3">
        <v>3</v>
      </c>
      <c r="K108">
        <v>5.0999999999999996</v>
      </c>
      <c r="L108" t="s">
        <v>20</v>
      </c>
      <c r="M108">
        <v>6</v>
      </c>
      <c r="N108">
        <v>2</v>
      </c>
      <c r="O108">
        <v>1</v>
      </c>
      <c r="P108">
        <v>1</v>
      </c>
      <c r="Q108">
        <v>1</v>
      </c>
      <c r="R108">
        <v>0</v>
      </c>
      <c r="S108">
        <v>0</v>
      </c>
      <c r="T108" t="str">
        <f>IF(mental_health[Sleep_Hours]&lt;5,"Low",IF(mental_health[Sleep_Hours]&lt;7,"Medium","Good"))</f>
        <v>Low</v>
      </c>
      <c r="U108" t="str">
        <f>IF(mental_health[Stress_Level]&lt;=3,"Low",IF(mental_health[Stress_Level]&lt;=7,"Medium","High"))</f>
        <v>Low</v>
      </c>
      <c r="V108" t="str">
        <f>IF(mental_health[Daily_Screen_Time]&lt;=4,"Low",IF(mental_health[Daily_Screen_Time]&lt;=8,"Medium","High"))</f>
        <v>High</v>
      </c>
    </row>
    <row r="109" spans="1:22" x14ac:dyDescent="0.3">
      <c r="A109">
        <v>108</v>
      </c>
      <c r="B109">
        <v>24</v>
      </c>
      <c r="C109" t="s">
        <v>23</v>
      </c>
      <c r="D109" t="s">
        <v>24</v>
      </c>
      <c r="E109">
        <v>2.2999999999999998</v>
      </c>
      <c r="F109">
        <v>6</v>
      </c>
      <c r="G109">
        <v>0</v>
      </c>
      <c r="H109" t="str">
        <f t="shared" si="1"/>
        <v>No Night Usage</v>
      </c>
      <c r="I109">
        <v>6.6</v>
      </c>
      <c r="J109" s="3">
        <v>7</v>
      </c>
      <c r="K109">
        <v>5.0999999999999996</v>
      </c>
      <c r="L109" t="s">
        <v>21</v>
      </c>
      <c r="M109">
        <v>8</v>
      </c>
      <c r="N109">
        <v>0</v>
      </c>
      <c r="O109">
        <v>0</v>
      </c>
      <c r="P109">
        <v>1</v>
      </c>
      <c r="Q109">
        <v>0</v>
      </c>
      <c r="R109">
        <v>0</v>
      </c>
      <c r="S109">
        <v>1</v>
      </c>
      <c r="T109" t="str">
        <f>IF(mental_health[Sleep_Hours]&lt;5,"Low",IF(mental_health[Sleep_Hours]&lt;7,"Medium","Good"))</f>
        <v>Medium</v>
      </c>
      <c r="U109" t="str">
        <f>IF(mental_health[Stress_Level]&lt;=3,"Low",IF(mental_health[Stress_Level]&lt;=7,"Medium","High"))</f>
        <v>Medium</v>
      </c>
      <c r="V109" t="str">
        <f>IF(mental_health[Daily_Screen_Time]&lt;=4,"Low",IF(mental_health[Daily_Screen_Time]&lt;=8,"Medium","High"))</f>
        <v>Low</v>
      </c>
    </row>
    <row r="110" spans="1:22" x14ac:dyDescent="0.3">
      <c r="A110">
        <v>109</v>
      </c>
      <c r="B110">
        <v>23</v>
      </c>
      <c r="C110" t="s">
        <v>18</v>
      </c>
      <c r="D110" t="s">
        <v>22</v>
      </c>
      <c r="E110">
        <v>8</v>
      </c>
      <c r="F110">
        <v>6.4</v>
      </c>
      <c r="G110">
        <v>0</v>
      </c>
      <c r="H110" t="str">
        <f t="shared" si="1"/>
        <v>No Night Usage</v>
      </c>
      <c r="I110">
        <v>6.6</v>
      </c>
      <c r="J110" s="3">
        <v>9</v>
      </c>
      <c r="K110">
        <v>8.6999999999999993</v>
      </c>
      <c r="L110" t="s">
        <v>20</v>
      </c>
      <c r="M110">
        <v>4</v>
      </c>
      <c r="N110">
        <v>3</v>
      </c>
      <c r="O110">
        <v>1</v>
      </c>
      <c r="P110">
        <v>0</v>
      </c>
      <c r="Q110">
        <v>1</v>
      </c>
      <c r="R110">
        <v>0</v>
      </c>
      <c r="S110">
        <v>0</v>
      </c>
      <c r="T110" t="str">
        <f>IF(mental_health[Sleep_Hours]&lt;5,"Low",IF(mental_health[Sleep_Hours]&lt;7,"Medium","Good"))</f>
        <v>Medium</v>
      </c>
      <c r="U110" t="str">
        <f>IF(mental_health[Stress_Level]&lt;=3,"Low",IF(mental_health[Stress_Level]&lt;=7,"Medium","High"))</f>
        <v>High</v>
      </c>
      <c r="V110" t="str">
        <f>IF(mental_health[Daily_Screen_Time]&lt;=4,"Low",IF(mental_health[Daily_Screen_Time]&lt;=8,"Medium","High"))</f>
        <v>Medium</v>
      </c>
    </row>
    <row r="111" spans="1:22" x14ac:dyDescent="0.3">
      <c r="A111">
        <v>110</v>
      </c>
      <c r="B111">
        <v>27</v>
      </c>
      <c r="C111" t="s">
        <v>18</v>
      </c>
      <c r="D111" t="s">
        <v>19</v>
      </c>
      <c r="E111">
        <v>8.6</v>
      </c>
      <c r="F111">
        <v>5.7</v>
      </c>
      <c r="G111">
        <v>1</v>
      </c>
      <c r="H111" t="str">
        <f t="shared" si="1"/>
        <v>Night Usage</v>
      </c>
      <c r="I111">
        <v>4</v>
      </c>
      <c r="J111" s="3">
        <v>3</v>
      </c>
      <c r="K111">
        <v>9.1</v>
      </c>
      <c r="L111" t="s">
        <v>21</v>
      </c>
      <c r="M111">
        <v>5</v>
      </c>
      <c r="N111">
        <v>2</v>
      </c>
      <c r="O111">
        <v>0</v>
      </c>
      <c r="P111">
        <v>0</v>
      </c>
      <c r="Q111">
        <v>1</v>
      </c>
      <c r="R111">
        <v>1</v>
      </c>
      <c r="S111">
        <v>0</v>
      </c>
      <c r="T111" t="str">
        <f>IF(mental_health[Sleep_Hours]&lt;5,"Low",IF(mental_health[Sleep_Hours]&lt;7,"Medium","Good"))</f>
        <v>Low</v>
      </c>
      <c r="U111" t="str">
        <f>IF(mental_health[Stress_Level]&lt;=3,"Low",IF(mental_health[Stress_Level]&lt;=7,"Medium","High"))</f>
        <v>Low</v>
      </c>
      <c r="V111" t="str">
        <f>IF(mental_health[Daily_Screen_Time]&lt;=4,"Low",IF(mental_health[Daily_Screen_Time]&lt;=8,"Medium","High"))</f>
        <v>High</v>
      </c>
    </row>
    <row r="112" spans="1:22" x14ac:dyDescent="0.3">
      <c r="A112">
        <v>111</v>
      </c>
      <c r="B112">
        <v>49</v>
      </c>
      <c r="C112" t="s">
        <v>23</v>
      </c>
      <c r="D112" t="s">
        <v>19</v>
      </c>
      <c r="E112">
        <v>8.9</v>
      </c>
      <c r="F112">
        <v>5.3</v>
      </c>
      <c r="G112">
        <v>0</v>
      </c>
      <c r="H112" t="str">
        <f t="shared" si="1"/>
        <v>No Night Usage</v>
      </c>
      <c r="I112">
        <v>3.7</v>
      </c>
      <c r="J112" s="3">
        <v>8</v>
      </c>
      <c r="K112">
        <v>11.4</v>
      </c>
      <c r="L112" t="s">
        <v>20</v>
      </c>
      <c r="M112">
        <v>7</v>
      </c>
      <c r="N112">
        <v>4</v>
      </c>
      <c r="O112">
        <v>0</v>
      </c>
      <c r="P112">
        <v>1</v>
      </c>
      <c r="Q112">
        <v>0</v>
      </c>
      <c r="R112">
        <v>0</v>
      </c>
      <c r="S112">
        <v>1</v>
      </c>
      <c r="T112" t="str">
        <f>IF(mental_health[Sleep_Hours]&lt;5,"Low",IF(mental_health[Sleep_Hours]&lt;7,"Medium","Good"))</f>
        <v>Low</v>
      </c>
      <c r="U112" t="str">
        <f>IF(mental_health[Stress_Level]&lt;=3,"Low",IF(mental_health[Stress_Level]&lt;=7,"Medium","High"))</f>
        <v>High</v>
      </c>
      <c r="V112" t="str">
        <f>IF(mental_health[Daily_Screen_Time]&lt;=4,"Low",IF(mental_health[Daily_Screen_Time]&lt;=8,"Medium","High"))</f>
        <v>High</v>
      </c>
    </row>
    <row r="113" spans="1:22" x14ac:dyDescent="0.3">
      <c r="A113">
        <v>112</v>
      </c>
      <c r="B113">
        <v>48</v>
      </c>
      <c r="C113" t="s">
        <v>23</v>
      </c>
      <c r="D113" t="s">
        <v>22</v>
      </c>
      <c r="E113">
        <v>3.2</v>
      </c>
      <c r="F113">
        <v>7.2</v>
      </c>
      <c r="G113">
        <v>0</v>
      </c>
      <c r="H113" t="str">
        <f t="shared" si="1"/>
        <v>No Night Usage</v>
      </c>
      <c r="I113">
        <v>8.9</v>
      </c>
      <c r="J113" s="3">
        <v>9</v>
      </c>
      <c r="K113">
        <v>4.2</v>
      </c>
      <c r="L113" t="s">
        <v>21</v>
      </c>
      <c r="M113">
        <v>6</v>
      </c>
      <c r="N113">
        <v>4</v>
      </c>
      <c r="O113">
        <v>1</v>
      </c>
      <c r="P113">
        <v>1</v>
      </c>
      <c r="Q113">
        <v>0</v>
      </c>
      <c r="R113">
        <v>1</v>
      </c>
      <c r="S113">
        <v>0</v>
      </c>
      <c r="T113" t="str">
        <f>IF(mental_health[Sleep_Hours]&lt;5,"Low",IF(mental_health[Sleep_Hours]&lt;7,"Medium","Good"))</f>
        <v>Good</v>
      </c>
      <c r="U113" t="str">
        <f>IF(mental_health[Stress_Level]&lt;=3,"Low",IF(mental_health[Stress_Level]&lt;=7,"Medium","High"))</f>
        <v>High</v>
      </c>
      <c r="V113" t="str">
        <f>IF(mental_health[Daily_Screen_Time]&lt;=4,"Low",IF(mental_health[Daily_Screen_Time]&lt;=8,"Medium","High"))</f>
        <v>Low</v>
      </c>
    </row>
    <row r="114" spans="1:22" x14ac:dyDescent="0.3">
      <c r="A114">
        <v>113</v>
      </c>
      <c r="B114">
        <v>38</v>
      </c>
      <c r="C114" t="s">
        <v>18</v>
      </c>
      <c r="D114" t="s">
        <v>19</v>
      </c>
      <c r="E114">
        <v>11.4</v>
      </c>
      <c r="F114">
        <v>1.6</v>
      </c>
      <c r="G114">
        <v>1</v>
      </c>
      <c r="H114" t="str">
        <f t="shared" si="1"/>
        <v>Night Usage</v>
      </c>
      <c r="I114">
        <v>5.4</v>
      </c>
      <c r="J114" s="3">
        <v>10</v>
      </c>
      <c r="K114">
        <v>6.7</v>
      </c>
      <c r="L114" t="s">
        <v>25</v>
      </c>
      <c r="M114">
        <v>4</v>
      </c>
      <c r="N114">
        <v>3</v>
      </c>
      <c r="O114">
        <v>1</v>
      </c>
      <c r="P114">
        <v>1</v>
      </c>
      <c r="Q114">
        <v>1</v>
      </c>
      <c r="R114">
        <v>1</v>
      </c>
      <c r="S114">
        <v>1</v>
      </c>
      <c r="T114" t="str">
        <f>IF(mental_health[Sleep_Hours]&lt;5,"Low",IF(mental_health[Sleep_Hours]&lt;7,"Medium","Good"))</f>
        <v>Medium</v>
      </c>
      <c r="U114" t="str">
        <f>IF(mental_health[Stress_Level]&lt;=3,"Low",IF(mental_health[Stress_Level]&lt;=7,"Medium","High"))</f>
        <v>High</v>
      </c>
      <c r="V114" t="str">
        <f>IF(mental_health[Daily_Screen_Time]&lt;=4,"Low",IF(mental_health[Daily_Screen_Time]&lt;=8,"Medium","High"))</f>
        <v>High</v>
      </c>
    </row>
    <row r="115" spans="1:22" x14ac:dyDescent="0.3">
      <c r="A115">
        <v>114</v>
      </c>
      <c r="B115">
        <v>39</v>
      </c>
      <c r="C115" t="s">
        <v>23</v>
      </c>
      <c r="D115" t="s">
        <v>19</v>
      </c>
      <c r="E115">
        <v>3.8</v>
      </c>
      <c r="F115">
        <v>3.3</v>
      </c>
      <c r="G115">
        <v>0</v>
      </c>
      <c r="H115" t="str">
        <f t="shared" si="1"/>
        <v>No Night Usage</v>
      </c>
      <c r="I115">
        <v>4.4000000000000004</v>
      </c>
      <c r="J115" s="3">
        <v>7</v>
      </c>
      <c r="K115">
        <v>4.5</v>
      </c>
      <c r="L115" t="s">
        <v>25</v>
      </c>
      <c r="M115">
        <v>4</v>
      </c>
      <c r="N115">
        <v>3</v>
      </c>
      <c r="O115">
        <v>1</v>
      </c>
      <c r="P115">
        <v>0</v>
      </c>
      <c r="Q115">
        <v>0</v>
      </c>
      <c r="R115">
        <v>1</v>
      </c>
      <c r="S115">
        <v>0</v>
      </c>
      <c r="T115" t="str">
        <f>IF(mental_health[Sleep_Hours]&lt;5,"Low",IF(mental_health[Sleep_Hours]&lt;7,"Medium","Good"))</f>
        <v>Low</v>
      </c>
      <c r="U115" t="str">
        <f>IF(mental_health[Stress_Level]&lt;=3,"Low",IF(mental_health[Stress_Level]&lt;=7,"Medium","High"))</f>
        <v>Medium</v>
      </c>
      <c r="V115" t="str">
        <f>IF(mental_health[Daily_Screen_Time]&lt;=4,"Low",IF(mental_health[Daily_Screen_Time]&lt;=8,"Medium","High"))</f>
        <v>Low</v>
      </c>
    </row>
    <row r="116" spans="1:22" x14ac:dyDescent="0.3">
      <c r="A116">
        <v>115</v>
      </c>
      <c r="B116">
        <v>52</v>
      </c>
      <c r="C116" t="s">
        <v>18</v>
      </c>
      <c r="D116" t="s">
        <v>24</v>
      </c>
      <c r="E116">
        <v>8.1999999999999993</v>
      </c>
      <c r="F116">
        <v>2.7</v>
      </c>
      <c r="G116">
        <v>1</v>
      </c>
      <c r="H116" t="str">
        <f t="shared" si="1"/>
        <v>Night Usage</v>
      </c>
      <c r="I116">
        <v>4</v>
      </c>
      <c r="J116" s="3">
        <v>4</v>
      </c>
      <c r="K116">
        <v>2.8</v>
      </c>
      <c r="L116" t="s">
        <v>25</v>
      </c>
      <c r="M116">
        <v>10</v>
      </c>
      <c r="N116">
        <v>1</v>
      </c>
      <c r="O116">
        <v>0</v>
      </c>
      <c r="P116">
        <v>1</v>
      </c>
      <c r="Q116">
        <v>1</v>
      </c>
      <c r="R116">
        <v>0</v>
      </c>
      <c r="S116">
        <v>1</v>
      </c>
      <c r="T116" t="str">
        <f>IF(mental_health[Sleep_Hours]&lt;5,"Low",IF(mental_health[Sleep_Hours]&lt;7,"Medium","Good"))</f>
        <v>Low</v>
      </c>
      <c r="U116" t="str">
        <f>IF(mental_health[Stress_Level]&lt;=3,"Low",IF(mental_health[Stress_Level]&lt;=7,"Medium","High"))</f>
        <v>Medium</v>
      </c>
      <c r="V116" t="str">
        <f>IF(mental_health[Daily_Screen_Time]&lt;=4,"Low",IF(mental_health[Daily_Screen_Time]&lt;=8,"Medium","High"))</f>
        <v>High</v>
      </c>
    </row>
    <row r="117" spans="1:22" x14ac:dyDescent="0.3">
      <c r="A117">
        <v>116</v>
      </c>
      <c r="B117">
        <v>50</v>
      </c>
      <c r="C117" t="s">
        <v>18</v>
      </c>
      <c r="D117" t="s">
        <v>24</v>
      </c>
      <c r="E117">
        <v>4.2</v>
      </c>
      <c r="F117">
        <v>7.9</v>
      </c>
      <c r="G117">
        <v>0</v>
      </c>
      <c r="H117" t="str">
        <f t="shared" si="1"/>
        <v>No Night Usage</v>
      </c>
      <c r="I117">
        <v>7</v>
      </c>
      <c r="J117" s="3">
        <v>4</v>
      </c>
      <c r="K117">
        <v>6</v>
      </c>
      <c r="L117" t="s">
        <v>20</v>
      </c>
      <c r="M117">
        <v>4</v>
      </c>
      <c r="N117">
        <v>1</v>
      </c>
      <c r="O117">
        <v>0</v>
      </c>
      <c r="P117">
        <v>0</v>
      </c>
      <c r="Q117">
        <v>1</v>
      </c>
      <c r="R117">
        <v>1</v>
      </c>
      <c r="S117">
        <v>0</v>
      </c>
      <c r="T117" t="str">
        <f>IF(mental_health[Sleep_Hours]&lt;5,"Low",IF(mental_health[Sleep_Hours]&lt;7,"Medium","Good"))</f>
        <v>Good</v>
      </c>
      <c r="U117" t="str">
        <f>IF(mental_health[Stress_Level]&lt;=3,"Low",IF(mental_health[Stress_Level]&lt;=7,"Medium","High"))</f>
        <v>Medium</v>
      </c>
      <c r="V117" t="str">
        <f>IF(mental_health[Daily_Screen_Time]&lt;=4,"Low",IF(mental_health[Daily_Screen_Time]&lt;=8,"Medium","High"))</f>
        <v>Medium</v>
      </c>
    </row>
    <row r="118" spans="1:22" x14ac:dyDescent="0.3">
      <c r="A118">
        <v>117</v>
      </c>
      <c r="B118">
        <v>59</v>
      </c>
      <c r="C118" t="s">
        <v>18</v>
      </c>
      <c r="D118" t="s">
        <v>22</v>
      </c>
      <c r="E118">
        <v>5.0999999999999996</v>
      </c>
      <c r="F118">
        <v>3.7</v>
      </c>
      <c r="G118">
        <v>1</v>
      </c>
      <c r="H118" t="str">
        <f t="shared" si="1"/>
        <v>Night Usage</v>
      </c>
      <c r="I118">
        <v>6.7</v>
      </c>
      <c r="J118" s="3">
        <v>4</v>
      </c>
      <c r="K118">
        <v>5.7</v>
      </c>
      <c r="L118" t="s">
        <v>21</v>
      </c>
      <c r="M118">
        <v>1</v>
      </c>
      <c r="N118">
        <v>1</v>
      </c>
      <c r="O118">
        <v>0</v>
      </c>
      <c r="P118">
        <v>0</v>
      </c>
      <c r="Q118">
        <v>0</v>
      </c>
      <c r="R118">
        <v>1</v>
      </c>
      <c r="S118">
        <v>0</v>
      </c>
      <c r="T118" t="str">
        <f>IF(mental_health[Sleep_Hours]&lt;5,"Low",IF(mental_health[Sleep_Hours]&lt;7,"Medium","Good"))</f>
        <v>Medium</v>
      </c>
      <c r="U118" t="str">
        <f>IF(mental_health[Stress_Level]&lt;=3,"Low",IF(mental_health[Stress_Level]&lt;=7,"Medium","High"))</f>
        <v>Medium</v>
      </c>
      <c r="V118" t="str">
        <f>IF(mental_health[Daily_Screen_Time]&lt;=4,"Low",IF(mental_health[Daily_Screen_Time]&lt;=8,"Medium","High"))</f>
        <v>Medium</v>
      </c>
    </row>
    <row r="119" spans="1:22" x14ac:dyDescent="0.3">
      <c r="A119">
        <v>118</v>
      </c>
      <c r="B119">
        <v>55</v>
      </c>
      <c r="C119" t="s">
        <v>23</v>
      </c>
      <c r="D119" t="s">
        <v>22</v>
      </c>
      <c r="E119">
        <v>7.5</v>
      </c>
      <c r="F119">
        <v>6.1</v>
      </c>
      <c r="G119">
        <v>1</v>
      </c>
      <c r="H119" t="str">
        <f t="shared" si="1"/>
        <v>Night Usage</v>
      </c>
      <c r="I119">
        <v>6.9</v>
      </c>
      <c r="J119" s="3">
        <v>6</v>
      </c>
      <c r="K119">
        <v>4.7</v>
      </c>
      <c r="L119" t="s">
        <v>21</v>
      </c>
      <c r="M119">
        <v>5</v>
      </c>
      <c r="N119">
        <v>3</v>
      </c>
      <c r="O119">
        <v>0</v>
      </c>
      <c r="P119">
        <v>1</v>
      </c>
      <c r="Q119">
        <v>0</v>
      </c>
      <c r="R119">
        <v>1</v>
      </c>
      <c r="S119">
        <v>1</v>
      </c>
      <c r="T119" t="str">
        <f>IF(mental_health[Sleep_Hours]&lt;5,"Low",IF(mental_health[Sleep_Hours]&lt;7,"Medium","Good"))</f>
        <v>Medium</v>
      </c>
      <c r="U119" t="str">
        <f>IF(mental_health[Stress_Level]&lt;=3,"Low",IF(mental_health[Stress_Level]&lt;=7,"Medium","High"))</f>
        <v>Medium</v>
      </c>
      <c r="V119" t="str">
        <f>IF(mental_health[Daily_Screen_Time]&lt;=4,"Low",IF(mental_health[Daily_Screen_Time]&lt;=8,"Medium","High"))</f>
        <v>Medium</v>
      </c>
    </row>
    <row r="120" spans="1:22" x14ac:dyDescent="0.3">
      <c r="A120">
        <v>119</v>
      </c>
      <c r="B120">
        <v>37</v>
      </c>
      <c r="C120" t="s">
        <v>23</v>
      </c>
      <c r="D120" t="s">
        <v>19</v>
      </c>
      <c r="E120">
        <v>6.2</v>
      </c>
      <c r="F120">
        <v>5.8</v>
      </c>
      <c r="G120">
        <v>1</v>
      </c>
      <c r="H120" t="str">
        <f t="shared" si="1"/>
        <v>Night Usage</v>
      </c>
      <c r="I120">
        <v>3.5</v>
      </c>
      <c r="J120" s="3">
        <v>4</v>
      </c>
      <c r="K120">
        <v>5</v>
      </c>
      <c r="L120" t="s">
        <v>25</v>
      </c>
      <c r="M120">
        <v>8</v>
      </c>
      <c r="N120">
        <v>2</v>
      </c>
      <c r="O120">
        <v>1</v>
      </c>
      <c r="P120">
        <v>0</v>
      </c>
      <c r="Q120">
        <v>1</v>
      </c>
      <c r="R120">
        <v>1</v>
      </c>
      <c r="S120">
        <v>1</v>
      </c>
      <c r="T120" t="str">
        <f>IF(mental_health[Sleep_Hours]&lt;5,"Low",IF(mental_health[Sleep_Hours]&lt;7,"Medium","Good"))</f>
        <v>Low</v>
      </c>
      <c r="U120" t="str">
        <f>IF(mental_health[Stress_Level]&lt;=3,"Low",IF(mental_health[Stress_Level]&lt;=7,"Medium","High"))</f>
        <v>Medium</v>
      </c>
      <c r="V120" t="str">
        <f>IF(mental_health[Daily_Screen_Time]&lt;=4,"Low",IF(mental_health[Daily_Screen_Time]&lt;=8,"Medium","High"))</f>
        <v>Medium</v>
      </c>
    </row>
    <row r="121" spans="1:22" x14ac:dyDescent="0.3">
      <c r="A121">
        <v>120</v>
      </c>
      <c r="B121">
        <v>42</v>
      </c>
      <c r="C121" t="s">
        <v>18</v>
      </c>
      <c r="D121" t="s">
        <v>24</v>
      </c>
      <c r="E121">
        <v>3.6</v>
      </c>
      <c r="F121">
        <v>2.5</v>
      </c>
      <c r="G121">
        <v>1</v>
      </c>
      <c r="H121" t="str">
        <f t="shared" si="1"/>
        <v>Night Usage</v>
      </c>
      <c r="I121">
        <v>8.4</v>
      </c>
      <c r="J121" s="3">
        <v>5</v>
      </c>
      <c r="K121">
        <v>5.6</v>
      </c>
      <c r="L121" t="s">
        <v>25</v>
      </c>
      <c r="M121">
        <v>7</v>
      </c>
      <c r="N121">
        <v>0</v>
      </c>
      <c r="O121">
        <v>0</v>
      </c>
      <c r="P121">
        <v>0</v>
      </c>
      <c r="Q121">
        <v>0</v>
      </c>
      <c r="R121">
        <v>0</v>
      </c>
      <c r="S121">
        <v>1</v>
      </c>
      <c r="T121" t="str">
        <f>IF(mental_health[Sleep_Hours]&lt;5,"Low",IF(mental_health[Sleep_Hours]&lt;7,"Medium","Good"))</f>
        <v>Good</v>
      </c>
      <c r="U121" t="str">
        <f>IF(mental_health[Stress_Level]&lt;=3,"Low",IF(mental_health[Stress_Level]&lt;=7,"Medium","High"))</f>
        <v>Medium</v>
      </c>
      <c r="V121" t="str">
        <f>IF(mental_health[Daily_Screen_Time]&lt;=4,"Low",IF(mental_health[Daily_Screen_Time]&lt;=8,"Medium","High"))</f>
        <v>Low</v>
      </c>
    </row>
    <row r="122" spans="1:22" x14ac:dyDescent="0.3">
      <c r="A122">
        <v>121</v>
      </c>
      <c r="B122">
        <v>50</v>
      </c>
      <c r="C122" t="s">
        <v>18</v>
      </c>
      <c r="D122" t="s">
        <v>22</v>
      </c>
      <c r="E122">
        <v>3.7</v>
      </c>
      <c r="F122">
        <v>2.7</v>
      </c>
      <c r="G122">
        <v>1</v>
      </c>
      <c r="H122" t="str">
        <f t="shared" si="1"/>
        <v>Night Usage</v>
      </c>
      <c r="I122">
        <v>5.3</v>
      </c>
      <c r="J122" s="3">
        <v>9</v>
      </c>
      <c r="K122">
        <v>11.9</v>
      </c>
      <c r="L122" t="s">
        <v>25</v>
      </c>
      <c r="M122">
        <v>5</v>
      </c>
      <c r="N122">
        <v>1</v>
      </c>
      <c r="O122">
        <v>1</v>
      </c>
      <c r="P122">
        <v>1</v>
      </c>
      <c r="Q122">
        <v>0</v>
      </c>
      <c r="R122">
        <v>0</v>
      </c>
      <c r="S122">
        <v>1</v>
      </c>
      <c r="T122" t="str">
        <f>IF(mental_health[Sleep_Hours]&lt;5,"Low",IF(mental_health[Sleep_Hours]&lt;7,"Medium","Good"))</f>
        <v>Medium</v>
      </c>
      <c r="U122" t="str">
        <f>IF(mental_health[Stress_Level]&lt;=3,"Low",IF(mental_health[Stress_Level]&lt;=7,"Medium","High"))</f>
        <v>High</v>
      </c>
      <c r="V122" t="str">
        <f>IF(mental_health[Daily_Screen_Time]&lt;=4,"Low",IF(mental_health[Daily_Screen_Time]&lt;=8,"Medium","High"))</f>
        <v>Low</v>
      </c>
    </row>
    <row r="123" spans="1:22" x14ac:dyDescent="0.3">
      <c r="A123">
        <v>122</v>
      </c>
      <c r="B123">
        <v>16</v>
      </c>
      <c r="C123" t="s">
        <v>18</v>
      </c>
      <c r="D123" t="s">
        <v>22</v>
      </c>
      <c r="E123">
        <v>6.2</v>
      </c>
      <c r="F123">
        <v>3</v>
      </c>
      <c r="G123">
        <v>0</v>
      </c>
      <c r="H123" t="str">
        <f t="shared" si="1"/>
        <v>No Night Usage</v>
      </c>
      <c r="I123">
        <v>4.9000000000000004</v>
      </c>
      <c r="J123" s="3">
        <v>7</v>
      </c>
      <c r="K123">
        <v>9.8000000000000007</v>
      </c>
      <c r="L123" t="s">
        <v>21</v>
      </c>
      <c r="M123">
        <v>3</v>
      </c>
      <c r="N123">
        <v>0</v>
      </c>
      <c r="O123">
        <v>0</v>
      </c>
      <c r="P123">
        <v>0</v>
      </c>
      <c r="Q123">
        <v>1</v>
      </c>
      <c r="R123">
        <v>0</v>
      </c>
      <c r="S123">
        <v>0</v>
      </c>
      <c r="T123" t="str">
        <f>IF(mental_health[Sleep_Hours]&lt;5,"Low",IF(mental_health[Sleep_Hours]&lt;7,"Medium","Good"))</f>
        <v>Low</v>
      </c>
      <c r="U123" t="str">
        <f>IF(mental_health[Stress_Level]&lt;=3,"Low",IF(mental_health[Stress_Level]&lt;=7,"Medium","High"))</f>
        <v>Medium</v>
      </c>
      <c r="V123" t="str">
        <f>IF(mental_health[Daily_Screen_Time]&lt;=4,"Low",IF(mental_health[Daily_Screen_Time]&lt;=8,"Medium","High"))</f>
        <v>Medium</v>
      </c>
    </row>
    <row r="124" spans="1:22" x14ac:dyDescent="0.3">
      <c r="A124">
        <v>123</v>
      </c>
      <c r="B124">
        <v>50</v>
      </c>
      <c r="C124" t="s">
        <v>18</v>
      </c>
      <c r="D124" t="s">
        <v>22</v>
      </c>
      <c r="E124">
        <v>9.6</v>
      </c>
      <c r="F124">
        <v>3.9</v>
      </c>
      <c r="G124">
        <v>1</v>
      </c>
      <c r="H124" t="str">
        <f t="shared" si="1"/>
        <v>Night Usage</v>
      </c>
      <c r="I124">
        <v>5.8</v>
      </c>
      <c r="J124" s="3">
        <v>8</v>
      </c>
      <c r="K124">
        <v>2.7</v>
      </c>
      <c r="L124" t="s">
        <v>25</v>
      </c>
      <c r="M124">
        <v>1</v>
      </c>
      <c r="N124">
        <v>4</v>
      </c>
      <c r="O124">
        <v>1</v>
      </c>
      <c r="P124">
        <v>1</v>
      </c>
      <c r="Q124">
        <v>1</v>
      </c>
      <c r="R124">
        <v>1</v>
      </c>
      <c r="S124">
        <v>1</v>
      </c>
      <c r="T124" t="str">
        <f>IF(mental_health[Sleep_Hours]&lt;5,"Low",IF(mental_health[Sleep_Hours]&lt;7,"Medium","Good"))</f>
        <v>Medium</v>
      </c>
      <c r="U124" t="str">
        <f>IF(mental_health[Stress_Level]&lt;=3,"Low",IF(mental_health[Stress_Level]&lt;=7,"Medium","High"))</f>
        <v>High</v>
      </c>
      <c r="V124" t="str">
        <f>IF(mental_health[Daily_Screen_Time]&lt;=4,"Low",IF(mental_health[Daily_Screen_Time]&lt;=8,"Medium","High"))</f>
        <v>High</v>
      </c>
    </row>
    <row r="125" spans="1:22" x14ac:dyDescent="0.3">
      <c r="A125">
        <v>124</v>
      </c>
      <c r="B125">
        <v>52</v>
      </c>
      <c r="C125" t="s">
        <v>18</v>
      </c>
      <c r="D125" t="s">
        <v>22</v>
      </c>
      <c r="E125">
        <v>11</v>
      </c>
      <c r="F125">
        <v>2.6</v>
      </c>
      <c r="G125">
        <v>1</v>
      </c>
      <c r="H125" t="str">
        <f t="shared" si="1"/>
        <v>Night Usage</v>
      </c>
      <c r="I125">
        <v>5.3</v>
      </c>
      <c r="J125" s="3">
        <v>5</v>
      </c>
      <c r="K125">
        <v>10.7</v>
      </c>
      <c r="L125" t="s">
        <v>20</v>
      </c>
      <c r="M125">
        <v>7</v>
      </c>
      <c r="N125">
        <v>3</v>
      </c>
      <c r="O125">
        <v>1</v>
      </c>
      <c r="P125">
        <v>1</v>
      </c>
      <c r="Q125">
        <v>0</v>
      </c>
      <c r="R125">
        <v>0</v>
      </c>
      <c r="S125">
        <v>1</v>
      </c>
      <c r="T125" t="str">
        <f>IF(mental_health[Sleep_Hours]&lt;5,"Low",IF(mental_health[Sleep_Hours]&lt;7,"Medium","Good"))</f>
        <v>Medium</v>
      </c>
      <c r="U125" t="str">
        <f>IF(mental_health[Stress_Level]&lt;=3,"Low",IF(mental_health[Stress_Level]&lt;=7,"Medium","High"))</f>
        <v>Medium</v>
      </c>
      <c r="V125" t="str">
        <f>IF(mental_health[Daily_Screen_Time]&lt;=4,"Low",IF(mental_health[Daily_Screen_Time]&lt;=8,"Medium","High"))</f>
        <v>High</v>
      </c>
    </row>
    <row r="126" spans="1:22" x14ac:dyDescent="0.3">
      <c r="A126">
        <v>125</v>
      </c>
      <c r="B126">
        <v>29</v>
      </c>
      <c r="C126" t="s">
        <v>23</v>
      </c>
      <c r="D126" t="s">
        <v>22</v>
      </c>
      <c r="E126">
        <v>2.8</v>
      </c>
      <c r="F126">
        <v>1.1000000000000001</v>
      </c>
      <c r="G126">
        <v>1</v>
      </c>
      <c r="H126" t="str">
        <f t="shared" si="1"/>
        <v>Night Usage</v>
      </c>
      <c r="I126">
        <v>8.1999999999999993</v>
      </c>
      <c r="J126" s="3">
        <v>5</v>
      </c>
      <c r="K126">
        <v>8.3000000000000007</v>
      </c>
      <c r="L126" t="s">
        <v>25</v>
      </c>
      <c r="M126">
        <v>3</v>
      </c>
      <c r="N126">
        <v>4</v>
      </c>
      <c r="O126">
        <v>0</v>
      </c>
      <c r="P126">
        <v>1</v>
      </c>
      <c r="Q126">
        <v>0</v>
      </c>
      <c r="R126">
        <v>0</v>
      </c>
      <c r="S126">
        <v>0</v>
      </c>
      <c r="T126" t="str">
        <f>IF(mental_health[Sleep_Hours]&lt;5,"Low",IF(mental_health[Sleep_Hours]&lt;7,"Medium","Good"))</f>
        <v>Good</v>
      </c>
      <c r="U126" t="str">
        <f>IF(mental_health[Stress_Level]&lt;=3,"Low",IF(mental_health[Stress_Level]&lt;=7,"Medium","High"))</f>
        <v>Medium</v>
      </c>
      <c r="V126" t="str">
        <f>IF(mental_health[Daily_Screen_Time]&lt;=4,"Low",IF(mental_health[Daily_Screen_Time]&lt;=8,"Medium","High"))</f>
        <v>Low</v>
      </c>
    </row>
    <row r="127" spans="1:22" x14ac:dyDescent="0.3">
      <c r="A127">
        <v>126</v>
      </c>
      <c r="B127">
        <v>18</v>
      </c>
      <c r="C127" t="s">
        <v>18</v>
      </c>
      <c r="D127" t="s">
        <v>22</v>
      </c>
      <c r="E127">
        <v>5.9</v>
      </c>
      <c r="F127">
        <v>7.2</v>
      </c>
      <c r="G127">
        <v>1</v>
      </c>
      <c r="H127" t="str">
        <f t="shared" si="1"/>
        <v>Night Usage</v>
      </c>
      <c r="I127">
        <v>8.6</v>
      </c>
      <c r="J127" s="3">
        <v>7</v>
      </c>
      <c r="K127">
        <v>10.9</v>
      </c>
      <c r="L127" t="s">
        <v>25</v>
      </c>
      <c r="M127">
        <v>4</v>
      </c>
      <c r="N127">
        <v>1</v>
      </c>
      <c r="O127">
        <v>0</v>
      </c>
      <c r="P127">
        <v>0</v>
      </c>
      <c r="Q127">
        <v>0</v>
      </c>
      <c r="R127">
        <v>0</v>
      </c>
      <c r="S127">
        <v>1</v>
      </c>
      <c r="T127" t="str">
        <f>IF(mental_health[Sleep_Hours]&lt;5,"Low",IF(mental_health[Sleep_Hours]&lt;7,"Medium","Good"))</f>
        <v>Good</v>
      </c>
      <c r="U127" t="str">
        <f>IF(mental_health[Stress_Level]&lt;=3,"Low",IF(mental_health[Stress_Level]&lt;=7,"Medium","High"))</f>
        <v>Medium</v>
      </c>
      <c r="V127" t="str">
        <f>IF(mental_health[Daily_Screen_Time]&lt;=4,"Low",IF(mental_health[Daily_Screen_Time]&lt;=8,"Medium","High"))</f>
        <v>Medium</v>
      </c>
    </row>
    <row r="128" spans="1:22" x14ac:dyDescent="0.3">
      <c r="A128">
        <v>127</v>
      </c>
      <c r="B128">
        <v>16</v>
      </c>
      <c r="C128" t="s">
        <v>23</v>
      </c>
      <c r="D128" t="s">
        <v>19</v>
      </c>
      <c r="E128">
        <v>3</v>
      </c>
      <c r="F128">
        <v>7.8</v>
      </c>
      <c r="G128">
        <v>0</v>
      </c>
      <c r="H128" t="str">
        <f t="shared" si="1"/>
        <v>No Night Usage</v>
      </c>
      <c r="I128">
        <v>4.8</v>
      </c>
      <c r="J128" s="3">
        <v>8</v>
      </c>
      <c r="K128">
        <v>5.4</v>
      </c>
      <c r="L128" t="s">
        <v>21</v>
      </c>
      <c r="M128">
        <v>5</v>
      </c>
      <c r="N128">
        <v>2</v>
      </c>
      <c r="O128">
        <v>1</v>
      </c>
      <c r="P128">
        <v>1</v>
      </c>
      <c r="Q128">
        <v>0</v>
      </c>
      <c r="R128">
        <v>1</v>
      </c>
      <c r="S128">
        <v>0</v>
      </c>
      <c r="T128" t="str">
        <f>IF(mental_health[Sleep_Hours]&lt;5,"Low",IF(mental_health[Sleep_Hours]&lt;7,"Medium","Good"))</f>
        <v>Low</v>
      </c>
      <c r="U128" t="str">
        <f>IF(mental_health[Stress_Level]&lt;=3,"Low",IF(mental_health[Stress_Level]&lt;=7,"Medium","High"))</f>
        <v>High</v>
      </c>
      <c r="V128" t="str">
        <f>IF(mental_health[Daily_Screen_Time]&lt;=4,"Low",IF(mental_health[Daily_Screen_Time]&lt;=8,"Medium","High"))</f>
        <v>Low</v>
      </c>
    </row>
    <row r="129" spans="1:22" x14ac:dyDescent="0.3">
      <c r="A129">
        <v>128</v>
      </c>
      <c r="B129">
        <v>20</v>
      </c>
      <c r="C129" t="s">
        <v>18</v>
      </c>
      <c r="D129" t="s">
        <v>24</v>
      </c>
      <c r="E129">
        <v>2.2000000000000002</v>
      </c>
      <c r="F129">
        <v>3.4</v>
      </c>
      <c r="G129">
        <v>1</v>
      </c>
      <c r="H129" t="str">
        <f t="shared" si="1"/>
        <v>Night Usage</v>
      </c>
      <c r="I129">
        <v>8.1999999999999993</v>
      </c>
      <c r="J129" s="3">
        <v>9</v>
      </c>
      <c r="K129">
        <v>6.6</v>
      </c>
      <c r="L129" t="s">
        <v>20</v>
      </c>
      <c r="M129">
        <v>8</v>
      </c>
      <c r="N129">
        <v>1</v>
      </c>
      <c r="O129">
        <v>0</v>
      </c>
      <c r="P129">
        <v>1</v>
      </c>
      <c r="Q129">
        <v>1</v>
      </c>
      <c r="R129">
        <v>1</v>
      </c>
      <c r="S129">
        <v>1</v>
      </c>
      <c r="T129" t="str">
        <f>IF(mental_health[Sleep_Hours]&lt;5,"Low",IF(mental_health[Sleep_Hours]&lt;7,"Medium","Good"))</f>
        <v>Good</v>
      </c>
      <c r="U129" t="str">
        <f>IF(mental_health[Stress_Level]&lt;=3,"Low",IF(mental_health[Stress_Level]&lt;=7,"Medium","High"))</f>
        <v>High</v>
      </c>
      <c r="V129" t="str">
        <f>IF(mental_health[Daily_Screen_Time]&lt;=4,"Low",IF(mental_health[Daily_Screen_Time]&lt;=8,"Medium","High"))</f>
        <v>Low</v>
      </c>
    </row>
    <row r="130" spans="1:22" x14ac:dyDescent="0.3">
      <c r="A130">
        <v>129</v>
      </c>
      <c r="B130">
        <v>41</v>
      </c>
      <c r="C130" t="s">
        <v>23</v>
      </c>
      <c r="D130" t="s">
        <v>24</v>
      </c>
      <c r="E130">
        <v>8.6</v>
      </c>
      <c r="F130">
        <v>3.4</v>
      </c>
      <c r="G130">
        <v>0</v>
      </c>
      <c r="H130" t="str">
        <f t="shared" ref="H130:H193" si="2">IF(G130=1,"Night Usage","No Night Usage")</f>
        <v>No Night Usage</v>
      </c>
      <c r="I130">
        <v>7.7</v>
      </c>
      <c r="J130" s="3">
        <v>2</v>
      </c>
      <c r="K130">
        <v>11</v>
      </c>
      <c r="L130" t="s">
        <v>21</v>
      </c>
      <c r="M130">
        <v>7</v>
      </c>
      <c r="N130">
        <v>0</v>
      </c>
      <c r="O130">
        <v>1</v>
      </c>
      <c r="P130">
        <v>0</v>
      </c>
      <c r="Q130">
        <v>0</v>
      </c>
      <c r="R130">
        <v>0</v>
      </c>
      <c r="S130">
        <v>1</v>
      </c>
      <c r="T130" t="str">
        <f>IF(mental_health[Sleep_Hours]&lt;5,"Low",IF(mental_health[Sleep_Hours]&lt;7,"Medium","Good"))</f>
        <v>Good</v>
      </c>
      <c r="U130" t="str">
        <f>IF(mental_health[Stress_Level]&lt;=3,"Low",IF(mental_health[Stress_Level]&lt;=7,"Medium","High"))</f>
        <v>Low</v>
      </c>
      <c r="V130" t="str">
        <f>IF(mental_health[Daily_Screen_Time]&lt;=4,"Low",IF(mental_health[Daily_Screen_Time]&lt;=8,"Medium","High"))</f>
        <v>High</v>
      </c>
    </row>
    <row r="131" spans="1:22" x14ac:dyDescent="0.3">
      <c r="A131">
        <v>130</v>
      </c>
      <c r="B131">
        <v>29</v>
      </c>
      <c r="C131" t="s">
        <v>23</v>
      </c>
      <c r="D131" t="s">
        <v>22</v>
      </c>
      <c r="E131">
        <v>8</v>
      </c>
      <c r="F131">
        <v>1</v>
      </c>
      <c r="G131">
        <v>1</v>
      </c>
      <c r="H131" t="str">
        <f t="shared" si="2"/>
        <v>Night Usage</v>
      </c>
      <c r="I131">
        <v>8.6</v>
      </c>
      <c r="J131" s="3">
        <v>3</v>
      </c>
      <c r="K131">
        <v>4.7</v>
      </c>
      <c r="L131" t="s">
        <v>20</v>
      </c>
      <c r="M131">
        <v>9</v>
      </c>
      <c r="N131">
        <v>1</v>
      </c>
      <c r="O131">
        <v>0</v>
      </c>
      <c r="P131">
        <v>0</v>
      </c>
      <c r="Q131">
        <v>1</v>
      </c>
      <c r="R131">
        <v>1</v>
      </c>
      <c r="S131">
        <v>1</v>
      </c>
      <c r="T131" t="str">
        <f>IF(mental_health[Sleep_Hours]&lt;5,"Low",IF(mental_health[Sleep_Hours]&lt;7,"Medium","Good"))</f>
        <v>Good</v>
      </c>
      <c r="U131" t="str">
        <f>IF(mental_health[Stress_Level]&lt;=3,"Low",IF(mental_health[Stress_Level]&lt;=7,"Medium","High"))</f>
        <v>Low</v>
      </c>
      <c r="V131" t="str">
        <f>IF(mental_health[Daily_Screen_Time]&lt;=4,"Low",IF(mental_health[Daily_Screen_Time]&lt;=8,"Medium","High"))</f>
        <v>Medium</v>
      </c>
    </row>
    <row r="132" spans="1:22" x14ac:dyDescent="0.3">
      <c r="A132">
        <v>131</v>
      </c>
      <c r="B132">
        <v>54</v>
      </c>
      <c r="C132" t="s">
        <v>23</v>
      </c>
      <c r="D132" t="s">
        <v>24</v>
      </c>
      <c r="E132">
        <v>3.6</v>
      </c>
      <c r="F132">
        <v>5.8</v>
      </c>
      <c r="G132">
        <v>1</v>
      </c>
      <c r="H132" t="str">
        <f t="shared" si="2"/>
        <v>Night Usage</v>
      </c>
      <c r="I132">
        <v>4.5</v>
      </c>
      <c r="J132" s="3">
        <v>2</v>
      </c>
      <c r="K132">
        <v>11.2</v>
      </c>
      <c r="L132" t="s">
        <v>20</v>
      </c>
      <c r="M132">
        <v>3</v>
      </c>
      <c r="N132">
        <v>2</v>
      </c>
      <c r="O132">
        <v>0</v>
      </c>
      <c r="P132">
        <v>1</v>
      </c>
      <c r="Q132">
        <v>0</v>
      </c>
      <c r="R132">
        <v>0</v>
      </c>
      <c r="S132">
        <v>0</v>
      </c>
      <c r="T132" t="str">
        <f>IF(mental_health[Sleep_Hours]&lt;5,"Low",IF(mental_health[Sleep_Hours]&lt;7,"Medium","Good"))</f>
        <v>Low</v>
      </c>
      <c r="U132" t="str">
        <f>IF(mental_health[Stress_Level]&lt;=3,"Low",IF(mental_health[Stress_Level]&lt;=7,"Medium","High"))</f>
        <v>Low</v>
      </c>
      <c r="V132" t="str">
        <f>IF(mental_health[Daily_Screen_Time]&lt;=4,"Low",IF(mental_health[Daily_Screen_Time]&lt;=8,"Medium","High"))</f>
        <v>Low</v>
      </c>
    </row>
    <row r="133" spans="1:22" x14ac:dyDescent="0.3">
      <c r="A133">
        <v>132</v>
      </c>
      <c r="B133">
        <v>42</v>
      </c>
      <c r="C133" t="s">
        <v>23</v>
      </c>
      <c r="D133" t="s">
        <v>24</v>
      </c>
      <c r="E133">
        <v>4.3</v>
      </c>
      <c r="F133">
        <v>6.8</v>
      </c>
      <c r="G133">
        <v>0</v>
      </c>
      <c r="H133" t="str">
        <f t="shared" si="2"/>
        <v>No Night Usage</v>
      </c>
      <c r="I133">
        <v>6.5</v>
      </c>
      <c r="J133" s="3">
        <v>10</v>
      </c>
      <c r="K133">
        <v>10.3</v>
      </c>
      <c r="L133" t="s">
        <v>25</v>
      </c>
      <c r="M133">
        <v>10</v>
      </c>
      <c r="N133">
        <v>2</v>
      </c>
      <c r="O133">
        <v>0</v>
      </c>
      <c r="P133">
        <v>0</v>
      </c>
      <c r="Q133">
        <v>1</v>
      </c>
      <c r="R133">
        <v>0</v>
      </c>
      <c r="S133">
        <v>1</v>
      </c>
      <c r="T133" t="str">
        <f>IF(mental_health[Sleep_Hours]&lt;5,"Low",IF(mental_health[Sleep_Hours]&lt;7,"Medium","Good"))</f>
        <v>Medium</v>
      </c>
      <c r="U133" t="str">
        <f>IF(mental_health[Stress_Level]&lt;=3,"Low",IF(mental_health[Stress_Level]&lt;=7,"Medium","High"))</f>
        <v>High</v>
      </c>
      <c r="V133" t="str">
        <f>IF(mental_health[Daily_Screen_Time]&lt;=4,"Low",IF(mental_health[Daily_Screen_Time]&lt;=8,"Medium","High"))</f>
        <v>Medium</v>
      </c>
    </row>
    <row r="134" spans="1:22" x14ac:dyDescent="0.3">
      <c r="A134">
        <v>133</v>
      </c>
      <c r="B134">
        <v>24</v>
      </c>
      <c r="C134" t="s">
        <v>23</v>
      </c>
      <c r="D134" t="s">
        <v>24</v>
      </c>
      <c r="E134">
        <v>2.2000000000000002</v>
      </c>
      <c r="F134">
        <v>2</v>
      </c>
      <c r="G134">
        <v>0</v>
      </c>
      <c r="H134" t="str">
        <f t="shared" si="2"/>
        <v>No Night Usage</v>
      </c>
      <c r="I134">
        <v>4.5999999999999996</v>
      </c>
      <c r="J134" s="3">
        <v>7</v>
      </c>
      <c r="K134">
        <v>11.8</v>
      </c>
      <c r="L134" t="s">
        <v>25</v>
      </c>
      <c r="M134">
        <v>1</v>
      </c>
      <c r="N134">
        <v>3</v>
      </c>
      <c r="O134">
        <v>0</v>
      </c>
      <c r="P134">
        <v>0</v>
      </c>
      <c r="Q134">
        <v>0</v>
      </c>
      <c r="R134">
        <v>0</v>
      </c>
      <c r="S134">
        <v>1</v>
      </c>
      <c r="T134" t="str">
        <f>IF(mental_health[Sleep_Hours]&lt;5,"Low",IF(mental_health[Sleep_Hours]&lt;7,"Medium","Good"))</f>
        <v>Low</v>
      </c>
      <c r="U134" t="str">
        <f>IF(mental_health[Stress_Level]&lt;=3,"Low",IF(mental_health[Stress_Level]&lt;=7,"Medium","High"))</f>
        <v>Medium</v>
      </c>
      <c r="V134" t="str">
        <f>IF(mental_health[Daily_Screen_Time]&lt;=4,"Low",IF(mental_health[Daily_Screen_Time]&lt;=8,"Medium","High"))</f>
        <v>Low</v>
      </c>
    </row>
    <row r="135" spans="1:22" x14ac:dyDescent="0.3">
      <c r="A135">
        <v>134</v>
      </c>
      <c r="B135">
        <v>30</v>
      </c>
      <c r="C135" t="s">
        <v>23</v>
      </c>
      <c r="D135" t="s">
        <v>22</v>
      </c>
      <c r="E135">
        <v>10.3</v>
      </c>
      <c r="F135">
        <v>2.1</v>
      </c>
      <c r="G135">
        <v>0</v>
      </c>
      <c r="H135" t="str">
        <f t="shared" si="2"/>
        <v>No Night Usage</v>
      </c>
      <c r="I135">
        <v>7.9</v>
      </c>
      <c r="J135" s="3">
        <v>2</v>
      </c>
      <c r="K135">
        <v>5.2</v>
      </c>
      <c r="L135" t="s">
        <v>21</v>
      </c>
      <c r="M135">
        <v>1</v>
      </c>
      <c r="N135">
        <v>3</v>
      </c>
      <c r="O135">
        <v>0</v>
      </c>
      <c r="P135">
        <v>0</v>
      </c>
      <c r="Q135">
        <v>0</v>
      </c>
      <c r="R135">
        <v>1</v>
      </c>
      <c r="S135">
        <v>0</v>
      </c>
      <c r="T135" t="str">
        <f>IF(mental_health[Sleep_Hours]&lt;5,"Low",IF(mental_health[Sleep_Hours]&lt;7,"Medium","Good"))</f>
        <v>Good</v>
      </c>
      <c r="U135" t="str">
        <f>IF(mental_health[Stress_Level]&lt;=3,"Low",IF(mental_health[Stress_Level]&lt;=7,"Medium","High"))</f>
        <v>Low</v>
      </c>
      <c r="V135" t="str">
        <f>IF(mental_health[Daily_Screen_Time]&lt;=4,"Low",IF(mental_health[Daily_Screen_Time]&lt;=8,"Medium","High"))</f>
        <v>High</v>
      </c>
    </row>
    <row r="136" spans="1:22" x14ac:dyDescent="0.3">
      <c r="A136">
        <v>135</v>
      </c>
      <c r="B136">
        <v>30</v>
      </c>
      <c r="C136" t="s">
        <v>18</v>
      </c>
      <c r="D136" t="s">
        <v>22</v>
      </c>
      <c r="E136">
        <v>11.7</v>
      </c>
      <c r="F136">
        <v>6.5</v>
      </c>
      <c r="G136">
        <v>1</v>
      </c>
      <c r="H136" t="str">
        <f t="shared" si="2"/>
        <v>Night Usage</v>
      </c>
      <c r="I136">
        <v>3</v>
      </c>
      <c r="J136" s="3">
        <v>2</v>
      </c>
      <c r="K136">
        <v>4.4000000000000004</v>
      </c>
      <c r="L136" t="s">
        <v>21</v>
      </c>
      <c r="M136">
        <v>10</v>
      </c>
      <c r="N136">
        <v>2</v>
      </c>
      <c r="O136">
        <v>1</v>
      </c>
      <c r="P136">
        <v>0</v>
      </c>
      <c r="Q136">
        <v>1</v>
      </c>
      <c r="R136">
        <v>1</v>
      </c>
      <c r="S136">
        <v>0</v>
      </c>
      <c r="T136" t="str">
        <f>IF(mental_health[Sleep_Hours]&lt;5,"Low",IF(mental_health[Sleep_Hours]&lt;7,"Medium","Good"))</f>
        <v>Low</v>
      </c>
      <c r="U136" t="str">
        <f>IF(mental_health[Stress_Level]&lt;=3,"Low",IF(mental_health[Stress_Level]&lt;=7,"Medium","High"))</f>
        <v>Low</v>
      </c>
      <c r="V136" t="str">
        <f>IF(mental_health[Daily_Screen_Time]&lt;=4,"Low",IF(mental_health[Daily_Screen_Time]&lt;=8,"Medium","High"))</f>
        <v>High</v>
      </c>
    </row>
    <row r="137" spans="1:22" x14ac:dyDescent="0.3">
      <c r="A137">
        <v>136</v>
      </c>
      <c r="B137">
        <v>41</v>
      </c>
      <c r="C137" t="s">
        <v>23</v>
      </c>
      <c r="D137" t="s">
        <v>24</v>
      </c>
      <c r="E137">
        <v>3.4</v>
      </c>
      <c r="F137">
        <v>5.3</v>
      </c>
      <c r="G137">
        <v>0</v>
      </c>
      <c r="H137" t="str">
        <f t="shared" si="2"/>
        <v>No Night Usage</v>
      </c>
      <c r="I137">
        <v>6.4</v>
      </c>
      <c r="J137" s="3">
        <v>2</v>
      </c>
      <c r="K137">
        <v>5.3</v>
      </c>
      <c r="L137" t="s">
        <v>21</v>
      </c>
      <c r="M137">
        <v>1</v>
      </c>
      <c r="N137">
        <v>2</v>
      </c>
      <c r="O137">
        <v>0</v>
      </c>
      <c r="P137">
        <v>0</v>
      </c>
      <c r="Q137">
        <v>0</v>
      </c>
      <c r="R137">
        <v>0</v>
      </c>
      <c r="S137">
        <v>0</v>
      </c>
      <c r="T137" t="str">
        <f>IF(mental_health[Sleep_Hours]&lt;5,"Low",IF(mental_health[Sleep_Hours]&lt;7,"Medium","Good"))</f>
        <v>Medium</v>
      </c>
      <c r="U137" t="str">
        <f>IF(mental_health[Stress_Level]&lt;=3,"Low",IF(mental_health[Stress_Level]&lt;=7,"Medium","High"))</f>
        <v>Low</v>
      </c>
      <c r="V137" t="str">
        <f>IF(mental_health[Daily_Screen_Time]&lt;=4,"Low",IF(mental_health[Daily_Screen_Time]&lt;=8,"Medium","High"))</f>
        <v>Low</v>
      </c>
    </row>
    <row r="138" spans="1:22" x14ac:dyDescent="0.3">
      <c r="A138">
        <v>137</v>
      </c>
      <c r="B138">
        <v>57</v>
      </c>
      <c r="C138" t="s">
        <v>18</v>
      </c>
      <c r="D138" t="s">
        <v>24</v>
      </c>
      <c r="E138">
        <v>4.3</v>
      </c>
      <c r="F138">
        <v>1.3</v>
      </c>
      <c r="G138">
        <v>1</v>
      </c>
      <c r="H138" t="str">
        <f t="shared" si="2"/>
        <v>Night Usage</v>
      </c>
      <c r="I138">
        <v>5</v>
      </c>
      <c r="J138" s="3">
        <v>4</v>
      </c>
      <c r="K138">
        <v>11.5</v>
      </c>
      <c r="L138" t="s">
        <v>20</v>
      </c>
      <c r="M138">
        <v>2</v>
      </c>
      <c r="N138">
        <v>0</v>
      </c>
      <c r="O138">
        <v>1</v>
      </c>
      <c r="P138">
        <v>1</v>
      </c>
      <c r="Q138">
        <v>1</v>
      </c>
      <c r="R138">
        <v>1</v>
      </c>
      <c r="S138">
        <v>0</v>
      </c>
      <c r="T138" t="str">
        <f>IF(mental_health[Sleep_Hours]&lt;5,"Low",IF(mental_health[Sleep_Hours]&lt;7,"Medium","Good"))</f>
        <v>Medium</v>
      </c>
      <c r="U138" t="str">
        <f>IF(mental_health[Stress_Level]&lt;=3,"Low",IF(mental_health[Stress_Level]&lt;=7,"Medium","High"))</f>
        <v>Medium</v>
      </c>
      <c r="V138" t="str">
        <f>IF(mental_health[Daily_Screen_Time]&lt;=4,"Low",IF(mental_health[Daily_Screen_Time]&lt;=8,"Medium","High"))</f>
        <v>Medium</v>
      </c>
    </row>
    <row r="139" spans="1:22" x14ac:dyDescent="0.3">
      <c r="A139">
        <v>138</v>
      </c>
      <c r="B139">
        <v>28</v>
      </c>
      <c r="C139" t="s">
        <v>23</v>
      </c>
      <c r="D139" t="s">
        <v>22</v>
      </c>
      <c r="E139">
        <v>10.7</v>
      </c>
      <c r="F139">
        <v>5.4</v>
      </c>
      <c r="G139">
        <v>0</v>
      </c>
      <c r="H139" t="str">
        <f t="shared" si="2"/>
        <v>No Night Usage</v>
      </c>
      <c r="I139">
        <v>4.9000000000000004</v>
      </c>
      <c r="J139" s="3">
        <v>1</v>
      </c>
      <c r="K139">
        <v>5.3</v>
      </c>
      <c r="L139" t="s">
        <v>21</v>
      </c>
      <c r="M139">
        <v>2</v>
      </c>
      <c r="N139">
        <v>1</v>
      </c>
      <c r="O139">
        <v>1</v>
      </c>
      <c r="P139">
        <v>1</v>
      </c>
      <c r="Q139">
        <v>1</v>
      </c>
      <c r="R139">
        <v>1</v>
      </c>
      <c r="S139">
        <v>1</v>
      </c>
      <c r="T139" t="str">
        <f>IF(mental_health[Sleep_Hours]&lt;5,"Low",IF(mental_health[Sleep_Hours]&lt;7,"Medium","Good"))</f>
        <v>Low</v>
      </c>
      <c r="U139" t="str">
        <f>IF(mental_health[Stress_Level]&lt;=3,"Low",IF(mental_health[Stress_Level]&lt;=7,"Medium","High"))</f>
        <v>Low</v>
      </c>
      <c r="V139" t="str">
        <f>IF(mental_health[Daily_Screen_Time]&lt;=4,"Low",IF(mental_health[Daily_Screen_Time]&lt;=8,"Medium","High"))</f>
        <v>High</v>
      </c>
    </row>
    <row r="140" spans="1:22" x14ac:dyDescent="0.3">
      <c r="A140">
        <v>139</v>
      </c>
      <c r="B140">
        <v>47</v>
      </c>
      <c r="C140" t="s">
        <v>23</v>
      </c>
      <c r="D140" t="s">
        <v>19</v>
      </c>
      <c r="E140">
        <v>11.3</v>
      </c>
      <c r="F140">
        <v>3.2</v>
      </c>
      <c r="G140">
        <v>0</v>
      </c>
      <c r="H140" t="str">
        <f t="shared" si="2"/>
        <v>No Night Usage</v>
      </c>
      <c r="I140">
        <v>6.9</v>
      </c>
      <c r="J140" s="3">
        <v>2</v>
      </c>
      <c r="K140">
        <v>7.7</v>
      </c>
      <c r="L140" t="s">
        <v>20</v>
      </c>
      <c r="M140">
        <v>7</v>
      </c>
      <c r="N140">
        <v>3</v>
      </c>
      <c r="O140">
        <v>1</v>
      </c>
      <c r="P140">
        <v>1</v>
      </c>
      <c r="Q140">
        <v>1</v>
      </c>
      <c r="R140">
        <v>0</v>
      </c>
      <c r="S140">
        <v>1</v>
      </c>
      <c r="T140" t="str">
        <f>IF(mental_health[Sleep_Hours]&lt;5,"Low",IF(mental_health[Sleep_Hours]&lt;7,"Medium","Good"))</f>
        <v>Medium</v>
      </c>
      <c r="U140" t="str">
        <f>IF(mental_health[Stress_Level]&lt;=3,"Low",IF(mental_health[Stress_Level]&lt;=7,"Medium","High"))</f>
        <v>Low</v>
      </c>
      <c r="V140" t="str">
        <f>IF(mental_health[Daily_Screen_Time]&lt;=4,"Low",IF(mental_health[Daily_Screen_Time]&lt;=8,"Medium","High"))</f>
        <v>High</v>
      </c>
    </row>
    <row r="141" spans="1:22" x14ac:dyDescent="0.3">
      <c r="A141">
        <v>140</v>
      </c>
      <c r="B141">
        <v>54</v>
      </c>
      <c r="C141" t="s">
        <v>18</v>
      </c>
      <c r="D141" t="s">
        <v>24</v>
      </c>
      <c r="E141">
        <v>6.2</v>
      </c>
      <c r="F141">
        <v>3.6</v>
      </c>
      <c r="G141">
        <v>1</v>
      </c>
      <c r="H141" t="str">
        <f t="shared" si="2"/>
        <v>Night Usage</v>
      </c>
      <c r="I141">
        <v>8.1</v>
      </c>
      <c r="J141" s="3">
        <v>3</v>
      </c>
      <c r="K141">
        <v>6</v>
      </c>
      <c r="L141" t="s">
        <v>20</v>
      </c>
      <c r="M141">
        <v>9</v>
      </c>
      <c r="N141">
        <v>0</v>
      </c>
      <c r="O141">
        <v>0</v>
      </c>
      <c r="P141">
        <v>0</v>
      </c>
      <c r="Q141">
        <v>0</v>
      </c>
      <c r="R141">
        <v>0</v>
      </c>
      <c r="S141">
        <v>0</v>
      </c>
      <c r="T141" t="str">
        <f>IF(mental_health[Sleep_Hours]&lt;5,"Low",IF(mental_health[Sleep_Hours]&lt;7,"Medium","Good"))</f>
        <v>Good</v>
      </c>
      <c r="U141" t="str">
        <f>IF(mental_health[Stress_Level]&lt;=3,"Low",IF(mental_health[Stress_Level]&lt;=7,"Medium","High"))</f>
        <v>Low</v>
      </c>
      <c r="V141" t="str">
        <f>IF(mental_health[Daily_Screen_Time]&lt;=4,"Low",IF(mental_health[Daily_Screen_Time]&lt;=8,"Medium","High"))</f>
        <v>Medium</v>
      </c>
    </row>
    <row r="142" spans="1:22" x14ac:dyDescent="0.3">
      <c r="A142">
        <v>141</v>
      </c>
      <c r="B142">
        <v>47</v>
      </c>
      <c r="C142" t="s">
        <v>23</v>
      </c>
      <c r="D142" t="s">
        <v>19</v>
      </c>
      <c r="E142">
        <v>2.5</v>
      </c>
      <c r="F142">
        <v>6.4</v>
      </c>
      <c r="G142">
        <v>0</v>
      </c>
      <c r="H142" t="str">
        <f t="shared" si="2"/>
        <v>No Night Usage</v>
      </c>
      <c r="I142">
        <v>6.7</v>
      </c>
      <c r="J142" s="3">
        <v>7</v>
      </c>
      <c r="K142">
        <v>6</v>
      </c>
      <c r="L142" t="s">
        <v>20</v>
      </c>
      <c r="M142">
        <v>8</v>
      </c>
      <c r="N142">
        <v>1</v>
      </c>
      <c r="O142">
        <v>1</v>
      </c>
      <c r="P142">
        <v>0</v>
      </c>
      <c r="Q142">
        <v>0</v>
      </c>
      <c r="R142">
        <v>0</v>
      </c>
      <c r="S142">
        <v>1</v>
      </c>
      <c r="T142" t="str">
        <f>IF(mental_health[Sleep_Hours]&lt;5,"Low",IF(mental_health[Sleep_Hours]&lt;7,"Medium","Good"))</f>
        <v>Medium</v>
      </c>
      <c r="U142" t="str">
        <f>IF(mental_health[Stress_Level]&lt;=3,"Low",IF(mental_health[Stress_Level]&lt;=7,"Medium","High"))</f>
        <v>Medium</v>
      </c>
      <c r="V142" t="str">
        <f>IF(mental_health[Daily_Screen_Time]&lt;=4,"Low",IF(mental_health[Daily_Screen_Time]&lt;=8,"Medium","High"))</f>
        <v>Low</v>
      </c>
    </row>
    <row r="143" spans="1:22" x14ac:dyDescent="0.3">
      <c r="A143">
        <v>142</v>
      </c>
      <c r="B143">
        <v>19</v>
      </c>
      <c r="C143" t="s">
        <v>18</v>
      </c>
      <c r="D143" t="s">
        <v>24</v>
      </c>
      <c r="E143">
        <v>2.4</v>
      </c>
      <c r="F143">
        <v>6.7</v>
      </c>
      <c r="G143">
        <v>0</v>
      </c>
      <c r="H143" t="str">
        <f t="shared" si="2"/>
        <v>No Night Usage</v>
      </c>
      <c r="I143">
        <v>8.1</v>
      </c>
      <c r="J143" s="3">
        <v>10</v>
      </c>
      <c r="K143">
        <v>3.9</v>
      </c>
      <c r="L143" t="s">
        <v>20</v>
      </c>
      <c r="M143">
        <v>4</v>
      </c>
      <c r="N143">
        <v>3</v>
      </c>
      <c r="O143">
        <v>1</v>
      </c>
      <c r="P143">
        <v>1</v>
      </c>
      <c r="Q143">
        <v>1</v>
      </c>
      <c r="R143">
        <v>0</v>
      </c>
      <c r="S143">
        <v>0</v>
      </c>
      <c r="T143" t="str">
        <f>IF(mental_health[Sleep_Hours]&lt;5,"Low",IF(mental_health[Sleep_Hours]&lt;7,"Medium","Good"))</f>
        <v>Good</v>
      </c>
      <c r="U143" t="str">
        <f>IF(mental_health[Stress_Level]&lt;=3,"Low",IF(mental_health[Stress_Level]&lt;=7,"Medium","High"))</f>
        <v>High</v>
      </c>
      <c r="V143" t="str">
        <f>IF(mental_health[Daily_Screen_Time]&lt;=4,"Low",IF(mental_health[Daily_Screen_Time]&lt;=8,"Medium","High"))</f>
        <v>Low</v>
      </c>
    </row>
    <row r="144" spans="1:22" x14ac:dyDescent="0.3">
      <c r="A144">
        <v>143</v>
      </c>
      <c r="B144">
        <v>45</v>
      </c>
      <c r="C144" t="s">
        <v>18</v>
      </c>
      <c r="D144" t="s">
        <v>19</v>
      </c>
      <c r="E144">
        <v>7.7</v>
      </c>
      <c r="F144">
        <v>3.8</v>
      </c>
      <c r="G144">
        <v>1</v>
      </c>
      <c r="H144" t="str">
        <f t="shared" si="2"/>
        <v>Night Usage</v>
      </c>
      <c r="I144">
        <v>4.5999999999999996</v>
      </c>
      <c r="J144" s="3">
        <v>1</v>
      </c>
      <c r="K144">
        <v>7.4</v>
      </c>
      <c r="L144" t="s">
        <v>20</v>
      </c>
      <c r="M144">
        <v>2</v>
      </c>
      <c r="N144">
        <v>0</v>
      </c>
      <c r="O144">
        <v>1</v>
      </c>
      <c r="P144">
        <v>1</v>
      </c>
      <c r="Q144">
        <v>1</v>
      </c>
      <c r="R144">
        <v>0</v>
      </c>
      <c r="S144">
        <v>1</v>
      </c>
      <c r="T144" t="str">
        <f>IF(mental_health[Sleep_Hours]&lt;5,"Low",IF(mental_health[Sleep_Hours]&lt;7,"Medium","Good"))</f>
        <v>Low</v>
      </c>
      <c r="U144" t="str">
        <f>IF(mental_health[Stress_Level]&lt;=3,"Low",IF(mental_health[Stress_Level]&lt;=7,"Medium","High"))</f>
        <v>Low</v>
      </c>
      <c r="V144" t="str">
        <f>IF(mental_health[Daily_Screen_Time]&lt;=4,"Low",IF(mental_health[Daily_Screen_Time]&lt;=8,"Medium","High"))</f>
        <v>Medium</v>
      </c>
    </row>
    <row r="145" spans="1:22" x14ac:dyDescent="0.3">
      <c r="A145">
        <v>144</v>
      </c>
      <c r="B145">
        <v>52</v>
      </c>
      <c r="C145" t="s">
        <v>18</v>
      </c>
      <c r="D145" t="s">
        <v>19</v>
      </c>
      <c r="E145">
        <v>5.9</v>
      </c>
      <c r="F145">
        <v>7.6</v>
      </c>
      <c r="G145">
        <v>1</v>
      </c>
      <c r="H145" t="str">
        <f t="shared" si="2"/>
        <v>Night Usage</v>
      </c>
      <c r="I145">
        <v>6.1</v>
      </c>
      <c r="J145" s="3">
        <v>6</v>
      </c>
      <c r="K145">
        <v>10.5</v>
      </c>
      <c r="L145" t="s">
        <v>25</v>
      </c>
      <c r="M145">
        <v>3</v>
      </c>
      <c r="N145">
        <v>4</v>
      </c>
      <c r="O145">
        <v>1</v>
      </c>
      <c r="P145">
        <v>1</v>
      </c>
      <c r="Q145">
        <v>0</v>
      </c>
      <c r="R145">
        <v>1</v>
      </c>
      <c r="S145">
        <v>0</v>
      </c>
      <c r="T145" t="str">
        <f>IF(mental_health[Sleep_Hours]&lt;5,"Low",IF(mental_health[Sleep_Hours]&lt;7,"Medium","Good"))</f>
        <v>Medium</v>
      </c>
      <c r="U145" t="str">
        <f>IF(mental_health[Stress_Level]&lt;=3,"Low",IF(mental_health[Stress_Level]&lt;=7,"Medium","High"))</f>
        <v>Medium</v>
      </c>
      <c r="V145" t="str">
        <f>IF(mental_health[Daily_Screen_Time]&lt;=4,"Low",IF(mental_health[Daily_Screen_Time]&lt;=8,"Medium","High"))</f>
        <v>Medium</v>
      </c>
    </row>
    <row r="146" spans="1:22" x14ac:dyDescent="0.3">
      <c r="A146">
        <v>145</v>
      </c>
      <c r="B146">
        <v>38</v>
      </c>
      <c r="C146" t="s">
        <v>18</v>
      </c>
      <c r="D146" t="s">
        <v>19</v>
      </c>
      <c r="E146">
        <v>2.2999999999999998</v>
      </c>
      <c r="F146">
        <v>3.8</v>
      </c>
      <c r="G146">
        <v>1</v>
      </c>
      <c r="H146" t="str">
        <f t="shared" si="2"/>
        <v>Night Usage</v>
      </c>
      <c r="I146">
        <v>5.7</v>
      </c>
      <c r="J146" s="3">
        <v>3</v>
      </c>
      <c r="K146">
        <v>2.5</v>
      </c>
      <c r="L146" t="s">
        <v>20</v>
      </c>
      <c r="M146">
        <v>10</v>
      </c>
      <c r="N146">
        <v>4</v>
      </c>
      <c r="O146">
        <v>1</v>
      </c>
      <c r="P146">
        <v>0</v>
      </c>
      <c r="Q146">
        <v>1</v>
      </c>
      <c r="R146">
        <v>1</v>
      </c>
      <c r="S146">
        <v>1</v>
      </c>
      <c r="T146" t="str">
        <f>IF(mental_health[Sleep_Hours]&lt;5,"Low",IF(mental_health[Sleep_Hours]&lt;7,"Medium","Good"))</f>
        <v>Medium</v>
      </c>
      <c r="U146" t="str">
        <f>IF(mental_health[Stress_Level]&lt;=3,"Low",IF(mental_health[Stress_Level]&lt;=7,"Medium","High"))</f>
        <v>Low</v>
      </c>
      <c r="V146" t="str">
        <f>IF(mental_health[Daily_Screen_Time]&lt;=4,"Low",IF(mental_health[Daily_Screen_Time]&lt;=8,"Medium","High"))</f>
        <v>Low</v>
      </c>
    </row>
    <row r="147" spans="1:22" x14ac:dyDescent="0.3">
      <c r="A147">
        <v>146</v>
      </c>
      <c r="B147">
        <v>54</v>
      </c>
      <c r="C147" t="s">
        <v>23</v>
      </c>
      <c r="D147" t="s">
        <v>22</v>
      </c>
      <c r="E147">
        <v>7.8</v>
      </c>
      <c r="F147">
        <v>6.4</v>
      </c>
      <c r="G147">
        <v>0</v>
      </c>
      <c r="H147" t="str">
        <f t="shared" si="2"/>
        <v>No Night Usage</v>
      </c>
      <c r="I147">
        <v>3.1</v>
      </c>
      <c r="J147" s="3">
        <v>3</v>
      </c>
      <c r="K147">
        <v>10.9</v>
      </c>
      <c r="L147" t="s">
        <v>20</v>
      </c>
      <c r="M147">
        <v>5</v>
      </c>
      <c r="N147">
        <v>3</v>
      </c>
      <c r="O147">
        <v>1</v>
      </c>
      <c r="P147">
        <v>1</v>
      </c>
      <c r="Q147">
        <v>0</v>
      </c>
      <c r="R147">
        <v>1</v>
      </c>
      <c r="S147">
        <v>0</v>
      </c>
      <c r="T147" t="str">
        <f>IF(mental_health[Sleep_Hours]&lt;5,"Low",IF(mental_health[Sleep_Hours]&lt;7,"Medium","Good"))</f>
        <v>Low</v>
      </c>
      <c r="U147" t="str">
        <f>IF(mental_health[Stress_Level]&lt;=3,"Low",IF(mental_health[Stress_Level]&lt;=7,"Medium","High"))</f>
        <v>Low</v>
      </c>
      <c r="V147" t="str">
        <f>IF(mental_health[Daily_Screen_Time]&lt;=4,"Low",IF(mental_health[Daily_Screen_Time]&lt;=8,"Medium","High"))</f>
        <v>Medium</v>
      </c>
    </row>
    <row r="148" spans="1:22" x14ac:dyDescent="0.3">
      <c r="A148">
        <v>147</v>
      </c>
      <c r="B148">
        <v>30</v>
      </c>
      <c r="C148" t="s">
        <v>23</v>
      </c>
      <c r="D148" t="s">
        <v>19</v>
      </c>
      <c r="E148">
        <v>2.1</v>
      </c>
      <c r="F148">
        <v>4.4000000000000004</v>
      </c>
      <c r="G148">
        <v>0</v>
      </c>
      <c r="H148" t="str">
        <f t="shared" si="2"/>
        <v>No Night Usage</v>
      </c>
      <c r="I148">
        <v>6.3</v>
      </c>
      <c r="J148" s="3">
        <v>4</v>
      </c>
      <c r="K148">
        <v>8.6999999999999993</v>
      </c>
      <c r="L148" t="s">
        <v>25</v>
      </c>
      <c r="M148">
        <v>9</v>
      </c>
      <c r="N148">
        <v>0</v>
      </c>
      <c r="O148">
        <v>0</v>
      </c>
      <c r="P148">
        <v>0</v>
      </c>
      <c r="Q148">
        <v>0</v>
      </c>
      <c r="R148">
        <v>1</v>
      </c>
      <c r="S148">
        <v>1</v>
      </c>
      <c r="T148" t="str">
        <f>IF(mental_health[Sleep_Hours]&lt;5,"Low",IF(mental_health[Sleep_Hours]&lt;7,"Medium","Good"))</f>
        <v>Medium</v>
      </c>
      <c r="U148" t="str">
        <f>IF(mental_health[Stress_Level]&lt;=3,"Low",IF(mental_health[Stress_Level]&lt;=7,"Medium","High"))</f>
        <v>Medium</v>
      </c>
      <c r="V148" t="str">
        <f>IF(mental_health[Daily_Screen_Time]&lt;=4,"Low",IF(mental_health[Daily_Screen_Time]&lt;=8,"Medium","High"))</f>
        <v>Low</v>
      </c>
    </row>
    <row r="149" spans="1:22" x14ac:dyDescent="0.3">
      <c r="A149">
        <v>148</v>
      </c>
      <c r="B149">
        <v>58</v>
      </c>
      <c r="C149" t="s">
        <v>18</v>
      </c>
      <c r="D149" t="s">
        <v>19</v>
      </c>
      <c r="E149">
        <v>9.9</v>
      </c>
      <c r="F149">
        <v>7.3</v>
      </c>
      <c r="G149">
        <v>0</v>
      </c>
      <c r="H149" t="str">
        <f t="shared" si="2"/>
        <v>No Night Usage</v>
      </c>
      <c r="I149">
        <v>7</v>
      </c>
      <c r="J149" s="3">
        <v>4</v>
      </c>
      <c r="K149">
        <v>8.1999999999999993</v>
      </c>
      <c r="L149" t="s">
        <v>25</v>
      </c>
      <c r="M149">
        <v>8</v>
      </c>
      <c r="N149">
        <v>1</v>
      </c>
      <c r="O149">
        <v>1</v>
      </c>
      <c r="P149">
        <v>1</v>
      </c>
      <c r="Q149">
        <v>0</v>
      </c>
      <c r="R149">
        <v>0</v>
      </c>
      <c r="S149">
        <v>0</v>
      </c>
      <c r="T149" t="str">
        <f>IF(mental_health[Sleep_Hours]&lt;5,"Low",IF(mental_health[Sleep_Hours]&lt;7,"Medium","Good"))</f>
        <v>Good</v>
      </c>
      <c r="U149" t="str">
        <f>IF(mental_health[Stress_Level]&lt;=3,"Low",IF(mental_health[Stress_Level]&lt;=7,"Medium","High"))</f>
        <v>Medium</v>
      </c>
      <c r="V149" t="str">
        <f>IF(mental_health[Daily_Screen_Time]&lt;=4,"Low",IF(mental_health[Daily_Screen_Time]&lt;=8,"Medium","High"))</f>
        <v>High</v>
      </c>
    </row>
    <row r="150" spans="1:22" x14ac:dyDescent="0.3">
      <c r="A150">
        <v>149</v>
      </c>
      <c r="B150">
        <v>44</v>
      </c>
      <c r="C150" t="s">
        <v>23</v>
      </c>
      <c r="D150" t="s">
        <v>19</v>
      </c>
      <c r="E150">
        <v>5.0999999999999996</v>
      </c>
      <c r="F150">
        <v>7.4</v>
      </c>
      <c r="G150">
        <v>0</v>
      </c>
      <c r="H150" t="str">
        <f t="shared" si="2"/>
        <v>No Night Usage</v>
      </c>
      <c r="I150">
        <v>6.6</v>
      </c>
      <c r="J150" s="3">
        <v>7</v>
      </c>
      <c r="K150">
        <v>8.3000000000000007</v>
      </c>
      <c r="L150" t="s">
        <v>25</v>
      </c>
      <c r="M150">
        <v>3</v>
      </c>
      <c r="N150">
        <v>1</v>
      </c>
      <c r="O150">
        <v>1</v>
      </c>
      <c r="P150">
        <v>1</v>
      </c>
      <c r="Q150">
        <v>0</v>
      </c>
      <c r="R150">
        <v>0</v>
      </c>
      <c r="S150">
        <v>1</v>
      </c>
      <c r="T150" t="str">
        <f>IF(mental_health[Sleep_Hours]&lt;5,"Low",IF(mental_health[Sleep_Hours]&lt;7,"Medium","Good"))</f>
        <v>Medium</v>
      </c>
      <c r="U150" t="str">
        <f>IF(mental_health[Stress_Level]&lt;=3,"Low",IF(mental_health[Stress_Level]&lt;=7,"Medium","High"))</f>
        <v>Medium</v>
      </c>
      <c r="V150" t="str">
        <f>IF(mental_health[Daily_Screen_Time]&lt;=4,"Low",IF(mental_health[Daily_Screen_Time]&lt;=8,"Medium","High"))</f>
        <v>Medium</v>
      </c>
    </row>
    <row r="151" spans="1:22" x14ac:dyDescent="0.3">
      <c r="A151">
        <v>150</v>
      </c>
      <c r="B151">
        <v>51</v>
      </c>
      <c r="C151" t="s">
        <v>23</v>
      </c>
      <c r="D151" t="s">
        <v>24</v>
      </c>
      <c r="E151">
        <v>2.4</v>
      </c>
      <c r="F151">
        <v>1.6</v>
      </c>
      <c r="G151">
        <v>0</v>
      </c>
      <c r="H151" t="str">
        <f t="shared" si="2"/>
        <v>No Night Usage</v>
      </c>
      <c r="I151">
        <v>7.4</v>
      </c>
      <c r="J151" s="3">
        <v>3</v>
      </c>
      <c r="K151">
        <v>5</v>
      </c>
      <c r="L151" t="s">
        <v>21</v>
      </c>
      <c r="M151">
        <v>9</v>
      </c>
      <c r="N151">
        <v>0</v>
      </c>
      <c r="O151">
        <v>0</v>
      </c>
      <c r="P151">
        <v>0</v>
      </c>
      <c r="Q151">
        <v>0</v>
      </c>
      <c r="R151">
        <v>0</v>
      </c>
      <c r="S151">
        <v>0</v>
      </c>
      <c r="T151" t="str">
        <f>IF(mental_health[Sleep_Hours]&lt;5,"Low",IF(mental_health[Sleep_Hours]&lt;7,"Medium","Good"))</f>
        <v>Good</v>
      </c>
      <c r="U151" t="str">
        <f>IF(mental_health[Stress_Level]&lt;=3,"Low",IF(mental_health[Stress_Level]&lt;=7,"Medium","High"))</f>
        <v>Low</v>
      </c>
      <c r="V151" t="str">
        <f>IF(mental_health[Daily_Screen_Time]&lt;=4,"Low",IF(mental_health[Daily_Screen_Time]&lt;=8,"Medium","High"))</f>
        <v>Low</v>
      </c>
    </row>
    <row r="152" spans="1:22" x14ac:dyDescent="0.3">
      <c r="A152">
        <v>151</v>
      </c>
      <c r="B152">
        <v>28</v>
      </c>
      <c r="C152" t="s">
        <v>18</v>
      </c>
      <c r="D152" t="s">
        <v>19</v>
      </c>
      <c r="E152">
        <v>7.9</v>
      </c>
      <c r="F152">
        <v>7.6</v>
      </c>
      <c r="G152">
        <v>1</v>
      </c>
      <c r="H152" t="str">
        <f t="shared" si="2"/>
        <v>Night Usage</v>
      </c>
      <c r="I152">
        <v>6.4</v>
      </c>
      <c r="J152" s="3">
        <v>8</v>
      </c>
      <c r="K152">
        <v>6.2</v>
      </c>
      <c r="L152" t="s">
        <v>21</v>
      </c>
      <c r="M152">
        <v>10</v>
      </c>
      <c r="N152">
        <v>4</v>
      </c>
      <c r="O152">
        <v>1</v>
      </c>
      <c r="P152">
        <v>0</v>
      </c>
      <c r="Q152">
        <v>0</v>
      </c>
      <c r="R152">
        <v>0</v>
      </c>
      <c r="S152">
        <v>1</v>
      </c>
      <c r="T152" t="str">
        <f>IF(mental_health[Sleep_Hours]&lt;5,"Low",IF(mental_health[Sleep_Hours]&lt;7,"Medium","Good"))</f>
        <v>Medium</v>
      </c>
      <c r="U152" t="str">
        <f>IF(mental_health[Stress_Level]&lt;=3,"Low",IF(mental_health[Stress_Level]&lt;=7,"Medium","High"))</f>
        <v>High</v>
      </c>
      <c r="V152" t="str">
        <f>IF(mental_health[Daily_Screen_Time]&lt;=4,"Low",IF(mental_health[Daily_Screen_Time]&lt;=8,"Medium","High"))</f>
        <v>Medium</v>
      </c>
    </row>
    <row r="153" spans="1:22" x14ac:dyDescent="0.3">
      <c r="A153">
        <v>152</v>
      </c>
      <c r="B153">
        <v>47</v>
      </c>
      <c r="C153" t="s">
        <v>23</v>
      </c>
      <c r="D153" t="s">
        <v>24</v>
      </c>
      <c r="E153">
        <v>6</v>
      </c>
      <c r="F153">
        <v>6.8</v>
      </c>
      <c r="G153">
        <v>0</v>
      </c>
      <c r="H153" t="str">
        <f t="shared" si="2"/>
        <v>No Night Usage</v>
      </c>
      <c r="I153">
        <v>3.4</v>
      </c>
      <c r="J153" s="3">
        <v>8</v>
      </c>
      <c r="K153">
        <v>10</v>
      </c>
      <c r="L153" t="s">
        <v>20</v>
      </c>
      <c r="M153">
        <v>3</v>
      </c>
      <c r="N153">
        <v>0</v>
      </c>
      <c r="O153">
        <v>0</v>
      </c>
      <c r="P153">
        <v>1</v>
      </c>
      <c r="Q153">
        <v>1</v>
      </c>
      <c r="R153">
        <v>1</v>
      </c>
      <c r="S153">
        <v>1</v>
      </c>
      <c r="T153" t="str">
        <f>IF(mental_health[Sleep_Hours]&lt;5,"Low",IF(mental_health[Sleep_Hours]&lt;7,"Medium","Good"))</f>
        <v>Low</v>
      </c>
      <c r="U153" t="str">
        <f>IF(mental_health[Stress_Level]&lt;=3,"Low",IF(mental_health[Stress_Level]&lt;=7,"Medium","High"))</f>
        <v>High</v>
      </c>
      <c r="V153" t="str">
        <f>IF(mental_health[Daily_Screen_Time]&lt;=4,"Low",IF(mental_health[Daily_Screen_Time]&lt;=8,"Medium","High"))</f>
        <v>Medium</v>
      </c>
    </row>
    <row r="154" spans="1:22" x14ac:dyDescent="0.3">
      <c r="A154">
        <v>153</v>
      </c>
      <c r="B154">
        <v>22</v>
      </c>
      <c r="C154" t="s">
        <v>18</v>
      </c>
      <c r="D154" t="s">
        <v>19</v>
      </c>
      <c r="E154">
        <v>11.7</v>
      </c>
      <c r="F154">
        <v>6.5</v>
      </c>
      <c r="G154">
        <v>1</v>
      </c>
      <c r="H154" t="str">
        <f t="shared" si="2"/>
        <v>Night Usage</v>
      </c>
      <c r="I154">
        <v>3.7</v>
      </c>
      <c r="J154" s="3">
        <v>7</v>
      </c>
      <c r="K154">
        <v>5.0999999999999996</v>
      </c>
      <c r="L154" t="s">
        <v>20</v>
      </c>
      <c r="M154">
        <v>10</v>
      </c>
      <c r="N154">
        <v>4</v>
      </c>
      <c r="O154">
        <v>0</v>
      </c>
      <c r="P154">
        <v>1</v>
      </c>
      <c r="Q154">
        <v>1</v>
      </c>
      <c r="R154">
        <v>1</v>
      </c>
      <c r="S154">
        <v>1</v>
      </c>
      <c r="T154" t="str">
        <f>IF(mental_health[Sleep_Hours]&lt;5,"Low",IF(mental_health[Sleep_Hours]&lt;7,"Medium","Good"))</f>
        <v>Low</v>
      </c>
      <c r="U154" t="str">
        <f>IF(mental_health[Stress_Level]&lt;=3,"Low",IF(mental_health[Stress_Level]&lt;=7,"Medium","High"))</f>
        <v>Medium</v>
      </c>
      <c r="V154" t="str">
        <f>IF(mental_health[Daily_Screen_Time]&lt;=4,"Low",IF(mental_health[Daily_Screen_Time]&lt;=8,"Medium","High"))</f>
        <v>High</v>
      </c>
    </row>
    <row r="155" spans="1:22" x14ac:dyDescent="0.3">
      <c r="A155">
        <v>154</v>
      </c>
      <c r="B155">
        <v>37</v>
      </c>
      <c r="C155" t="s">
        <v>18</v>
      </c>
      <c r="D155" t="s">
        <v>19</v>
      </c>
      <c r="E155">
        <v>7.4</v>
      </c>
      <c r="F155">
        <v>2.4</v>
      </c>
      <c r="G155">
        <v>0</v>
      </c>
      <c r="H155" t="str">
        <f t="shared" si="2"/>
        <v>No Night Usage</v>
      </c>
      <c r="I155">
        <v>6.6</v>
      </c>
      <c r="J155" s="3">
        <v>2</v>
      </c>
      <c r="K155">
        <v>6.7</v>
      </c>
      <c r="L155" t="s">
        <v>20</v>
      </c>
      <c r="M155">
        <v>8</v>
      </c>
      <c r="N155">
        <v>4</v>
      </c>
      <c r="O155">
        <v>1</v>
      </c>
      <c r="P155">
        <v>1</v>
      </c>
      <c r="Q155">
        <v>1</v>
      </c>
      <c r="R155">
        <v>1</v>
      </c>
      <c r="S155">
        <v>0</v>
      </c>
      <c r="T155" t="str">
        <f>IF(mental_health[Sleep_Hours]&lt;5,"Low",IF(mental_health[Sleep_Hours]&lt;7,"Medium","Good"))</f>
        <v>Medium</v>
      </c>
      <c r="U155" t="str">
        <f>IF(mental_health[Stress_Level]&lt;=3,"Low",IF(mental_health[Stress_Level]&lt;=7,"Medium","High"))</f>
        <v>Low</v>
      </c>
      <c r="V155" t="str">
        <f>IF(mental_health[Daily_Screen_Time]&lt;=4,"Low",IF(mental_health[Daily_Screen_Time]&lt;=8,"Medium","High"))</f>
        <v>Medium</v>
      </c>
    </row>
    <row r="156" spans="1:22" x14ac:dyDescent="0.3">
      <c r="A156">
        <v>155</v>
      </c>
      <c r="B156">
        <v>43</v>
      </c>
      <c r="C156" t="s">
        <v>23</v>
      </c>
      <c r="D156" t="s">
        <v>22</v>
      </c>
      <c r="E156">
        <v>4.8</v>
      </c>
      <c r="F156">
        <v>6.6</v>
      </c>
      <c r="G156">
        <v>1</v>
      </c>
      <c r="H156" t="str">
        <f t="shared" si="2"/>
        <v>Night Usage</v>
      </c>
      <c r="I156">
        <v>4.5999999999999996</v>
      </c>
      <c r="J156" s="3">
        <v>5</v>
      </c>
      <c r="K156">
        <v>2.2000000000000002</v>
      </c>
      <c r="L156" t="s">
        <v>20</v>
      </c>
      <c r="M156">
        <v>1</v>
      </c>
      <c r="N156">
        <v>1</v>
      </c>
      <c r="O156">
        <v>1</v>
      </c>
      <c r="P156">
        <v>0</v>
      </c>
      <c r="Q156">
        <v>0</v>
      </c>
      <c r="R156">
        <v>1</v>
      </c>
      <c r="S156">
        <v>1</v>
      </c>
      <c r="T156" t="str">
        <f>IF(mental_health[Sleep_Hours]&lt;5,"Low",IF(mental_health[Sleep_Hours]&lt;7,"Medium","Good"))</f>
        <v>Low</v>
      </c>
      <c r="U156" t="str">
        <f>IF(mental_health[Stress_Level]&lt;=3,"Low",IF(mental_health[Stress_Level]&lt;=7,"Medium","High"))</f>
        <v>Medium</v>
      </c>
      <c r="V156" t="str">
        <f>IF(mental_health[Daily_Screen_Time]&lt;=4,"Low",IF(mental_health[Daily_Screen_Time]&lt;=8,"Medium","High"))</f>
        <v>Medium</v>
      </c>
    </row>
    <row r="157" spans="1:22" x14ac:dyDescent="0.3">
      <c r="A157">
        <v>156</v>
      </c>
      <c r="B157">
        <v>17</v>
      </c>
      <c r="C157" t="s">
        <v>23</v>
      </c>
      <c r="D157" t="s">
        <v>24</v>
      </c>
      <c r="E157">
        <v>9.1</v>
      </c>
      <c r="F157">
        <v>7</v>
      </c>
      <c r="G157">
        <v>0</v>
      </c>
      <c r="H157" t="str">
        <f t="shared" si="2"/>
        <v>No Night Usage</v>
      </c>
      <c r="I157">
        <v>3.5</v>
      </c>
      <c r="J157" s="3">
        <v>6</v>
      </c>
      <c r="K157">
        <v>9.3000000000000007</v>
      </c>
      <c r="L157" t="s">
        <v>25</v>
      </c>
      <c r="M157">
        <v>4</v>
      </c>
      <c r="N157">
        <v>3</v>
      </c>
      <c r="O157">
        <v>0</v>
      </c>
      <c r="P157">
        <v>0</v>
      </c>
      <c r="Q157">
        <v>0</v>
      </c>
      <c r="R157">
        <v>0</v>
      </c>
      <c r="S157">
        <v>0</v>
      </c>
      <c r="T157" t="str">
        <f>IF(mental_health[Sleep_Hours]&lt;5,"Low",IF(mental_health[Sleep_Hours]&lt;7,"Medium","Good"))</f>
        <v>Low</v>
      </c>
      <c r="U157" t="str">
        <f>IF(mental_health[Stress_Level]&lt;=3,"Low",IF(mental_health[Stress_Level]&lt;=7,"Medium","High"))</f>
        <v>Medium</v>
      </c>
      <c r="V157" t="str">
        <f>IF(mental_health[Daily_Screen_Time]&lt;=4,"Low",IF(mental_health[Daily_Screen_Time]&lt;=8,"Medium","High"))</f>
        <v>High</v>
      </c>
    </row>
    <row r="158" spans="1:22" x14ac:dyDescent="0.3">
      <c r="A158">
        <v>157</v>
      </c>
      <c r="B158">
        <v>57</v>
      </c>
      <c r="C158" t="s">
        <v>23</v>
      </c>
      <c r="D158" t="s">
        <v>19</v>
      </c>
      <c r="E158">
        <v>4.7</v>
      </c>
      <c r="F158">
        <v>3</v>
      </c>
      <c r="G158">
        <v>0</v>
      </c>
      <c r="H158" t="str">
        <f t="shared" si="2"/>
        <v>No Night Usage</v>
      </c>
      <c r="I158">
        <v>5.6</v>
      </c>
      <c r="J158" s="3">
        <v>10</v>
      </c>
      <c r="K158">
        <v>6.2</v>
      </c>
      <c r="L158" t="s">
        <v>21</v>
      </c>
      <c r="M158">
        <v>4</v>
      </c>
      <c r="N158">
        <v>2</v>
      </c>
      <c r="O158">
        <v>0</v>
      </c>
      <c r="P158">
        <v>1</v>
      </c>
      <c r="Q158">
        <v>1</v>
      </c>
      <c r="R158">
        <v>1</v>
      </c>
      <c r="S158">
        <v>1</v>
      </c>
      <c r="T158" t="str">
        <f>IF(mental_health[Sleep_Hours]&lt;5,"Low",IF(mental_health[Sleep_Hours]&lt;7,"Medium","Good"))</f>
        <v>Medium</v>
      </c>
      <c r="U158" t="str">
        <f>IF(mental_health[Stress_Level]&lt;=3,"Low",IF(mental_health[Stress_Level]&lt;=7,"Medium","High"))</f>
        <v>High</v>
      </c>
      <c r="V158" t="str">
        <f>IF(mental_health[Daily_Screen_Time]&lt;=4,"Low",IF(mental_health[Daily_Screen_Time]&lt;=8,"Medium","High"))</f>
        <v>Medium</v>
      </c>
    </row>
    <row r="159" spans="1:22" x14ac:dyDescent="0.3">
      <c r="A159">
        <v>158</v>
      </c>
      <c r="B159">
        <v>21</v>
      </c>
      <c r="C159" t="s">
        <v>18</v>
      </c>
      <c r="D159" t="s">
        <v>24</v>
      </c>
      <c r="E159">
        <v>11</v>
      </c>
      <c r="F159">
        <v>7.7</v>
      </c>
      <c r="G159">
        <v>1</v>
      </c>
      <c r="H159" t="str">
        <f t="shared" si="2"/>
        <v>Night Usage</v>
      </c>
      <c r="I159">
        <v>6.3</v>
      </c>
      <c r="J159" s="3">
        <v>4</v>
      </c>
      <c r="K159">
        <v>7.3</v>
      </c>
      <c r="L159" t="s">
        <v>25</v>
      </c>
      <c r="M159">
        <v>6</v>
      </c>
      <c r="N159">
        <v>0</v>
      </c>
      <c r="O159">
        <v>0</v>
      </c>
      <c r="P159">
        <v>1</v>
      </c>
      <c r="Q159">
        <v>0</v>
      </c>
      <c r="R159">
        <v>0</v>
      </c>
      <c r="S159">
        <v>0</v>
      </c>
      <c r="T159" t="str">
        <f>IF(mental_health[Sleep_Hours]&lt;5,"Low",IF(mental_health[Sleep_Hours]&lt;7,"Medium","Good"))</f>
        <v>Medium</v>
      </c>
      <c r="U159" t="str">
        <f>IF(mental_health[Stress_Level]&lt;=3,"Low",IF(mental_health[Stress_Level]&lt;=7,"Medium","High"))</f>
        <v>Medium</v>
      </c>
      <c r="V159" t="str">
        <f>IF(mental_health[Daily_Screen_Time]&lt;=4,"Low",IF(mental_health[Daily_Screen_Time]&lt;=8,"Medium","High"))</f>
        <v>High</v>
      </c>
    </row>
    <row r="160" spans="1:22" x14ac:dyDescent="0.3">
      <c r="A160">
        <v>159</v>
      </c>
      <c r="B160">
        <v>43</v>
      </c>
      <c r="C160" t="s">
        <v>18</v>
      </c>
      <c r="D160" t="s">
        <v>24</v>
      </c>
      <c r="E160">
        <v>5.7</v>
      </c>
      <c r="F160">
        <v>1.3</v>
      </c>
      <c r="G160">
        <v>0</v>
      </c>
      <c r="H160" t="str">
        <f t="shared" si="2"/>
        <v>No Night Usage</v>
      </c>
      <c r="I160">
        <v>5</v>
      </c>
      <c r="J160" s="3">
        <v>10</v>
      </c>
      <c r="K160">
        <v>3.1</v>
      </c>
      <c r="L160" t="s">
        <v>21</v>
      </c>
      <c r="M160">
        <v>2</v>
      </c>
      <c r="N160">
        <v>4</v>
      </c>
      <c r="O160">
        <v>0</v>
      </c>
      <c r="P160">
        <v>1</v>
      </c>
      <c r="Q160">
        <v>1</v>
      </c>
      <c r="R160">
        <v>0</v>
      </c>
      <c r="S160">
        <v>0</v>
      </c>
      <c r="T160" t="str">
        <f>IF(mental_health[Sleep_Hours]&lt;5,"Low",IF(mental_health[Sleep_Hours]&lt;7,"Medium","Good"))</f>
        <v>Medium</v>
      </c>
      <c r="U160" t="str">
        <f>IF(mental_health[Stress_Level]&lt;=3,"Low",IF(mental_health[Stress_Level]&lt;=7,"Medium","High"))</f>
        <v>High</v>
      </c>
      <c r="V160" t="str">
        <f>IF(mental_health[Daily_Screen_Time]&lt;=4,"Low",IF(mental_health[Daily_Screen_Time]&lt;=8,"Medium","High"))</f>
        <v>Medium</v>
      </c>
    </row>
    <row r="161" spans="1:22" x14ac:dyDescent="0.3">
      <c r="A161">
        <v>160</v>
      </c>
      <c r="B161">
        <v>43</v>
      </c>
      <c r="C161" t="s">
        <v>23</v>
      </c>
      <c r="D161" t="s">
        <v>22</v>
      </c>
      <c r="E161">
        <v>7.5</v>
      </c>
      <c r="F161">
        <v>2</v>
      </c>
      <c r="G161">
        <v>1</v>
      </c>
      <c r="H161" t="str">
        <f t="shared" si="2"/>
        <v>Night Usage</v>
      </c>
      <c r="I161">
        <v>7.3</v>
      </c>
      <c r="J161" s="3">
        <v>5</v>
      </c>
      <c r="K161">
        <v>11.9</v>
      </c>
      <c r="L161" t="s">
        <v>25</v>
      </c>
      <c r="M161">
        <v>7</v>
      </c>
      <c r="N161">
        <v>0</v>
      </c>
      <c r="O161">
        <v>1</v>
      </c>
      <c r="P161">
        <v>0</v>
      </c>
      <c r="Q161">
        <v>0</v>
      </c>
      <c r="R161">
        <v>1</v>
      </c>
      <c r="S161">
        <v>1</v>
      </c>
      <c r="T161" t="str">
        <f>IF(mental_health[Sleep_Hours]&lt;5,"Low",IF(mental_health[Sleep_Hours]&lt;7,"Medium","Good"))</f>
        <v>Good</v>
      </c>
      <c r="U161" t="str">
        <f>IF(mental_health[Stress_Level]&lt;=3,"Low",IF(mental_health[Stress_Level]&lt;=7,"Medium","High"))</f>
        <v>Medium</v>
      </c>
      <c r="V161" t="str">
        <f>IF(mental_health[Daily_Screen_Time]&lt;=4,"Low",IF(mental_health[Daily_Screen_Time]&lt;=8,"Medium","High"))</f>
        <v>Medium</v>
      </c>
    </row>
    <row r="162" spans="1:22" x14ac:dyDescent="0.3">
      <c r="A162">
        <v>161</v>
      </c>
      <c r="B162">
        <v>59</v>
      </c>
      <c r="C162" t="s">
        <v>23</v>
      </c>
      <c r="D162" t="s">
        <v>22</v>
      </c>
      <c r="E162">
        <v>2.5</v>
      </c>
      <c r="F162">
        <v>4.8</v>
      </c>
      <c r="G162">
        <v>0</v>
      </c>
      <c r="H162" t="str">
        <f t="shared" si="2"/>
        <v>No Night Usage</v>
      </c>
      <c r="I162">
        <v>6.9</v>
      </c>
      <c r="J162" s="3">
        <v>9</v>
      </c>
      <c r="K162">
        <v>5</v>
      </c>
      <c r="L162" t="s">
        <v>20</v>
      </c>
      <c r="M162">
        <v>5</v>
      </c>
      <c r="N162">
        <v>3</v>
      </c>
      <c r="O162">
        <v>0</v>
      </c>
      <c r="P162">
        <v>1</v>
      </c>
      <c r="Q162">
        <v>1</v>
      </c>
      <c r="R162">
        <v>0</v>
      </c>
      <c r="S162">
        <v>1</v>
      </c>
      <c r="T162" t="str">
        <f>IF(mental_health[Sleep_Hours]&lt;5,"Low",IF(mental_health[Sleep_Hours]&lt;7,"Medium","Good"))</f>
        <v>Medium</v>
      </c>
      <c r="U162" t="str">
        <f>IF(mental_health[Stress_Level]&lt;=3,"Low",IF(mental_health[Stress_Level]&lt;=7,"Medium","High"))</f>
        <v>High</v>
      </c>
      <c r="V162" t="str">
        <f>IF(mental_health[Daily_Screen_Time]&lt;=4,"Low",IF(mental_health[Daily_Screen_Time]&lt;=8,"Medium","High"))</f>
        <v>Low</v>
      </c>
    </row>
    <row r="163" spans="1:22" x14ac:dyDescent="0.3">
      <c r="A163">
        <v>162</v>
      </c>
      <c r="B163">
        <v>59</v>
      </c>
      <c r="C163" t="s">
        <v>23</v>
      </c>
      <c r="D163" t="s">
        <v>22</v>
      </c>
      <c r="E163">
        <v>6.3</v>
      </c>
      <c r="F163">
        <v>5</v>
      </c>
      <c r="G163">
        <v>0</v>
      </c>
      <c r="H163" t="str">
        <f t="shared" si="2"/>
        <v>No Night Usage</v>
      </c>
      <c r="I163">
        <v>5</v>
      </c>
      <c r="J163" s="3">
        <v>7</v>
      </c>
      <c r="K163">
        <v>8.3000000000000007</v>
      </c>
      <c r="L163" t="s">
        <v>21</v>
      </c>
      <c r="M163">
        <v>10</v>
      </c>
      <c r="N163">
        <v>3</v>
      </c>
      <c r="O163">
        <v>0</v>
      </c>
      <c r="P163">
        <v>1</v>
      </c>
      <c r="Q163">
        <v>0</v>
      </c>
      <c r="R163">
        <v>1</v>
      </c>
      <c r="S163">
        <v>1</v>
      </c>
      <c r="T163" t="str">
        <f>IF(mental_health[Sleep_Hours]&lt;5,"Low",IF(mental_health[Sleep_Hours]&lt;7,"Medium","Good"))</f>
        <v>Medium</v>
      </c>
      <c r="U163" t="str">
        <f>IF(mental_health[Stress_Level]&lt;=3,"Low",IF(mental_health[Stress_Level]&lt;=7,"Medium","High"))</f>
        <v>Medium</v>
      </c>
      <c r="V163" t="str">
        <f>IF(mental_health[Daily_Screen_Time]&lt;=4,"Low",IF(mental_health[Daily_Screen_Time]&lt;=8,"Medium","High"))</f>
        <v>Medium</v>
      </c>
    </row>
    <row r="164" spans="1:22" x14ac:dyDescent="0.3">
      <c r="A164">
        <v>163</v>
      </c>
      <c r="B164">
        <v>35</v>
      </c>
      <c r="C164" t="s">
        <v>23</v>
      </c>
      <c r="D164" t="s">
        <v>22</v>
      </c>
      <c r="E164">
        <v>10.3</v>
      </c>
      <c r="F164">
        <v>5.5</v>
      </c>
      <c r="G164">
        <v>1</v>
      </c>
      <c r="H164" t="str">
        <f t="shared" si="2"/>
        <v>Night Usage</v>
      </c>
      <c r="I164">
        <v>7.5</v>
      </c>
      <c r="J164" s="3">
        <v>2</v>
      </c>
      <c r="K164">
        <v>7.8</v>
      </c>
      <c r="L164" t="s">
        <v>20</v>
      </c>
      <c r="M164">
        <v>6</v>
      </c>
      <c r="N164">
        <v>2</v>
      </c>
      <c r="O164">
        <v>0</v>
      </c>
      <c r="P164">
        <v>0</v>
      </c>
      <c r="Q164">
        <v>0</v>
      </c>
      <c r="R164">
        <v>0</v>
      </c>
      <c r="S164">
        <v>1</v>
      </c>
      <c r="T164" t="str">
        <f>IF(mental_health[Sleep_Hours]&lt;5,"Low",IF(mental_health[Sleep_Hours]&lt;7,"Medium","Good"))</f>
        <v>Good</v>
      </c>
      <c r="U164" t="str">
        <f>IF(mental_health[Stress_Level]&lt;=3,"Low",IF(mental_health[Stress_Level]&lt;=7,"Medium","High"))</f>
        <v>Low</v>
      </c>
      <c r="V164" t="str">
        <f>IF(mental_health[Daily_Screen_Time]&lt;=4,"Low",IF(mental_health[Daily_Screen_Time]&lt;=8,"Medium","High"))</f>
        <v>High</v>
      </c>
    </row>
    <row r="165" spans="1:22" x14ac:dyDescent="0.3">
      <c r="A165">
        <v>164</v>
      </c>
      <c r="B165">
        <v>45</v>
      </c>
      <c r="C165" t="s">
        <v>18</v>
      </c>
      <c r="D165" t="s">
        <v>22</v>
      </c>
      <c r="E165">
        <v>10.1</v>
      </c>
      <c r="F165">
        <v>1.1000000000000001</v>
      </c>
      <c r="G165">
        <v>0</v>
      </c>
      <c r="H165" t="str">
        <f t="shared" si="2"/>
        <v>No Night Usage</v>
      </c>
      <c r="I165">
        <v>6.9</v>
      </c>
      <c r="J165" s="3">
        <v>1</v>
      </c>
      <c r="K165">
        <v>9.9</v>
      </c>
      <c r="L165" t="s">
        <v>21</v>
      </c>
      <c r="M165">
        <v>6</v>
      </c>
      <c r="N165">
        <v>2</v>
      </c>
      <c r="O165">
        <v>1</v>
      </c>
      <c r="P165">
        <v>1</v>
      </c>
      <c r="Q165">
        <v>1</v>
      </c>
      <c r="R165">
        <v>0</v>
      </c>
      <c r="S165">
        <v>1</v>
      </c>
      <c r="T165" t="str">
        <f>IF(mental_health[Sleep_Hours]&lt;5,"Low",IF(mental_health[Sleep_Hours]&lt;7,"Medium","Good"))</f>
        <v>Medium</v>
      </c>
      <c r="U165" t="str">
        <f>IF(mental_health[Stress_Level]&lt;=3,"Low",IF(mental_health[Stress_Level]&lt;=7,"Medium","High"))</f>
        <v>Low</v>
      </c>
      <c r="V165" t="str">
        <f>IF(mental_health[Daily_Screen_Time]&lt;=4,"Low",IF(mental_health[Daily_Screen_Time]&lt;=8,"Medium","High"))</f>
        <v>High</v>
      </c>
    </row>
    <row r="166" spans="1:22" x14ac:dyDescent="0.3">
      <c r="A166">
        <v>165</v>
      </c>
      <c r="B166">
        <v>26</v>
      </c>
      <c r="C166" t="s">
        <v>23</v>
      </c>
      <c r="D166" t="s">
        <v>22</v>
      </c>
      <c r="E166">
        <v>4.2</v>
      </c>
      <c r="F166">
        <v>7.7</v>
      </c>
      <c r="G166">
        <v>1</v>
      </c>
      <c r="H166" t="str">
        <f t="shared" si="2"/>
        <v>Night Usage</v>
      </c>
      <c r="I166">
        <v>6.8</v>
      </c>
      <c r="J166" s="3">
        <v>2</v>
      </c>
      <c r="K166">
        <v>4.9000000000000004</v>
      </c>
      <c r="L166" t="s">
        <v>21</v>
      </c>
      <c r="M166">
        <v>6</v>
      </c>
      <c r="N166">
        <v>4</v>
      </c>
      <c r="O166">
        <v>0</v>
      </c>
      <c r="P166">
        <v>1</v>
      </c>
      <c r="Q166">
        <v>0</v>
      </c>
      <c r="R166">
        <v>1</v>
      </c>
      <c r="S166">
        <v>0</v>
      </c>
      <c r="T166" t="str">
        <f>IF(mental_health[Sleep_Hours]&lt;5,"Low",IF(mental_health[Sleep_Hours]&lt;7,"Medium","Good"))</f>
        <v>Medium</v>
      </c>
      <c r="U166" t="str">
        <f>IF(mental_health[Stress_Level]&lt;=3,"Low",IF(mental_health[Stress_Level]&lt;=7,"Medium","High"))</f>
        <v>Low</v>
      </c>
      <c r="V166" t="str">
        <f>IF(mental_health[Daily_Screen_Time]&lt;=4,"Low",IF(mental_health[Daily_Screen_Time]&lt;=8,"Medium","High"))</f>
        <v>Medium</v>
      </c>
    </row>
    <row r="167" spans="1:22" x14ac:dyDescent="0.3">
      <c r="A167">
        <v>166</v>
      </c>
      <c r="B167">
        <v>43</v>
      </c>
      <c r="C167" t="s">
        <v>18</v>
      </c>
      <c r="D167" t="s">
        <v>22</v>
      </c>
      <c r="E167">
        <v>4.3</v>
      </c>
      <c r="F167">
        <v>1.3</v>
      </c>
      <c r="G167">
        <v>0</v>
      </c>
      <c r="H167" t="str">
        <f t="shared" si="2"/>
        <v>No Night Usage</v>
      </c>
      <c r="I167">
        <v>6.3</v>
      </c>
      <c r="J167" s="3">
        <v>3</v>
      </c>
      <c r="K167">
        <v>9.6</v>
      </c>
      <c r="L167" t="s">
        <v>20</v>
      </c>
      <c r="M167">
        <v>10</v>
      </c>
      <c r="N167">
        <v>2</v>
      </c>
      <c r="O167">
        <v>0</v>
      </c>
      <c r="P167">
        <v>0</v>
      </c>
      <c r="Q167">
        <v>1</v>
      </c>
      <c r="R167">
        <v>1</v>
      </c>
      <c r="S167">
        <v>0</v>
      </c>
      <c r="T167" t="str">
        <f>IF(mental_health[Sleep_Hours]&lt;5,"Low",IF(mental_health[Sleep_Hours]&lt;7,"Medium","Good"))</f>
        <v>Medium</v>
      </c>
      <c r="U167" t="str">
        <f>IF(mental_health[Stress_Level]&lt;=3,"Low",IF(mental_health[Stress_Level]&lt;=7,"Medium","High"))</f>
        <v>Low</v>
      </c>
      <c r="V167" t="str">
        <f>IF(mental_health[Daily_Screen_Time]&lt;=4,"Low",IF(mental_health[Daily_Screen_Time]&lt;=8,"Medium","High"))</f>
        <v>Medium</v>
      </c>
    </row>
    <row r="168" spans="1:22" x14ac:dyDescent="0.3">
      <c r="A168">
        <v>167</v>
      </c>
      <c r="B168">
        <v>40</v>
      </c>
      <c r="C168" t="s">
        <v>18</v>
      </c>
      <c r="D168" t="s">
        <v>22</v>
      </c>
      <c r="E168">
        <v>10.199999999999999</v>
      </c>
      <c r="F168">
        <v>2</v>
      </c>
      <c r="G168">
        <v>0</v>
      </c>
      <c r="H168" t="str">
        <f t="shared" si="2"/>
        <v>No Night Usage</v>
      </c>
      <c r="I168">
        <v>3.1</v>
      </c>
      <c r="J168" s="3">
        <v>2</v>
      </c>
      <c r="K168">
        <v>5.8</v>
      </c>
      <c r="L168" t="s">
        <v>20</v>
      </c>
      <c r="M168">
        <v>8</v>
      </c>
      <c r="N168">
        <v>4</v>
      </c>
      <c r="O168">
        <v>1</v>
      </c>
      <c r="P168">
        <v>0</v>
      </c>
      <c r="Q168">
        <v>0</v>
      </c>
      <c r="R168">
        <v>0</v>
      </c>
      <c r="S168">
        <v>1</v>
      </c>
      <c r="T168" t="str">
        <f>IF(mental_health[Sleep_Hours]&lt;5,"Low",IF(mental_health[Sleep_Hours]&lt;7,"Medium","Good"))</f>
        <v>Low</v>
      </c>
      <c r="U168" t="str">
        <f>IF(mental_health[Stress_Level]&lt;=3,"Low",IF(mental_health[Stress_Level]&lt;=7,"Medium","High"))</f>
        <v>Low</v>
      </c>
      <c r="V168" t="str">
        <f>IF(mental_health[Daily_Screen_Time]&lt;=4,"Low",IF(mental_health[Daily_Screen_Time]&lt;=8,"Medium","High"))</f>
        <v>High</v>
      </c>
    </row>
    <row r="169" spans="1:22" x14ac:dyDescent="0.3">
      <c r="A169">
        <v>168</v>
      </c>
      <c r="B169">
        <v>54</v>
      </c>
      <c r="C169" t="s">
        <v>23</v>
      </c>
      <c r="D169" t="s">
        <v>19</v>
      </c>
      <c r="E169">
        <v>11.3</v>
      </c>
      <c r="F169">
        <v>1.1000000000000001</v>
      </c>
      <c r="G169">
        <v>0</v>
      </c>
      <c r="H169" t="str">
        <f t="shared" si="2"/>
        <v>No Night Usage</v>
      </c>
      <c r="I169">
        <v>7.2</v>
      </c>
      <c r="J169" s="3">
        <v>3</v>
      </c>
      <c r="K169">
        <v>6.1</v>
      </c>
      <c r="L169" t="s">
        <v>20</v>
      </c>
      <c r="M169">
        <v>10</v>
      </c>
      <c r="N169">
        <v>1</v>
      </c>
      <c r="O169">
        <v>1</v>
      </c>
      <c r="P169">
        <v>1</v>
      </c>
      <c r="Q169">
        <v>0</v>
      </c>
      <c r="R169">
        <v>0</v>
      </c>
      <c r="S169">
        <v>0</v>
      </c>
      <c r="T169" t="str">
        <f>IF(mental_health[Sleep_Hours]&lt;5,"Low",IF(mental_health[Sleep_Hours]&lt;7,"Medium","Good"))</f>
        <v>Good</v>
      </c>
      <c r="U169" t="str">
        <f>IF(mental_health[Stress_Level]&lt;=3,"Low",IF(mental_health[Stress_Level]&lt;=7,"Medium","High"))</f>
        <v>Low</v>
      </c>
      <c r="V169" t="str">
        <f>IF(mental_health[Daily_Screen_Time]&lt;=4,"Low",IF(mental_health[Daily_Screen_Time]&lt;=8,"Medium","High"))</f>
        <v>High</v>
      </c>
    </row>
    <row r="170" spans="1:22" x14ac:dyDescent="0.3">
      <c r="A170">
        <v>169</v>
      </c>
      <c r="B170">
        <v>48</v>
      </c>
      <c r="C170" t="s">
        <v>23</v>
      </c>
      <c r="D170" t="s">
        <v>24</v>
      </c>
      <c r="E170">
        <v>3</v>
      </c>
      <c r="F170">
        <v>5</v>
      </c>
      <c r="G170">
        <v>0</v>
      </c>
      <c r="H170" t="str">
        <f t="shared" si="2"/>
        <v>No Night Usage</v>
      </c>
      <c r="I170">
        <v>5.3</v>
      </c>
      <c r="J170" s="3">
        <v>10</v>
      </c>
      <c r="K170">
        <v>8.6999999999999993</v>
      </c>
      <c r="L170" t="s">
        <v>25</v>
      </c>
      <c r="M170">
        <v>4</v>
      </c>
      <c r="N170">
        <v>4</v>
      </c>
      <c r="O170">
        <v>0</v>
      </c>
      <c r="P170">
        <v>0</v>
      </c>
      <c r="Q170">
        <v>1</v>
      </c>
      <c r="R170">
        <v>1</v>
      </c>
      <c r="S170">
        <v>1</v>
      </c>
      <c r="T170" t="str">
        <f>IF(mental_health[Sleep_Hours]&lt;5,"Low",IF(mental_health[Sleep_Hours]&lt;7,"Medium","Good"))</f>
        <v>Medium</v>
      </c>
      <c r="U170" t="str">
        <f>IF(mental_health[Stress_Level]&lt;=3,"Low",IF(mental_health[Stress_Level]&lt;=7,"Medium","High"))</f>
        <v>High</v>
      </c>
      <c r="V170" t="str">
        <f>IF(mental_health[Daily_Screen_Time]&lt;=4,"Low",IF(mental_health[Daily_Screen_Time]&lt;=8,"Medium","High"))</f>
        <v>Low</v>
      </c>
    </row>
    <row r="171" spans="1:22" x14ac:dyDescent="0.3">
      <c r="A171">
        <v>170</v>
      </c>
      <c r="B171">
        <v>16</v>
      </c>
      <c r="C171" t="s">
        <v>23</v>
      </c>
      <c r="D171" t="s">
        <v>22</v>
      </c>
      <c r="E171">
        <v>6.5</v>
      </c>
      <c r="F171">
        <v>7.5</v>
      </c>
      <c r="G171">
        <v>0</v>
      </c>
      <c r="H171" t="str">
        <f t="shared" si="2"/>
        <v>No Night Usage</v>
      </c>
      <c r="I171">
        <v>8.6999999999999993</v>
      </c>
      <c r="J171" s="3">
        <v>9</v>
      </c>
      <c r="K171">
        <v>9.8000000000000007</v>
      </c>
      <c r="L171" t="s">
        <v>21</v>
      </c>
      <c r="M171">
        <v>10</v>
      </c>
      <c r="N171">
        <v>2</v>
      </c>
      <c r="O171">
        <v>0</v>
      </c>
      <c r="P171">
        <v>0</v>
      </c>
      <c r="Q171">
        <v>1</v>
      </c>
      <c r="R171">
        <v>0</v>
      </c>
      <c r="S171">
        <v>1</v>
      </c>
      <c r="T171" t="str">
        <f>IF(mental_health[Sleep_Hours]&lt;5,"Low",IF(mental_health[Sleep_Hours]&lt;7,"Medium","Good"))</f>
        <v>Good</v>
      </c>
      <c r="U171" t="str">
        <f>IF(mental_health[Stress_Level]&lt;=3,"Low",IF(mental_health[Stress_Level]&lt;=7,"Medium","High"))</f>
        <v>High</v>
      </c>
      <c r="V171" t="str">
        <f>IF(mental_health[Daily_Screen_Time]&lt;=4,"Low",IF(mental_health[Daily_Screen_Time]&lt;=8,"Medium","High"))</f>
        <v>Medium</v>
      </c>
    </row>
    <row r="172" spans="1:22" x14ac:dyDescent="0.3">
      <c r="A172">
        <v>171</v>
      </c>
      <c r="B172">
        <v>42</v>
      </c>
      <c r="C172" t="s">
        <v>18</v>
      </c>
      <c r="D172" t="s">
        <v>22</v>
      </c>
      <c r="E172">
        <v>5.4</v>
      </c>
      <c r="F172">
        <v>5.7</v>
      </c>
      <c r="G172">
        <v>0</v>
      </c>
      <c r="H172" t="str">
        <f t="shared" si="2"/>
        <v>No Night Usage</v>
      </c>
      <c r="I172">
        <v>7.9</v>
      </c>
      <c r="J172" s="3">
        <v>4</v>
      </c>
      <c r="K172">
        <v>8.6999999999999993</v>
      </c>
      <c r="L172" t="s">
        <v>21</v>
      </c>
      <c r="M172">
        <v>8</v>
      </c>
      <c r="N172">
        <v>0</v>
      </c>
      <c r="O172">
        <v>0</v>
      </c>
      <c r="P172">
        <v>0</v>
      </c>
      <c r="Q172">
        <v>0</v>
      </c>
      <c r="R172">
        <v>0</v>
      </c>
      <c r="S172">
        <v>1</v>
      </c>
      <c r="T172" t="str">
        <f>IF(mental_health[Sleep_Hours]&lt;5,"Low",IF(mental_health[Sleep_Hours]&lt;7,"Medium","Good"))</f>
        <v>Good</v>
      </c>
      <c r="U172" t="str">
        <f>IF(mental_health[Stress_Level]&lt;=3,"Low",IF(mental_health[Stress_Level]&lt;=7,"Medium","High"))</f>
        <v>Medium</v>
      </c>
      <c r="V172" t="str">
        <f>IF(mental_health[Daily_Screen_Time]&lt;=4,"Low",IF(mental_health[Daily_Screen_Time]&lt;=8,"Medium","High"))</f>
        <v>Medium</v>
      </c>
    </row>
    <row r="173" spans="1:22" x14ac:dyDescent="0.3">
      <c r="A173">
        <v>172</v>
      </c>
      <c r="B173">
        <v>28</v>
      </c>
      <c r="C173" t="s">
        <v>23</v>
      </c>
      <c r="D173" t="s">
        <v>24</v>
      </c>
      <c r="E173">
        <v>10.7</v>
      </c>
      <c r="F173">
        <v>6.8</v>
      </c>
      <c r="G173">
        <v>0</v>
      </c>
      <c r="H173" t="str">
        <f t="shared" si="2"/>
        <v>No Night Usage</v>
      </c>
      <c r="I173">
        <v>6.5</v>
      </c>
      <c r="J173" s="3">
        <v>9</v>
      </c>
      <c r="K173">
        <v>11</v>
      </c>
      <c r="L173" t="s">
        <v>21</v>
      </c>
      <c r="M173">
        <v>9</v>
      </c>
      <c r="N173">
        <v>2</v>
      </c>
      <c r="O173">
        <v>1</v>
      </c>
      <c r="P173">
        <v>0</v>
      </c>
      <c r="Q173">
        <v>1</v>
      </c>
      <c r="R173">
        <v>1</v>
      </c>
      <c r="S173">
        <v>0</v>
      </c>
      <c r="T173" t="str">
        <f>IF(mental_health[Sleep_Hours]&lt;5,"Low",IF(mental_health[Sleep_Hours]&lt;7,"Medium","Good"))</f>
        <v>Medium</v>
      </c>
      <c r="U173" t="str">
        <f>IF(mental_health[Stress_Level]&lt;=3,"Low",IF(mental_health[Stress_Level]&lt;=7,"Medium","High"))</f>
        <v>High</v>
      </c>
      <c r="V173" t="str">
        <f>IF(mental_health[Daily_Screen_Time]&lt;=4,"Low",IF(mental_health[Daily_Screen_Time]&lt;=8,"Medium","High"))</f>
        <v>High</v>
      </c>
    </row>
    <row r="174" spans="1:22" x14ac:dyDescent="0.3">
      <c r="A174">
        <v>173</v>
      </c>
      <c r="B174">
        <v>56</v>
      </c>
      <c r="C174" t="s">
        <v>23</v>
      </c>
      <c r="D174" t="s">
        <v>19</v>
      </c>
      <c r="E174">
        <v>2.8</v>
      </c>
      <c r="F174">
        <v>1.1000000000000001</v>
      </c>
      <c r="G174">
        <v>1</v>
      </c>
      <c r="H174" t="str">
        <f t="shared" si="2"/>
        <v>Night Usage</v>
      </c>
      <c r="I174">
        <v>4.5</v>
      </c>
      <c r="J174" s="3">
        <v>3</v>
      </c>
      <c r="K174">
        <v>4.9000000000000004</v>
      </c>
      <c r="L174" t="s">
        <v>20</v>
      </c>
      <c r="M174">
        <v>4</v>
      </c>
      <c r="N174">
        <v>3</v>
      </c>
      <c r="O174">
        <v>1</v>
      </c>
      <c r="P174">
        <v>0</v>
      </c>
      <c r="Q174">
        <v>0</v>
      </c>
      <c r="R174">
        <v>0</v>
      </c>
      <c r="S174">
        <v>0</v>
      </c>
      <c r="T174" t="str">
        <f>IF(mental_health[Sleep_Hours]&lt;5,"Low",IF(mental_health[Sleep_Hours]&lt;7,"Medium","Good"))</f>
        <v>Low</v>
      </c>
      <c r="U174" t="str">
        <f>IF(mental_health[Stress_Level]&lt;=3,"Low",IF(mental_health[Stress_Level]&lt;=7,"Medium","High"))</f>
        <v>Low</v>
      </c>
      <c r="V174" t="str">
        <f>IF(mental_health[Daily_Screen_Time]&lt;=4,"Low",IF(mental_health[Daily_Screen_Time]&lt;=8,"Medium","High"))</f>
        <v>Low</v>
      </c>
    </row>
    <row r="175" spans="1:22" x14ac:dyDescent="0.3">
      <c r="A175">
        <v>174</v>
      </c>
      <c r="B175">
        <v>18</v>
      </c>
      <c r="C175" t="s">
        <v>18</v>
      </c>
      <c r="D175" t="s">
        <v>24</v>
      </c>
      <c r="E175">
        <v>4.0999999999999996</v>
      </c>
      <c r="F175">
        <v>4.8</v>
      </c>
      <c r="G175">
        <v>0</v>
      </c>
      <c r="H175" t="str">
        <f t="shared" si="2"/>
        <v>No Night Usage</v>
      </c>
      <c r="I175">
        <v>4.2</v>
      </c>
      <c r="J175" s="3">
        <v>1</v>
      </c>
      <c r="K175">
        <v>11</v>
      </c>
      <c r="L175" t="s">
        <v>21</v>
      </c>
      <c r="M175">
        <v>1</v>
      </c>
      <c r="N175">
        <v>2</v>
      </c>
      <c r="O175">
        <v>0</v>
      </c>
      <c r="P175">
        <v>0</v>
      </c>
      <c r="Q175">
        <v>0</v>
      </c>
      <c r="R175">
        <v>0</v>
      </c>
      <c r="S175">
        <v>1</v>
      </c>
      <c r="T175" t="str">
        <f>IF(mental_health[Sleep_Hours]&lt;5,"Low",IF(mental_health[Sleep_Hours]&lt;7,"Medium","Good"))</f>
        <v>Low</v>
      </c>
      <c r="U175" t="str">
        <f>IF(mental_health[Stress_Level]&lt;=3,"Low",IF(mental_health[Stress_Level]&lt;=7,"Medium","High"))</f>
        <v>Low</v>
      </c>
      <c r="V175" t="str">
        <f>IF(mental_health[Daily_Screen_Time]&lt;=4,"Low",IF(mental_health[Daily_Screen_Time]&lt;=8,"Medium","High"))</f>
        <v>Medium</v>
      </c>
    </row>
    <row r="176" spans="1:22" x14ac:dyDescent="0.3">
      <c r="A176">
        <v>175</v>
      </c>
      <c r="B176">
        <v>54</v>
      </c>
      <c r="C176" t="s">
        <v>23</v>
      </c>
      <c r="D176" t="s">
        <v>24</v>
      </c>
      <c r="E176">
        <v>9.5</v>
      </c>
      <c r="F176">
        <v>4.2</v>
      </c>
      <c r="G176">
        <v>0</v>
      </c>
      <c r="H176" t="str">
        <f t="shared" si="2"/>
        <v>No Night Usage</v>
      </c>
      <c r="I176">
        <v>5</v>
      </c>
      <c r="J176" s="3">
        <v>5</v>
      </c>
      <c r="K176">
        <v>3.3</v>
      </c>
      <c r="L176" t="s">
        <v>21</v>
      </c>
      <c r="M176">
        <v>3</v>
      </c>
      <c r="N176">
        <v>1</v>
      </c>
      <c r="O176">
        <v>0</v>
      </c>
      <c r="P176">
        <v>0</v>
      </c>
      <c r="Q176">
        <v>0</v>
      </c>
      <c r="R176">
        <v>0</v>
      </c>
      <c r="S176">
        <v>1</v>
      </c>
      <c r="T176" t="str">
        <f>IF(mental_health[Sleep_Hours]&lt;5,"Low",IF(mental_health[Sleep_Hours]&lt;7,"Medium","Good"))</f>
        <v>Medium</v>
      </c>
      <c r="U176" t="str">
        <f>IF(mental_health[Stress_Level]&lt;=3,"Low",IF(mental_health[Stress_Level]&lt;=7,"Medium","High"))</f>
        <v>Medium</v>
      </c>
      <c r="V176" t="str">
        <f>IF(mental_health[Daily_Screen_Time]&lt;=4,"Low",IF(mental_health[Daily_Screen_Time]&lt;=8,"Medium","High"))</f>
        <v>High</v>
      </c>
    </row>
    <row r="177" spans="1:22" x14ac:dyDescent="0.3">
      <c r="A177">
        <v>176</v>
      </c>
      <c r="B177">
        <v>21</v>
      </c>
      <c r="C177" t="s">
        <v>18</v>
      </c>
      <c r="D177" t="s">
        <v>22</v>
      </c>
      <c r="E177">
        <v>2.5</v>
      </c>
      <c r="F177">
        <v>4.5</v>
      </c>
      <c r="G177">
        <v>0</v>
      </c>
      <c r="H177" t="str">
        <f t="shared" si="2"/>
        <v>No Night Usage</v>
      </c>
      <c r="I177">
        <v>5.9</v>
      </c>
      <c r="J177" s="3">
        <v>10</v>
      </c>
      <c r="K177">
        <v>8.6</v>
      </c>
      <c r="L177" t="s">
        <v>20</v>
      </c>
      <c r="M177">
        <v>1</v>
      </c>
      <c r="N177">
        <v>4</v>
      </c>
      <c r="O177">
        <v>0</v>
      </c>
      <c r="P177">
        <v>1</v>
      </c>
      <c r="Q177">
        <v>1</v>
      </c>
      <c r="R177">
        <v>1</v>
      </c>
      <c r="S177">
        <v>1</v>
      </c>
      <c r="T177" t="str">
        <f>IF(mental_health[Sleep_Hours]&lt;5,"Low",IF(mental_health[Sleep_Hours]&lt;7,"Medium","Good"))</f>
        <v>Medium</v>
      </c>
      <c r="U177" t="str">
        <f>IF(mental_health[Stress_Level]&lt;=3,"Low",IF(mental_health[Stress_Level]&lt;=7,"Medium","High"))</f>
        <v>High</v>
      </c>
      <c r="V177" t="str">
        <f>IF(mental_health[Daily_Screen_Time]&lt;=4,"Low",IF(mental_health[Daily_Screen_Time]&lt;=8,"Medium","High"))</f>
        <v>Low</v>
      </c>
    </row>
    <row r="178" spans="1:22" x14ac:dyDescent="0.3">
      <c r="A178">
        <v>177</v>
      </c>
      <c r="B178">
        <v>23</v>
      </c>
      <c r="C178" t="s">
        <v>23</v>
      </c>
      <c r="D178" t="s">
        <v>24</v>
      </c>
      <c r="E178">
        <v>6.9</v>
      </c>
      <c r="F178">
        <v>1.5</v>
      </c>
      <c r="G178">
        <v>1</v>
      </c>
      <c r="H178" t="str">
        <f t="shared" si="2"/>
        <v>Night Usage</v>
      </c>
      <c r="I178">
        <v>4.8</v>
      </c>
      <c r="J178" s="3">
        <v>10</v>
      </c>
      <c r="K178">
        <v>7.5</v>
      </c>
      <c r="L178" t="s">
        <v>20</v>
      </c>
      <c r="M178">
        <v>7</v>
      </c>
      <c r="N178">
        <v>3</v>
      </c>
      <c r="O178">
        <v>1</v>
      </c>
      <c r="P178">
        <v>0</v>
      </c>
      <c r="Q178">
        <v>1</v>
      </c>
      <c r="R178">
        <v>1</v>
      </c>
      <c r="S178">
        <v>0</v>
      </c>
      <c r="T178" t="str">
        <f>IF(mental_health[Sleep_Hours]&lt;5,"Low",IF(mental_health[Sleep_Hours]&lt;7,"Medium","Good"))</f>
        <v>Low</v>
      </c>
      <c r="U178" t="str">
        <f>IF(mental_health[Stress_Level]&lt;=3,"Low",IF(mental_health[Stress_Level]&lt;=7,"Medium","High"))</f>
        <v>High</v>
      </c>
      <c r="V178" t="str">
        <f>IF(mental_health[Daily_Screen_Time]&lt;=4,"Low",IF(mental_health[Daily_Screen_Time]&lt;=8,"Medium","High"))</f>
        <v>Medium</v>
      </c>
    </row>
    <row r="179" spans="1:22" x14ac:dyDescent="0.3">
      <c r="A179">
        <v>178</v>
      </c>
      <c r="B179">
        <v>42</v>
      </c>
      <c r="C179" t="s">
        <v>18</v>
      </c>
      <c r="D179" t="s">
        <v>24</v>
      </c>
      <c r="E179">
        <v>6.4</v>
      </c>
      <c r="F179">
        <v>5.8</v>
      </c>
      <c r="G179">
        <v>1</v>
      </c>
      <c r="H179" t="str">
        <f t="shared" si="2"/>
        <v>Night Usage</v>
      </c>
      <c r="I179">
        <v>6.1</v>
      </c>
      <c r="J179" s="3">
        <v>2</v>
      </c>
      <c r="K179">
        <v>6.9</v>
      </c>
      <c r="L179" t="s">
        <v>21</v>
      </c>
      <c r="M179">
        <v>1</v>
      </c>
      <c r="N179">
        <v>4</v>
      </c>
      <c r="O179">
        <v>0</v>
      </c>
      <c r="P179">
        <v>0</v>
      </c>
      <c r="Q179">
        <v>0</v>
      </c>
      <c r="R179">
        <v>0</v>
      </c>
      <c r="S179">
        <v>1</v>
      </c>
      <c r="T179" t="str">
        <f>IF(mental_health[Sleep_Hours]&lt;5,"Low",IF(mental_health[Sleep_Hours]&lt;7,"Medium","Good"))</f>
        <v>Medium</v>
      </c>
      <c r="U179" t="str">
        <f>IF(mental_health[Stress_Level]&lt;=3,"Low",IF(mental_health[Stress_Level]&lt;=7,"Medium","High"))</f>
        <v>Low</v>
      </c>
      <c r="V179" t="str">
        <f>IF(mental_health[Daily_Screen_Time]&lt;=4,"Low",IF(mental_health[Daily_Screen_Time]&lt;=8,"Medium","High"))</f>
        <v>Medium</v>
      </c>
    </row>
    <row r="180" spans="1:22" x14ac:dyDescent="0.3">
      <c r="A180">
        <v>179</v>
      </c>
      <c r="B180">
        <v>24</v>
      </c>
      <c r="C180" t="s">
        <v>23</v>
      </c>
      <c r="D180" t="s">
        <v>22</v>
      </c>
      <c r="E180">
        <v>5.3</v>
      </c>
      <c r="F180">
        <v>4.5</v>
      </c>
      <c r="G180">
        <v>0</v>
      </c>
      <c r="H180" t="str">
        <f t="shared" si="2"/>
        <v>No Night Usage</v>
      </c>
      <c r="I180">
        <v>4</v>
      </c>
      <c r="J180" s="3">
        <v>4</v>
      </c>
      <c r="K180">
        <v>5.0999999999999996</v>
      </c>
      <c r="L180" t="s">
        <v>25</v>
      </c>
      <c r="M180">
        <v>4</v>
      </c>
      <c r="N180">
        <v>4</v>
      </c>
      <c r="O180">
        <v>0</v>
      </c>
      <c r="P180">
        <v>0</v>
      </c>
      <c r="Q180">
        <v>1</v>
      </c>
      <c r="R180">
        <v>1</v>
      </c>
      <c r="S180">
        <v>0</v>
      </c>
      <c r="T180" t="str">
        <f>IF(mental_health[Sleep_Hours]&lt;5,"Low",IF(mental_health[Sleep_Hours]&lt;7,"Medium","Good"))</f>
        <v>Low</v>
      </c>
      <c r="U180" t="str">
        <f>IF(mental_health[Stress_Level]&lt;=3,"Low",IF(mental_health[Stress_Level]&lt;=7,"Medium","High"))</f>
        <v>Medium</v>
      </c>
      <c r="V180" t="str">
        <f>IF(mental_health[Daily_Screen_Time]&lt;=4,"Low",IF(mental_health[Daily_Screen_Time]&lt;=8,"Medium","High"))</f>
        <v>Medium</v>
      </c>
    </row>
    <row r="181" spans="1:22" x14ac:dyDescent="0.3">
      <c r="A181">
        <v>180</v>
      </c>
      <c r="B181">
        <v>52</v>
      </c>
      <c r="C181" t="s">
        <v>23</v>
      </c>
      <c r="D181" t="s">
        <v>22</v>
      </c>
      <c r="E181">
        <v>5.9</v>
      </c>
      <c r="F181">
        <v>6.4</v>
      </c>
      <c r="G181">
        <v>0</v>
      </c>
      <c r="H181" t="str">
        <f t="shared" si="2"/>
        <v>No Night Usage</v>
      </c>
      <c r="I181">
        <v>8.9</v>
      </c>
      <c r="J181" s="3">
        <v>2</v>
      </c>
      <c r="K181">
        <v>7</v>
      </c>
      <c r="L181" t="s">
        <v>20</v>
      </c>
      <c r="M181">
        <v>1</v>
      </c>
      <c r="N181">
        <v>2</v>
      </c>
      <c r="O181">
        <v>1</v>
      </c>
      <c r="P181">
        <v>0</v>
      </c>
      <c r="Q181">
        <v>1</v>
      </c>
      <c r="R181">
        <v>0</v>
      </c>
      <c r="S181">
        <v>0</v>
      </c>
      <c r="T181" t="str">
        <f>IF(mental_health[Sleep_Hours]&lt;5,"Low",IF(mental_health[Sleep_Hours]&lt;7,"Medium","Good"))</f>
        <v>Good</v>
      </c>
      <c r="U181" t="str">
        <f>IF(mental_health[Stress_Level]&lt;=3,"Low",IF(mental_health[Stress_Level]&lt;=7,"Medium","High"))</f>
        <v>Low</v>
      </c>
      <c r="V181" t="str">
        <f>IF(mental_health[Daily_Screen_Time]&lt;=4,"Low",IF(mental_health[Daily_Screen_Time]&lt;=8,"Medium","High"))</f>
        <v>Medium</v>
      </c>
    </row>
    <row r="182" spans="1:22" x14ac:dyDescent="0.3">
      <c r="A182">
        <v>181</v>
      </c>
      <c r="B182">
        <v>48</v>
      </c>
      <c r="C182" t="s">
        <v>18</v>
      </c>
      <c r="D182" t="s">
        <v>22</v>
      </c>
      <c r="E182">
        <v>7.3</v>
      </c>
      <c r="F182">
        <v>4.4000000000000004</v>
      </c>
      <c r="G182">
        <v>0</v>
      </c>
      <c r="H182" t="str">
        <f t="shared" si="2"/>
        <v>No Night Usage</v>
      </c>
      <c r="I182">
        <v>3.6</v>
      </c>
      <c r="J182" s="3">
        <v>2</v>
      </c>
      <c r="K182">
        <v>3.6</v>
      </c>
      <c r="L182" t="s">
        <v>25</v>
      </c>
      <c r="M182">
        <v>2</v>
      </c>
      <c r="N182">
        <v>0</v>
      </c>
      <c r="O182">
        <v>0</v>
      </c>
      <c r="P182">
        <v>1</v>
      </c>
      <c r="Q182">
        <v>0</v>
      </c>
      <c r="R182">
        <v>0</v>
      </c>
      <c r="S182">
        <v>1</v>
      </c>
      <c r="T182" t="str">
        <f>IF(mental_health[Sleep_Hours]&lt;5,"Low",IF(mental_health[Sleep_Hours]&lt;7,"Medium","Good"))</f>
        <v>Low</v>
      </c>
      <c r="U182" t="str">
        <f>IF(mental_health[Stress_Level]&lt;=3,"Low",IF(mental_health[Stress_Level]&lt;=7,"Medium","High"))</f>
        <v>Low</v>
      </c>
      <c r="V182" t="str">
        <f>IF(mental_health[Daily_Screen_Time]&lt;=4,"Low",IF(mental_health[Daily_Screen_Time]&lt;=8,"Medium","High"))</f>
        <v>Medium</v>
      </c>
    </row>
    <row r="183" spans="1:22" x14ac:dyDescent="0.3">
      <c r="A183">
        <v>182</v>
      </c>
      <c r="B183">
        <v>57</v>
      </c>
      <c r="C183" t="s">
        <v>18</v>
      </c>
      <c r="D183" t="s">
        <v>22</v>
      </c>
      <c r="E183">
        <v>3.6</v>
      </c>
      <c r="F183">
        <v>2</v>
      </c>
      <c r="G183">
        <v>1</v>
      </c>
      <c r="H183" t="str">
        <f t="shared" si="2"/>
        <v>Night Usage</v>
      </c>
      <c r="I183">
        <v>8.6</v>
      </c>
      <c r="J183" s="3">
        <v>3</v>
      </c>
      <c r="K183">
        <v>5.7</v>
      </c>
      <c r="L183" t="s">
        <v>25</v>
      </c>
      <c r="M183">
        <v>1</v>
      </c>
      <c r="N183">
        <v>3</v>
      </c>
      <c r="O183">
        <v>1</v>
      </c>
      <c r="P183">
        <v>1</v>
      </c>
      <c r="Q183">
        <v>0</v>
      </c>
      <c r="R183">
        <v>1</v>
      </c>
      <c r="S183">
        <v>0</v>
      </c>
      <c r="T183" t="str">
        <f>IF(mental_health[Sleep_Hours]&lt;5,"Low",IF(mental_health[Sleep_Hours]&lt;7,"Medium","Good"))</f>
        <v>Good</v>
      </c>
      <c r="U183" t="str">
        <f>IF(mental_health[Stress_Level]&lt;=3,"Low",IF(mental_health[Stress_Level]&lt;=7,"Medium","High"))</f>
        <v>Low</v>
      </c>
      <c r="V183" t="str">
        <f>IF(mental_health[Daily_Screen_Time]&lt;=4,"Low",IF(mental_health[Daily_Screen_Time]&lt;=8,"Medium","High"))</f>
        <v>Low</v>
      </c>
    </row>
    <row r="184" spans="1:22" x14ac:dyDescent="0.3">
      <c r="A184">
        <v>183</v>
      </c>
      <c r="B184">
        <v>59</v>
      </c>
      <c r="C184" t="s">
        <v>23</v>
      </c>
      <c r="D184" t="s">
        <v>24</v>
      </c>
      <c r="E184">
        <v>7.7</v>
      </c>
      <c r="F184">
        <v>5.5</v>
      </c>
      <c r="G184">
        <v>0</v>
      </c>
      <c r="H184" t="str">
        <f t="shared" si="2"/>
        <v>No Night Usage</v>
      </c>
      <c r="I184">
        <v>8.5</v>
      </c>
      <c r="J184" s="3">
        <v>5</v>
      </c>
      <c r="K184">
        <v>3</v>
      </c>
      <c r="L184" t="s">
        <v>25</v>
      </c>
      <c r="M184">
        <v>5</v>
      </c>
      <c r="N184">
        <v>1</v>
      </c>
      <c r="O184">
        <v>1</v>
      </c>
      <c r="P184">
        <v>0</v>
      </c>
      <c r="Q184">
        <v>1</v>
      </c>
      <c r="R184">
        <v>0</v>
      </c>
      <c r="S184">
        <v>1</v>
      </c>
      <c r="T184" t="str">
        <f>IF(mental_health[Sleep_Hours]&lt;5,"Low",IF(mental_health[Sleep_Hours]&lt;7,"Medium","Good"))</f>
        <v>Good</v>
      </c>
      <c r="U184" t="str">
        <f>IF(mental_health[Stress_Level]&lt;=3,"Low",IF(mental_health[Stress_Level]&lt;=7,"Medium","High"))</f>
        <v>Medium</v>
      </c>
      <c r="V184" t="str">
        <f>IF(mental_health[Daily_Screen_Time]&lt;=4,"Low",IF(mental_health[Daily_Screen_Time]&lt;=8,"Medium","High"))</f>
        <v>Medium</v>
      </c>
    </row>
    <row r="185" spans="1:22" x14ac:dyDescent="0.3">
      <c r="A185">
        <v>184</v>
      </c>
      <c r="B185">
        <v>39</v>
      </c>
      <c r="C185" t="s">
        <v>18</v>
      </c>
      <c r="D185" t="s">
        <v>24</v>
      </c>
      <c r="E185">
        <v>10.1</v>
      </c>
      <c r="F185">
        <v>2.2000000000000002</v>
      </c>
      <c r="G185">
        <v>1</v>
      </c>
      <c r="H185" t="str">
        <f t="shared" si="2"/>
        <v>Night Usage</v>
      </c>
      <c r="I185">
        <v>6.2</v>
      </c>
      <c r="J185" s="3">
        <v>4</v>
      </c>
      <c r="K185">
        <v>7.7</v>
      </c>
      <c r="L185" t="s">
        <v>25</v>
      </c>
      <c r="M185">
        <v>7</v>
      </c>
      <c r="N185">
        <v>1</v>
      </c>
      <c r="O185">
        <v>0</v>
      </c>
      <c r="P185">
        <v>1</v>
      </c>
      <c r="Q185">
        <v>0</v>
      </c>
      <c r="R185">
        <v>0</v>
      </c>
      <c r="S185">
        <v>0</v>
      </c>
      <c r="T185" t="str">
        <f>IF(mental_health[Sleep_Hours]&lt;5,"Low",IF(mental_health[Sleep_Hours]&lt;7,"Medium","Good"))</f>
        <v>Medium</v>
      </c>
      <c r="U185" t="str">
        <f>IF(mental_health[Stress_Level]&lt;=3,"Low",IF(mental_health[Stress_Level]&lt;=7,"Medium","High"))</f>
        <v>Medium</v>
      </c>
      <c r="V185" t="str">
        <f>IF(mental_health[Daily_Screen_Time]&lt;=4,"Low",IF(mental_health[Daily_Screen_Time]&lt;=8,"Medium","High"))</f>
        <v>High</v>
      </c>
    </row>
    <row r="186" spans="1:22" x14ac:dyDescent="0.3">
      <c r="A186">
        <v>185</v>
      </c>
      <c r="B186">
        <v>30</v>
      </c>
      <c r="C186" t="s">
        <v>18</v>
      </c>
      <c r="D186" t="s">
        <v>19</v>
      </c>
      <c r="E186">
        <v>9.6</v>
      </c>
      <c r="F186">
        <v>7.1</v>
      </c>
      <c r="G186">
        <v>0</v>
      </c>
      <c r="H186" t="str">
        <f t="shared" si="2"/>
        <v>No Night Usage</v>
      </c>
      <c r="I186">
        <v>7.3</v>
      </c>
      <c r="J186" s="3">
        <v>2</v>
      </c>
      <c r="K186">
        <v>3</v>
      </c>
      <c r="L186" t="s">
        <v>20</v>
      </c>
      <c r="M186">
        <v>3</v>
      </c>
      <c r="N186">
        <v>0</v>
      </c>
      <c r="O186">
        <v>1</v>
      </c>
      <c r="P186">
        <v>1</v>
      </c>
      <c r="Q186">
        <v>1</v>
      </c>
      <c r="R186">
        <v>1</v>
      </c>
      <c r="S186">
        <v>0</v>
      </c>
      <c r="T186" t="str">
        <f>IF(mental_health[Sleep_Hours]&lt;5,"Low",IF(mental_health[Sleep_Hours]&lt;7,"Medium","Good"))</f>
        <v>Good</v>
      </c>
      <c r="U186" t="str">
        <f>IF(mental_health[Stress_Level]&lt;=3,"Low",IF(mental_health[Stress_Level]&lt;=7,"Medium","High"))</f>
        <v>Low</v>
      </c>
      <c r="V186" t="str">
        <f>IF(mental_health[Daily_Screen_Time]&lt;=4,"Low",IF(mental_health[Daily_Screen_Time]&lt;=8,"Medium","High"))</f>
        <v>High</v>
      </c>
    </row>
    <row r="187" spans="1:22" x14ac:dyDescent="0.3">
      <c r="A187">
        <v>186</v>
      </c>
      <c r="B187">
        <v>47</v>
      </c>
      <c r="C187" t="s">
        <v>18</v>
      </c>
      <c r="D187" t="s">
        <v>19</v>
      </c>
      <c r="E187">
        <v>3.5</v>
      </c>
      <c r="F187">
        <v>5.3</v>
      </c>
      <c r="G187">
        <v>1</v>
      </c>
      <c r="H187" t="str">
        <f t="shared" si="2"/>
        <v>Night Usage</v>
      </c>
      <c r="I187">
        <v>5.6</v>
      </c>
      <c r="J187" s="3">
        <v>10</v>
      </c>
      <c r="K187">
        <v>3.6</v>
      </c>
      <c r="L187" t="s">
        <v>21</v>
      </c>
      <c r="M187">
        <v>8</v>
      </c>
      <c r="N187">
        <v>0</v>
      </c>
      <c r="O187">
        <v>1</v>
      </c>
      <c r="P187">
        <v>1</v>
      </c>
      <c r="Q187">
        <v>1</v>
      </c>
      <c r="R187">
        <v>0</v>
      </c>
      <c r="S187">
        <v>0</v>
      </c>
      <c r="T187" t="str">
        <f>IF(mental_health[Sleep_Hours]&lt;5,"Low",IF(mental_health[Sleep_Hours]&lt;7,"Medium","Good"))</f>
        <v>Medium</v>
      </c>
      <c r="U187" t="str">
        <f>IF(mental_health[Stress_Level]&lt;=3,"Low",IF(mental_health[Stress_Level]&lt;=7,"Medium","High"))</f>
        <v>High</v>
      </c>
      <c r="V187" t="str">
        <f>IF(mental_health[Daily_Screen_Time]&lt;=4,"Low",IF(mental_health[Daily_Screen_Time]&lt;=8,"Medium","High"))</f>
        <v>Low</v>
      </c>
    </row>
    <row r="188" spans="1:22" x14ac:dyDescent="0.3">
      <c r="A188">
        <v>187</v>
      </c>
      <c r="B188">
        <v>47</v>
      </c>
      <c r="C188" t="s">
        <v>18</v>
      </c>
      <c r="D188" t="s">
        <v>24</v>
      </c>
      <c r="E188">
        <v>3.5</v>
      </c>
      <c r="F188">
        <v>2.1</v>
      </c>
      <c r="G188">
        <v>1</v>
      </c>
      <c r="H188" t="str">
        <f t="shared" si="2"/>
        <v>Night Usage</v>
      </c>
      <c r="I188">
        <v>6.8</v>
      </c>
      <c r="J188" s="3">
        <v>2</v>
      </c>
      <c r="K188">
        <v>2.9</v>
      </c>
      <c r="L188" t="s">
        <v>21</v>
      </c>
      <c r="M188">
        <v>5</v>
      </c>
      <c r="N188">
        <v>2</v>
      </c>
      <c r="O188">
        <v>0</v>
      </c>
      <c r="P188">
        <v>1</v>
      </c>
      <c r="Q188">
        <v>1</v>
      </c>
      <c r="R188">
        <v>1</v>
      </c>
      <c r="S188">
        <v>0</v>
      </c>
      <c r="T188" t="str">
        <f>IF(mental_health[Sleep_Hours]&lt;5,"Low",IF(mental_health[Sleep_Hours]&lt;7,"Medium","Good"))</f>
        <v>Medium</v>
      </c>
      <c r="U188" t="str">
        <f>IF(mental_health[Stress_Level]&lt;=3,"Low",IF(mental_health[Stress_Level]&lt;=7,"Medium","High"))</f>
        <v>Low</v>
      </c>
      <c r="V188" t="str">
        <f>IF(mental_health[Daily_Screen_Time]&lt;=4,"Low",IF(mental_health[Daily_Screen_Time]&lt;=8,"Medium","High"))</f>
        <v>Low</v>
      </c>
    </row>
    <row r="189" spans="1:22" x14ac:dyDescent="0.3">
      <c r="A189">
        <v>188</v>
      </c>
      <c r="B189">
        <v>39</v>
      </c>
      <c r="C189" t="s">
        <v>23</v>
      </c>
      <c r="D189" t="s">
        <v>19</v>
      </c>
      <c r="E189">
        <v>4.7</v>
      </c>
      <c r="F189">
        <v>7.7</v>
      </c>
      <c r="G189">
        <v>0</v>
      </c>
      <c r="H189" t="str">
        <f t="shared" si="2"/>
        <v>No Night Usage</v>
      </c>
      <c r="I189">
        <v>5</v>
      </c>
      <c r="J189" s="3">
        <v>6</v>
      </c>
      <c r="K189">
        <v>5.8</v>
      </c>
      <c r="L189" t="s">
        <v>20</v>
      </c>
      <c r="M189">
        <v>5</v>
      </c>
      <c r="N189">
        <v>1</v>
      </c>
      <c r="O189">
        <v>1</v>
      </c>
      <c r="P189">
        <v>1</v>
      </c>
      <c r="Q189">
        <v>0</v>
      </c>
      <c r="R189">
        <v>1</v>
      </c>
      <c r="S189">
        <v>0</v>
      </c>
      <c r="T189" t="str">
        <f>IF(mental_health[Sleep_Hours]&lt;5,"Low",IF(mental_health[Sleep_Hours]&lt;7,"Medium","Good"))</f>
        <v>Medium</v>
      </c>
      <c r="U189" t="str">
        <f>IF(mental_health[Stress_Level]&lt;=3,"Low",IF(mental_health[Stress_Level]&lt;=7,"Medium","High"))</f>
        <v>Medium</v>
      </c>
      <c r="V189" t="str">
        <f>IF(mental_health[Daily_Screen_Time]&lt;=4,"Low",IF(mental_health[Daily_Screen_Time]&lt;=8,"Medium","High"))</f>
        <v>Medium</v>
      </c>
    </row>
    <row r="190" spans="1:22" x14ac:dyDescent="0.3">
      <c r="A190">
        <v>189</v>
      </c>
      <c r="B190">
        <v>56</v>
      </c>
      <c r="C190" t="s">
        <v>23</v>
      </c>
      <c r="D190" t="s">
        <v>24</v>
      </c>
      <c r="E190">
        <v>5.6</v>
      </c>
      <c r="F190">
        <v>4.5999999999999996</v>
      </c>
      <c r="G190">
        <v>0</v>
      </c>
      <c r="H190" t="str">
        <f t="shared" si="2"/>
        <v>No Night Usage</v>
      </c>
      <c r="I190">
        <v>4.8</v>
      </c>
      <c r="J190" s="3">
        <v>7</v>
      </c>
      <c r="K190">
        <v>10.4</v>
      </c>
      <c r="L190" t="s">
        <v>20</v>
      </c>
      <c r="M190">
        <v>5</v>
      </c>
      <c r="N190">
        <v>3</v>
      </c>
      <c r="O190">
        <v>1</v>
      </c>
      <c r="P190">
        <v>0</v>
      </c>
      <c r="Q190">
        <v>0</v>
      </c>
      <c r="R190">
        <v>1</v>
      </c>
      <c r="S190">
        <v>1</v>
      </c>
      <c r="T190" t="str">
        <f>IF(mental_health[Sleep_Hours]&lt;5,"Low",IF(mental_health[Sleep_Hours]&lt;7,"Medium","Good"))</f>
        <v>Low</v>
      </c>
      <c r="U190" t="str">
        <f>IF(mental_health[Stress_Level]&lt;=3,"Low",IF(mental_health[Stress_Level]&lt;=7,"Medium","High"))</f>
        <v>Medium</v>
      </c>
      <c r="V190" t="str">
        <f>IF(mental_health[Daily_Screen_Time]&lt;=4,"Low",IF(mental_health[Daily_Screen_Time]&lt;=8,"Medium","High"))</f>
        <v>Medium</v>
      </c>
    </row>
    <row r="191" spans="1:22" x14ac:dyDescent="0.3">
      <c r="A191">
        <v>190</v>
      </c>
      <c r="B191">
        <v>27</v>
      </c>
      <c r="C191" t="s">
        <v>18</v>
      </c>
      <c r="D191" t="s">
        <v>19</v>
      </c>
      <c r="E191">
        <v>6.1</v>
      </c>
      <c r="F191">
        <v>1.5</v>
      </c>
      <c r="G191">
        <v>0</v>
      </c>
      <c r="H191" t="str">
        <f t="shared" si="2"/>
        <v>No Night Usage</v>
      </c>
      <c r="I191">
        <v>6.5</v>
      </c>
      <c r="J191" s="3">
        <v>10</v>
      </c>
      <c r="K191">
        <v>11.1</v>
      </c>
      <c r="L191" t="s">
        <v>25</v>
      </c>
      <c r="M191">
        <v>8</v>
      </c>
      <c r="N191">
        <v>0</v>
      </c>
      <c r="O191">
        <v>0</v>
      </c>
      <c r="P191">
        <v>0</v>
      </c>
      <c r="Q191">
        <v>1</v>
      </c>
      <c r="R191">
        <v>1</v>
      </c>
      <c r="S191">
        <v>0</v>
      </c>
      <c r="T191" t="str">
        <f>IF(mental_health[Sleep_Hours]&lt;5,"Low",IF(mental_health[Sleep_Hours]&lt;7,"Medium","Good"))</f>
        <v>Medium</v>
      </c>
      <c r="U191" t="str">
        <f>IF(mental_health[Stress_Level]&lt;=3,"Low",IF(mental_health[Stress_Level]&lt;=7,"Medium","High"))</f>
        <v>High</v>
      </c>
      <c r="V191" t="str">
        <f>IF(mental_health[Daily_Screen_Time]&lt;=4,"Low",IF(mental_health[Daily_Screen_Time]&lt;=8,"Medium","High"))</f>
        <v>Medium</v>
      </c>
    </row>
    <row r="192" spans="1:22" x14ac:dyDescent="0.3">
      <c r="A192">
        <v>191</v>
      </c>
      <c r="B192">
        <v>54</v>
      </c>
      <c r="C192" t="s">
        <v>18</v>
      </c>
      <c r="D192" t="s">
        <v>22</v>
      </c>
      <c r="E192">
        <v>8.8000000000000007</v>
      </c>
      <c r="F192">
        <v>5.4</v>
      </c>
      <c r="G192">
        <v>0</v>
      </c>
      <c r="H192" t="str">
        <f t="shared" si="2"/>
        <v>No Night Usage</v>
      </c>
      <c r="I192">
        <v>6</v>
      </c>
      <c r="J192" s="3">
        <v>6</v>
      </c>
      <c r="K192">
        <v>2.7</v>
      </c>
      <c r="L192" t="s">
        <v>25</v>
      </c>
      <c r="M192">
        <v>2</v>
      </c>
      <c r="N192">
        <v>0</v>
      </c>
      <c r="O192">
        <v>0</v>
      </c>
      <c r="P192">
        <v>0</v>
      </c>
      <c r="Q192">
        <v>1</v>
      </c>
      <c r="R192">
        <v>0</v>
      </c>
      <c r="S192">
        <v>1</v>
      </c>
      <c r="T192" t="str">
        <f>IF(mental_health[Sleep_Hours]&lt;5,"Low",IF(mental_health[Sleep_Hours]&lt;7,"Medium","Good"))</f>
        <v>Medium</v>
      </c>
      <c r="U192" t="str">
        <f>IF(mental_health[Stress_Level]&lt;=3,"Low",IF(mental_health[Stress_Level]&lt;=7,"Medium","High"))</f>
        <v>Medium</v>
      </c>
      <c r="V192" t="str">
        <f>IF(mental_health[Daily_Screen_Time]&lt;=4,"Low",IF(mental_health[Daily_Screen_Time]&lt;=8,"Medium","High"))</f>
        <v>High</v>
      </c>
    </row>
    <row r="193" spans="1:22" x14ac:dyDescent="0.3">
      <c r="A193">
        <v>192</v>
      </c>
      <c r="B193">
        <v>17</v>
      </c>
      <c r="C193" t="s">
        <v>18</v>
      </c>
      <c r="D193" t="s">
        <v>19</v>
      </c>
      <c r="E193">
        <v>2.6</v>
      </c>
      <c r="F193">
        <v>2.8</v>
      </c>
      <c r="G193">
        <v>0</v>
      </c>
      <c r="H193" t="str">
        <f t="shared" si="2"/>
        <v>No Night Usage</v>
      </c>
      <c r="I193">
        <v>6.5</v>
      </c>
      <c r="J193" s="3">
        <v>7</v>
      </c>
      <c r="K193">
        <v>8.3000000000000007</v>
      </c>
      <c r="L193" t="s">
        <v>20</v>
      </c>
      <c r="M193">
        <v>2</v>
      </c>
      <c r="N193">
        <v>0</v>
      </c>
      <c r="O193">
        <v>0</v>
      </c>
      <c r="P193">
        <v>1</v>
      </c>
      <c r="Q193">
        <v>0</v>
      </c>
      <c r="R193">
        <v>1</v>
      </c>
      <c r="S193">
        <v>1</v>
      </c>
      <c r="T193" t="str">
        <f>IF(mental_health[Sleep_Hours]&lt;5,"Low",IF(mental_health[Sleep_Hours]&lt;7,"Medium","Good"))</f>
        <v>Medium</v>
      </c>
      <c r="U193" t="str">
        <f>IF(mental_health[Stress_Level]&lt;=3,"Low",IF(mental_health[Stress_Level]&lt;=7,"Medium","High"))</f>
        <v>Medium</v>
      </c>
      <c r="V193" t="str">
        <f>IF(mental_health[Daily_Screen_Time]&lt;=4,"Low",IF(mental_health[Daily_Screen_Time]&lt;=8,"Medium","High"))</f>
        <v>Low</v>
      </c>
    </row>
    <row r="194" spans="1:22" x14ac:dyDescent="0.3">
      <c r="A194">
        <v>193</v>
      </c>
      <c r="B194">
        <v>18</v>
      </c>
      <c r="C194" t="s">
        <v>18</v>
      </c>
      <c r="D194" t="s">
        <v>22</v>
      </c>
      <c r="E194">
        <v>2.2999999999999998</v>
      </c>
      <c r="F194">
        <v>6.6</v>
      </c>
      <c r="G194">
        <v>0</v>
      </c>
      <c r="H194" t="str">
        <f t="shared" ref="H194:H257" si="3">IF(G194=1,"Night Usage","No Night Usage")</f>
        <v>No Night Usage</v>
      </c>
      <c r="I194">
        <v>4.7</v>
      </c>
      <c r="J194" s="3">
        <v>1</v>
      </c>
      <c r="K194">
        <v>8.8000000000000007</v>
      </c>
      <c r="L194" t="s">
        <v>21</v>
      </c>
      <c r="M194">
        <v>8</v>
      </c>
      <c r="N194">
        <v>3</v>
      </c>
      <c r="O194">
        <v>0</v>
      </c>
      <c r="P194">
        <v>0</v>
      </c>
      <c r="Q194">
        <v>0</v>
      </c>
      <c r="R194">
        <v>1</v>
      </c>
      <c r="S194">
        <v>1</v>
      </c>
      <c r="T194" t="str">
        <f>IF(mental_health[Sleep_Hours]&lt;5,"Low",IF(mental_health[Sleep_Hours]&lt;7,"Medium","Good"))</f>
        <v>Low</v>
      </c>
      <c r="U194" t="str">
        <f>IF(mental_health[Stress_Level]&lt;=3,"Low",IF(mental_health[Stress_Level]&lt;=7,"Medium","High"))</f>
        <v>Low</v>
      </c>
      <c r="V194" t="str">
        <f>IF(mental_health[Daily_Screen_Time]&lt;=4,"Low",IF(mental_health[Daily_Screen_Time]&lt;=8,"Medium","High"))</f>
        <v>Low</v>
      </c>
    </row>
    <row r="195" spans="1:22" x14ac:dyDescent="0.3">
      <c r="A195">
        <v>194</v>
      </c>
      <c r="B195">
        <v>52</v>
      </c>
      <c r="C195" t="s">
        <v>23</v>
      </c>
      <c r="D195" t="s">
        <v>22</v>
      </c>
      <c r="E195">
        <v>5.9</v>
      </c>
      <c r="F195">
        <v>6.7</v>
      </c>
      <c r="G195">
        <v>0</v>
      </c>
      <c r="H195" t="str">
        <f t="shared" si="3"/>
        <v>No Night Usage</v>
      </c>
      <c r="I195">
        <v>5.2</v>
      </c>
      <c r="J195" s="3">
        <v>6</v>
      </c>
      <c r="K195">
        <v>7.3</v>
      </c>
      <c r="L195" t="s">
        <v>25</v>
      </c>
      <c r="M195">
        <v>9</v>
      </c>
      <c r="N195">
        <v>1</v>
      </c>
      <c r="O195">
        <v>0</v>
      </c>
      <c r="P195">
        <v>1</v>
      </c>
      <c r="Q195">
        <v>0</v>
      </c>
      <c r="R195">
        <v>0</v>
      </c>
      <c r="S195">
        <v>0</v>
      </c>
      <c r="T195" t="str">
        <f>IF(mental_health[Sleep_Hours]&lt;5,"Low",IF(mental_health[Sleep_Hours]&lt;7,"Medium","Good"))</f>
        <v>Medium</v>
      </c>
      <c r="U195" t="str">
        <f>IF(mental_health[Stress_Level]&lt;=3,"Low",IF(mental_health[Stress_Level]&lt;=7,"Medium","High"))</f>
        <v>Medium</v>
      </c>
      <c r="V195" t="str">
        <f>IF(mental_health[Daily_Screen_Time]&lt;=4,"Low",IF(mental_health[Daily_Screen_Time]&lt;=8,"Medium","High"))</f>
        <v>Medium</v>
      </c>
    </row>
    <row r="196" spans="1:22" x14ac:dyDescent="0.3">
      <c r="A196">
        <v>195</v>
      </c>
      <c r="B196">
        <v>32</v>
      </c>
      <c r="C196" t="s">
        <v>23</v>
      </c>
      <c r="D196" t="s">
        <v>22</v>
      </c>
      <c r="E196">
        <v>9</v>
      </c>
      <c r="F196">
        <v>7.9</v>
      </c>
      <c r="G196">
        <v>1</v>
      </c>
      <c r="H196" t="str">
        <f t="shared" si="3"/>
        <v>Night Usage</v>
      </c>
      <c r="I196">
        <v>3.5</v>
      </c>
      <c r="J196" s="3">
        <v>3</v>
      </c>
      <c r="K196">
        <v>8.6999999999999993</v>
      </c>
      <c r="L196" t="s">
        <v>20</v>
      </c>
      <c r="M196">
        <v>10</v>
      </c>
      <c r="N196">
        <v>3</v>
      </c>
      <c r="O196">
        <v>1</v>
      </c>
      <c r="P196">
        <v>0</v>
      </c>
      <c r="Q196">
        <v>0</v>
      </c>
      <c r="R196">
        <v>0</v>
      </c>
      <c r="S196">
        <v>0</v>
      </c>
      <c r="T196" t="str">
        <f>IF(mental_health[Sleep_Hours]&lt;5,"Low",IF(mental_health[Sleep_Hours]&lt;7,"Medium","Good"))</f>
        <v>Low</v>
      </c>
      <c r="U196" t="str">
        <f>IF(mental_health[Stress_Level]&lt;=3,"Low",IF(mental_health[Stress_Level]&lt;=7,"Medium","High"))</f>
        <v>Low</v>
      </c>
      <c r="V196" t="str">
        <f>IF(mental_health[Daily_Screen_Time]&lt;=4,"Low",IF(mental_health[Daily_Screen_Time]&lt;=8,"Medium","High"))</f>
        <v>High</v>
      </c>
    </row>
    <row r="197" spans="1:22" x14ac:dyDescent="0.3">
      <c r="A197">
        <v>196</v>
      </c>
      <c r="B197">
        <v>17</v>
      </c>
      <c r="C197" t="s">
        <v>18</v>
      </c>
      <c r="D197" t="s">
        <v>22</v>
      </c>
      <c r="E197">
        <v>3.9</v>
      </c>
      <c r="F197">
        <v>4.5</v>
      </c>
      <c r="G197">
        <v>0</v>
      </c>
      <c r="H197" t="str">
        <f t="shared" si="3"/>
        <v>No Night Usage</v>
      </c>
      <c r="I197">
        <v>3.3</v>
      </c>
      <c r="J197" s="3">
        <v>1</v>
      </c>
      <c r="K197">
        <v>4.3</v>
      </c>
      <c r="L197" t="s">
        <v>20</v>
      </c>
      <c r="M197">
        <v>10</v>
      </c>
      <c r="N197">
        <v>3</v>
      </c>
      <c r="O197">
        <v>1</v>
      </c>
      <c r="P197">
        <v>0</v>
      </c>
      <c r="Q197">
        <v>0</v>
      </c>
      <c r="R197">
        <v>0</v>
      </c>
      <c r="S197">
        <v>0</v>
      </c>
      <c r="T197" t="str">
        <f>IF(mental_health[Sleep_Hours]&lt;5,"Low",IF(mental_health[Sleep_Hours]&lt;7,"Medium","Good"))</f>
        <v>Low</v>
      </c>
      <c r="U197" t="str">
        <f>IF(mental_health[Stress_Level]&lt;=3,"Low",IF(mental_health[Stress_Level]&lt;=7,"Medium","High"))</f>
        <v>Low</v>
      </c>
      <c r="V197" t="str">
        <f>IF(mental_health[Daily_Screen_Time]&lt;=4,"Low",IF(mental_health[Daily_Screen_Time]&lt;=8,"Medium","High"))</f>
        <v>Low</v>
      </c>
    </row>
    <row r="198" spans="1:22" x14ac:dyDescent="0.3">
      <c r="A198">
        <v>197</v>
      </c>
      <c r="B198">
        <v>17</v>
      </c>
      <c r="C198" t="s">
        <v>18</v>
      </c>
      <c r="D198" t="s">
        <v>19</v>
      </c>
      <c r="E198">
        <v>8.4</v>
      </c>
      <c r="F198">
        <v>4.2</v>
      </c>
      <c r="G198">
        <v>0</v>
      </c>
      <c r="H198" t="str">
        <f t="shared" si="3"/>
        <v>No Night Usage</v>
      </c>
      <c r="I198">
        <v>4.5</v>
      </c>
      <c r="J198" s="3">
        <v>8</v>
      </c>
      <c r="K198">
        <v>6.9</v>
      </c>
      <c r="L198" t="s">
        <v>20</v>
      </c>
      <c r="M198">
        <v>2</v>
      </c>
      <c r="N198">
        <v>2</v>
      </c>
      <c r="O198">
        <v>1</v>
      </c>
      <c r="P198">
        <v>0</v>
      </c>
      <c r="Q198">
        <v>1</v>
      </c>
      <c r="R198">
        <v>1</v>
      </c>
      <c r="S198">
        <v>0</v>
      </c>
      <c r="T198" t="str">
        <f>IF(mental_health[Sleep_Hours]&lt;5,"Low",IF(mental_health[Sleep_Hours]&lt;7,"Medium","Good"))</f>
        <v>Low</v>
      </c>
      <c r="U198" t="str">
        <f>IF(mental_health[Stress_Level]&lt;=3,"Low",IF(mental_health[Stress_Level]&lt;=7,"Medium","High"))</f>
        <v>High</v>
      </c>
      <c r="V198" t="str">
        <f>IF(mental_health[Daily_Screen_Time]&lt;=4,"Low",IF(mental_health[Daily_Screen_Time]&lt;=8,"Medium","High"))</f>
        <v>High</v>
      </c>
    </row>
    <row r="199" spans="1:22" x14ac:dyDescent="0.3">
      <c r="A199">
        <v>198</v>
      </c>
      <c r="B199">
        <v>43</v>
      </c>
      <c r="C199" t="s">
        <v>18</v>
      </c>
      <c r="D199" t="s">
        <v>24</v>
      </c>
      <c r="E199">
        <v>4.5999999999999996</v>
      </c>
      <c r="F199">
        <v>6.3</v>
      </c>
      <c r="G199">
        <v>1</v>
      </c>
      <c r="H199" t="str">
        <f t="shared" si="3"/>
        <v>Night Usage</v>
      </c>
      <c r="I199">
        <v>3.4</v>
      </c>
      <c r="J199" s="3">
        <v>4</v>
      </c>
      <c r="K199">
        <v>5.9</v>
      </c>
      <c r="L199" t="s">
        <v>25</v>
      </c>
      <c r="M199">
        <v>4</v>
      </c>
      <c r="N199">
        <v>0</v>
      </c>
      <c r="O199">
        <v>1</v>
      </c>
      <c r="P199">
        <v>0</v>
      </c>
      <c r="Q199">
        <v>0</v>
      </c>
      <c r="R199">
        <v>1</v>
      </c>
      <c r="S199">
        <v>0</v>
      </c>
      <c r="T199" t="str">
        <f>IF(mental_health[Sleep_Hours]&lt;5,"Low",IF(mental_health[Sleep_Hours]&lt;7,"Medium","Good"))</f>
        <v>Low</v>
      </c>
      <c r="U199" t="str">
        <f>IF(mental_health[Stress_Level]&lt;=3,"Low",IF(mental_health[Stress_Level]&lt;=7,"Medium","High"))</f>
        <v>Medium</v>
      </c>
      <c r="V199" t="str">
        <f>IF(mental_health[Daily_Screen_Time]&lt;=4,"Low",IF(mental_health[Daily_Screen_Time]&lt;=8,"Medium","High"))</f>
        <v>Medium</v>
      </c>
    </row>
    <row r="200" spans="1:22" x14ac:dyDescent="0.3">
      <c r="A200">
        <v>199</v>
      </c>
      <c r="B200">
        <v>38</v>
      </c>
      <c r="C200" t="s">
        <v>23</v>
      </c>
      <c r="D200" t="s">
        <v>22</v>
      </c>
      <c r="E200">
        <v>10.9</v>
      </c>
      <c r="F200">
        <v>1.9</v>
      </c>
      <c r="G200">
        <v>0</v>
      </c>
      <c r="H200" t="str">
        <f t="shared" si="3"/>
        <v>No Night Usage</v>
      </c>
      <c r="I200">
        <v>3.6</v>
      </c>
      <c r="J200" s="3">
        <v>10</v>
      </c>
      <c r="K200">
        <v>2.9</v>
      </c>
      <c r="L200" t="s">
        <v>20</v>
      </c>
      <c r="M200">
        <v>8</v>
      </c>
      <c r="N200">
        <v>1</v>
      </c>
      <c r="O200">
        <v>1</v>
      </c>
      <c r="P200">
        <v>1</v>
      </c>
      <c r="Q200">
        <v>1</v>
      </c>
      <c r="R200">
        <v>0</v>
      </c>
      <c r="S200">
        <v>0</v>
      </c>
      <c r="T200" t="str">
        <f>IF(mental_health[Sleep_Hours]&lt;5,"Low",IF(mental_health[Sleep_Hours]&lt;7,"Medium","Good"))</f>
        <v>Low</v>
      </c>
      <c r="U200" t="str">
        <f>IF(mental_health[Stress_Level]&lt;=3,"Low",IF(mental_health[Stress_Level]&lt;=7,"Medium","High"))</f>
        <v>High</v>
      </c>
      <c r="V200" t="str">
        <f>IF(mental_health[Daily_Screen_Time]&lt;=4,"Low",IF(mental_health[Daily_Screen_Time]&lt;=8,"Medium","High"))</f>
        <v>High</v>
      </c>
    </row>
    <row r="201" spans="1:22" x14ac:dyDescent="0.3">
      <c r="A201">
        <v>200</v>
      </c>
      <c r="B201">
        <v>52</v>
      </c>
      <c r="C201" t="s">
        <v>18</v>
      </c>
      <c r="D201" t="s">
        <v>19</v>
      </c>
      <c r="E201">
        <v>11</v>
      </c>
      <c r="F201">
        <v>4.8</v>
      </c>
      <c r="G201">
        <v>0</v>
      </c>
      <c r="H201" t="str">
        <f t="shared" si="3"/>
        <v>No Night Usage</v>
      </c>
      <c r="I201">
        <v>7.9</v>
      </c>
      <c r="J201" s="3">
        <v>8</v>
      </c>
      <c r="K201">
        <v>8.3000000000000007</v>
      </c>
      <c r="L201" t="s">
        <v>21</v>
      </c>
      <c r="M201">
        <v>2</v>
      </c>
      <c r="N201">
        <v>2</v>
      </c>
      <c r="O201">
        <v>0</v>
      </c>
      <c r="P201">
        <v>0</v>
      </c>
      <c r="Q201">
        <v>1</v>
      </c>
      <c r="R201">
        <v>1</v>
      </c>
      <c r="S201">
        <v>0</v>
      </c>
      <c r="T201" t="str">
        <f>IF(mental_health[Sleep_Hours]&lt;5,"Low",IF(mental_health[Sleep_Hours]&lt;7,"Medium","Good"))</f>
        <v>Good</v>
      </c>
      <c r="U201" t="str">
        <f>IF(mental_health[Stress_Level]&lt;=3,"Low",IF(mental_health[Stress_Level]&lt;=7,"Medium","High"))</f>
        <v>High</v>
      </c>
      <c r="V201" t="str">
        <f>IF(mental_health[Daily_Screen_Time]&lt;=4,"Low",IF(mental_health[Daily_Screen_Time]&lt;=8,"Medium","High"))</f>
        <v>High</v>
      </c>
    </row>
    <row r="202" spans="1:22" x14ac:dyDescent="0.3">
      <c r="A202">
        <v>201</v>
      </c>
      <c r="B202">
        <v>47</v>
      </c>
      <c r="C202" t="s">
        <v>23</v>
      </c>
      <c r="D202" t="s">
        <v>22</v>
      </c>
      <c r="E202">
        <v>5</v>
      </c>
      <c r="F202">
        <v>4.8</v>
      </c>
      <c r="G202">
        <v>0</v>
      </c>
      <c r="H202" t="str">
        <f t="shared" si="3"/>
        <v>No Night Usage</v>
      </c>
      <c r="I202">
        <v>3.2</v>
      </c>
      <c r="J202" s="3">
        <v>10</v>
      </c>
      <c r="K202">
        <v>7</v>
      </c>
      <c r="L202" t="s">
        <v>20</v>
      </c>
      <c r="M202">
        <v>4</v>
      </c>
      <c r="N202">
        <v>2</v>
      </c>
      <c r="O202">
        <v>0</v>
      </c>
      <c r="P202">
        <v>0</v>
      </c>
      <c r="Q202">
        <v>1</v>
      </c>
      <c r="R202">
        <v>1</v>
      </c>
      <c r="S202">
        <v>1</v>
      </c>
      <c r="T202" t="str">
        <f>IF(mental_health[Sleep_Hours]&lt;5,"Low",IF(mental_health[Sleep_Hours]&lt;7,"Medium","Good"))</f>
        <v>Low</v>
      </c>
      <c r="U202" t="str">
        <f>IF(mental_health[Stress_Level]&lt;=3,"Low",IF(mental_health[Stress_Level]&lt;=7,"Medium","High"))</f>
        <v>High</v>
      </c>
      <c r="V202" t="str">
        <f>IF(mental_health[Daily_Screen_Time]&lt;=4,"Low",IF(mental_health[Daily_Screen_Time]&lt;=8,"Medium","High"))</f>
        <v>Medium</v>
      </c>
    </row>
    <row r="203" spans="1:22" x14ac:dyDescent="0.3">
      <c r="A203">
        <v>202</v>
      </c>
      <c r="B203">
        <v>48</v>
      </c>
      <c r="C203" t="s">
        <v>18</v>
      </c>
      <c r="D203" t="s">
        <v>19</v>
      </c>
      <c r="E203">
        <v>4.3</v>
      </c>
      <c r="F203">
        <v>1.6</v>
      </c>
      <c r="G203">
        <v>0</v>
      </c>
      <c r="H203" t="str">
        <f t="shared" si="3"/>
        <v>No Night Usage</v>
      </c>
      <c r="I203">
        <v>7</v>
      </c>
      <c r="J203" s="3">
        <v>4</v>
      </c>
      <c r="K203">
        <v>4.8</v>
      </c>
      <c r="L203" t="s">
        <v>25</v>
      </c>
      <c r="M203">
        <v>10</v>
      </c>
      <c r="N203">
        <v>4</v>
      </c>
      <c r="O203">
        <v>0</v>
      </c>
      <c r="P203">
        <v>1</v>
      </c>
      <c r="Q203">
        <v>1</v>
      </c>
      <c r="R203">
        <v>0</v>
      </c>
      <c r="S203">
        <v>1</v>
      </c>
      <c r="T203" t="str">
        <f>IF(mental_health[Sleep_Hours]&lt;5,"Low",IF(mental_health[Sleep_Hours]&lt;7,"Medium","Good"))</f>
        <v>Good</v>
      </c>
      <c r="U203" t="str">
        <f>IF(mental_health[Stress_Level]&lt;=3,"Low",IF(mental_health[Stress_Level]&lt;=7,"Medium","High"))</f>
        <v>Medium</v>
      </c>
      <c r="V203" t="str">
        <f>IF(mental_health[Daily_Screen_Time]&lt;=4,"Low",IF(mental_health[Daily_Screen_Time]&lt;=8,"Medium","High"))</f>
        <v>Medium</v>
      </c>
    </row>
    <row r="204" spans="1:22" x14ac:dyDescent="0.3">
      <c r="A204">
        <v>203</v>
      </c>
      <c r="B204">
        <v>16</v>
      </c>
      <c r="C204" t="s">
        <v>23</v>
      </c>
      <c r="D204" t="s">
        <v>19</v>
      </c>
      <c r="E204">
        <v>6.1</v>
      </c>
      <c r="F204">
        <v>3.9</v>
      </c>
      <c r="G204">
        <v>1</v>
      </c>
      <c r="H204" t="str">
        <f t="shared" si="3"/>
        <v>Night Usage</v>
      </c>
      <c r="I204">
        <v>4.5999999999999996</v>
      </c>
      <c r="J204" s="3">
        <v>4</v>
      </c>
      <c r="K204">
        <v>6.7</v>
      </c>
      <c r="L204" t="s">
        <v>21</v>
      </c>
      <c r="M204">
        <v>1</v>
      </c>
      <c r="N204">
        <v>0</v>
      </c>
      <c r="O204">
        <v>0</v>
      </c>
      <c r="P204">
        <v>1</v>
      </c>
      <c r="Q204">
        <v>0</v>
      </c>
      <c r="R204">
        <v>0</v>
      </c>
      <c r="S204">
        <v>1</v>
      </c>
      <c r="T204" t="str">
        <f>IF(mental_health[Sleep_Hours]&lt;5,"Low",IF(mental_health[Sleep_Hours]&lt;7,"Medium","Good"))</f>
        <v>Low</v>
      </c>
      <c r="U204" t="str">
        <f>IF(mental_health[Stress_Level]&lt;=3,"Low",IF(mental_health[Stress_Level]&lt;=7,"Medium","High"))</f>
        <v>Medium</v>
      </c>
      <c r="V204" t="str">
        <f>IF(mental_health[Daily_Screen_Time]&lt;=4,"Low",IF(mental_health[Daily_Screen_Time]&lt;=8,"Medium","High"))</f>
        <v>Medium</v>
      </c>
    </row>
    <row r="205" spans="1:22" x14ac:dyDescent="0.3">
      <c r="A205">
        <v>204</v>
      </c>
      <c r="B205">
        <v>34</v>
      </c>
      <c r="C205" t="s">
        <v>18</v>
      </c>
      <c r="D205" t="s">
        <v>19</v>
      </c>
      <c r="E205">
        <v>4.4000000000000004</v>
      </c>
      <c r="F205">
        <v>7</v>
      </c>
      <c r="G205">
        <v>1</v>
      </c>
      <c r="H205" t="str">
        <f t="shared" si="3"/>
        <v>Night Usage</v>
      </c>
      <c r="I205">
        <v>8.1999999999999993</v>
      </c>
      <c r="J205" s="3">
        <v>10</v>
      </c>
      <c r="K205">
        <v>9.8000000000000007</v>
      </c>
      <c r="L205" t="s">
        <v>21</v>
      </c>
      <c r="M205">
        <v>2</v>
      </c>
      <c r="N205">
        <v>1</v>
      </c>
      <c r="O205">
        <v>1</v>
      </c>
      <c r="P205">
        <v>0</v>
      </c>
      <c r="Q205">
        <v>0</v>
      </c>
      <c r="R205">
        <v>1</v>
      </c>
      <c r="S205">
        <v>1</v>
      </c>
      <c r="T205" t="str">
        <f>IF(mental_health[Sleep_Hours]&lt;5,"Low",IF(mental_health[Sleep_Hours]&lt;7,"Medium","Good"))</f>
        <v>Good</v>
      </c>
      <c r="U205" t="str">
        <f>IF(mental_health[Stress_Level]&lt;=3,"Low",IF(mental_health[Stress_Level]&lt;=7,"Medium","High"))</f>
        <v>High</v>
      </c>
      <c r="V205" t="str">
        <f>IF(mental_health[Daily_Screen_Time]&lt;=4,"Low",IF(mental_health[Daily_Screen_Time]&lt;=8,"Medium","High"))</f>
        <v>Medium</v>
      </c>
    </row>
    <row r="206" spans="1:22" x14ac:dyDescent="0.3">
      <c r="A206">
        <v>205</v>
      </c>
      <c r="B206">
        <v>17</v>
      </c>
      <c r="C206" t="s">
        <v>23</v>
      </c>
      <c r="D206" t="s">
        <v>24</v>
      </c>
      <c r="E206">
        <v>8.6999999999999993</v>
      </c>
      <c r="F206">
        <v>7</v>
      </c>
      <c r="G206">
        <v>0</v>
      </c>
      <c r="H206" t="str">
        <f t="shared" si="3"/>
        <v>No Night Usage</v>
      </c>
      <c r="I206">
        <v>5.9</v>
      </c>
      <c r="J206" s="3">
        <v>4</v>
      </c>
      <c r="K206">
        <v>10</v>
      </c>
      <c r="L206" t="s">
        <v>20</v>
      </c>
      <c r="M206">
        <v>7</v>
      </c>
      <c r="N206">
        <v>1</v>
      </c>
      <c r="O206">
        <v>0</v>
      </c>
      <c r="P206">
        <v>0</v>
      </c>
      <c r="Q206">
        <v>1</v>
      </c>
      <c r="R206">
        <v>1</v>
      </c>
      <c r="S206">
        <v>0</v>
      </c>
      <c r="T206" t="str">
        <f>IF(mental_health[Sleep_Hours]&lt;5,"Low",IF(mental_health[Sleep_Hours]&lt;7,"Medium","Good"))</f>
        <v>Medium</v>
      </c>
      <c r="U206" t="str">
        <f>IF(mental_health[Stress_Level]&lt;=3,"Low",IF(mental_health[Stress_Level]&lt;=7,"Medium","High"))</f>
        <v>Medium</v>
      </c>
      <c r="V206" t="str">
        <f>IF(mental_health[Daily_Screen_Time]&lt;=4,"Low",IF(mental_health[Daily_Screen_Time]&lt;=8,"Medium","High"))</f>
        <v>High</v>
      </c>
    </row>
    <row r="207" spans="1:22" x14ac:dyDescent="0.3">
      <c r="A207">
        <v>206</v>
      </c>
      <c r="B207">
        <v>59</v>
      </c>
      <c r="C207" t="s">
        <v>18</v>
      </c>
      <c r="D207" t="s">
        <v>19</v>
      </c>
      <c r="E207">
        <v>10.3</v>
      </c>
      <c r="F207">
        <v>1.7</v>
      </c>
      <c r="G207">
        <v>0</v>
      </c>
      <c r="H207" t="str">
        <f t="shared" si="3"/>
        <v>No Night Usage</v>
      </c>
      <c r="I207">
        <v>4.8</v>
      </c>
      <c r="J207" s="3">
        <v>6</v>
      </c>
      <c r="K207">
        <v>8.5</v>
      </c>
      <c r="L207" t="s">
        <v>20</v>
      </c>
      <c r="M207">
        <v>1</v>
      </c>
      <c r="N207">
        <v>1</v>
      </c>
      <c r="O207">
        <v>0</v>
      </c>
      <c r="P207">
        <v>1</v>
      </c>
      <c r="Q207">
        <v>1</v>
      </c>
      <c r="R207">
        <v>0</v>
      </c>
      <c r="S207">
        <v>0</v>
      </c>
      <c r="T207" t="str">
        <f>IF(mental_health[Sleep_Hours]&lt;5,"Low",IF(mental_health[Sleep_Hours]&lt;7,"Medium","Good"))</f>
        <v>Low</v>
      </c>
      <c r="U207" t="str">
        <f>IF(mental_health[Stress_Level]&lt;=3,"Low",IF(mental_health[Stress_Level]&lt;=7,"Medium","High"))</f>
        <v>Medium</v>
      </c>
      <c r="V207" t="str">
        <f>IF(mental_health[Daily_Screen_Time]&lt;=4,"Low",IF(mental_health[Daily_Screen_Time]&lt;=8,"Medium","High"))</f>
        <v>High</v>
      </c>
    </row>
    <row r="208" spans="1:22" x14ac:dyDescent="0.3">
      <c r="A208">
        <v>207</v>
      </c>
      <c r="B208">
        <v>41</v>
      </c>
      <c r="C208" t="s">
        <v>18</v>
      </c>
      <c r="D208" t="s">
        <v>19</v>
      </c>
      <c r="E208">
        <v>8.6999999999999993</v>
      </c>
      <c r="F208">
        <v>1.6</v>
      </c>
      <c r="G208">
        <v>1</v>
      </c>
      <c r="H208" t="str">
        <f t="shared" si="3"/>
        <v>Night Usage</v>
      </c>
      <c r="I208">
        <v>6.1</v>
      </c>
      <c r="J208" s="3">
        <v>9</v>
      </c>
      <c r="K208">
        <v>6.7</v>
      </c>
      <c r="L208" t="s">
        <v>21</v>
      </c>
      <c r="M208">
        <v>1</v>
      </c>
      <c r="N208">
        <v>0</v>
      </c>
      <c r="O208">
        <v>1</v>
      </c>
      <c r="P208">
        <v>1</v>
      </c>
      <c r="Q208">
        <v>0</v>
      </c>
      <c r="R208">
        <v>1</v>
      </c>
      <c r="S208">
        <v>0</v>
      </c>
      <c r="T208" t="str">
        <f>IF(mental_health[Sleep_Hours]&lt;5,"Low",IF(mental_health[Sleep_Hours]&lt;7,"Medium","Good"))</f>
        <v>Medium</v>
      </c>
      <c r="U208" t="str">
        <f>IF(mental_health[Stress_Level]&lt;=3,"Low",IF(mental_health[Stress_Level]&lt;=7,"Medium","High"))</f>
        <v>High</v>
      </c>
      <c r="V208" t="str">
        <f>IF(mental_health[Daily_Screen_Time]&lt;=4,"Low",IF(mental_health[Daily_Screen_Time]&lt;=8,"Medium","High"))</f>
        <v>High</v>
      </c>
    </row>
    <row r="209" spans="1:22" x14ac:dyDescent="0.3">
      <c r="A209">
        <v>208</v>
      </c>
      <c r="B209">
        <v>47</v>
      </c>
      <c r="C209" t="s">
        <v>18</v>
      </c>
      <c r="D209" t="s">
        <v>24</v>
      </c>
      <c r="E209">
        <v>10.199999999999999</v>
      </c>
      <c r="F209">
        <v>2.8</v>
      </c>
      <c r="G209">
        <v>0</v>
      </c>
      <c r="H209" t="str">
        <f t="shared" si="3"/>
        <v>No Night Usage</v>
      </c>
      <c r="I209">
        <v>5.3</v>
      </c>
      <c r="J209" s="3">
        <v>5</v>
      </c>
      <c r="K209">
        <v>7.8</v>
      </c>
      <c r="L209" t="s">
        <v>20</v>
      </c>
      <c r="M209">
        <v>2</v>
      </c>
      <c r="N209">
        <v>1</v>
      </c>
      <c r="O209">
        <v>1</v>
      </c>
      <c r="P209">
        <v>0</v>
      </c>
      <c r="Q209">
        <v>1</v>
      </c>
      <c r="R209">
        <v>0</v>
      </c>
      <c r="S209">
        <v>1</v>
      </c>
      <c r="T209" t="str">
        <f>IF(mental_health[Sleep_Hours]&lt;5,"Low",IF(mental_health[Sleep_Hours]&lt;7,"Medium","Good"))</f>
        <v>Medium</v>
      </c>
      <c r="U209" t="str">
        <f>IF(mental_health[Stress_Level]&lt;=3,"Low",IF(mental_health[Stress_Level]&lt;=7,"Medium","High"))</f>
        <v>Medium</v>
      </c>
      <c r="V209" t="str">
        <f>IF(mental_health[Daily_Screen_Time]&lt;=4,"Low",IF(mental_health[Daily_Screen_Time]&lt;=8,"Medium","High"))</f>
        <v>High</v>
      </c>
    </row>
    <row r="210" spans="1:22" x14ac:dyDescent="0.3">
      <c r="A210">
        <v>209</v>
      </c>
      <c r="B210">
        <v>21</v>
      </c>
      <c r="C210" t="s">
        <v>23</v>
      </c>
      <c r="D210" t="s">
        <v>24</v>
      </c>
      <c r="E210">
        <v>6</v>
      </c>
      <c r="F210">
        <v>7.1</v>
      </c>
      <c r="G210">
        <v>1</v>
      </c>
      <c r="H210" t="str">
        <f t="shared" si="3"/>
        <v>Night Usage</v>
      </c>
      <c r="I210">
        <v>6.4</v>
      </c>
      <c r="J210" s="3">
        <v>10</v>
      </c>
      <c r="K210">
        <v>5.9</v>
      </c>
      <c r="L210" t="s">
        <v>25</v>
      </c>
      <c r="M210">
        <v>4</v>
      </c>
      <c r="N210">
        <v>3</v>
      </c>
      <c r="O210">
        <v>0</v>
      </c>
      <c r="P210">
        <v>1</v>
      </c>
      <c r="Q210">
        <v>1</v>
      </c>
      <c r="R210">
        <v>1</v>
      </c>
      <c r="S210">
        <v>1</v>
      </c>
      <c r="T210" t="str">
        <f>IF(mental_health[Sleep_Hours]&lt;5,"Low",IF(mental_health[Sleep_Hours]&lt;7,"Medium","Good"))</f>
        <v>Medium</v>
      </c>
      <c r="U210" t="str">
        <f>IF(mental_health[Stress_Level]&lt;=3,"Low",IF(mental_health[Stress_Level]&lt;=7,"Medium","High"))</f>
        <v>High</v>
      </c>
      <c r="V210" t="str">
        <f>IF(mental_health[Daily_Screen_Time]&lt;=4,"Low",IF(mental_health[Daily_Screen_Time]&lt;=8,"Medium","High"))</f>
        <v>Medium</v>
      </c>
    </row>
    <row r="211" spans="1:22" x14ac:dyDescent="0.3">
      <c r="A211">
        <v>210</v>
      </c>
      <c r="B211">
        <v>47</v>
      </c>
      <c r="C211" t="s">
        <v>18</v>
      </c>
      <c r="D211" t="s">
        <v>19</v>
      </c>
      <c r="E211">
        <v>3.6</v>
      </c>
      <c r="F211">
        <v>1.9</v>
      </c>
      <c r="G211">
        <v>1</v>
      </c>
      <c r="H211" t="str">
        <f t="shared" si="3"/>
        <v>Night Usage</v>
      </c>
      <c r="I211">
        <v>3.7</v>
      </c>
      <c r="J211" s="3">
        <v>8</v>
      </c>
      <c r="K211">
        <v>3.3</v>
      </c>
      <c r="L211" t="s">
        <v>21</v>
      </c>
      <c r="M211">
        <v>7</v>
      </c>
      <c r="N211">
        <v>3</v>
      </c>
      <c r="O211">
        <v>1</v>
      </c>
      <c r="P211">
        <v>1</v>
      </c>
      <c r="Q211">
        <v>1</v>
      </c>
      <c r="R211">
        <v>0</v>
      </c>
      <c r="S211">
        <v>1</v>
      </c>
      <c r="T211" t="str">
        <f>IF(mental_health[Sleep_Hours]&lt;5,"Low",IF(mental_health[Sleep_Hours]&lt;7,"Medium","Good"))</f>
        <v>Low</v>
      </c>
      <c r="U211" t="str">
        <f>IF(mental_health[Stress_Level]&lt;=3,"Low",IF(mental_health[Stress_Level]&lt;=7,"Medium","High"))</f>
        <v>High</v>
      </c>
      <c r="V211" t="str">
        <f>IF(mental_health[Daily_Screen_Time]&lt;=4,"Low",IF(mental_health[Daily_Screen_Time]&lt;=8,"Medium","High"))</f>
        <v>Low</v>
      </c>
    </row>
    <row r="212" spans="1:22" x14ac:dyDescent="0.3">
      <c r="A212">
        <v>211</v>
      </c>
      <c r="B212">
        <v>19</v>
      </c>
      <c r="C212" t="s">
        <v>23</v>
      </c>
      <c r="D212" t="s">
        <v>24</v>
      </c>
      <c r="E212">
        <v>9.4</v>
      </c>
      <c r="F212">
        <v>6</v>
      </c>
      <c r="G212">
        <v>1</v>
      </c>
      <c r="H212" t="str">
        <f t="shared" si="3"/>
        <v>Night Usage</v>
      </c>
      <c r="I212">
        <v>9</v>
      </c>
      <c r="J212" s="3">
        <v>8</v>
      </c>
      <c r="K212">
        <v>5.9</v>
      </c>
      <c r="L212" t="s">
        <v>20</v>
      </c>
      <c r="M212">
        <v>4</v>
      </c>
      <c r="N212">
        <v>0</v>
      </c>
      <c r="O212">
        <v>1</v>
      </c>
      <c r="P212">
        <v>0</v>
      </c>
      <c r="Q212">
        <v>0</v>
      </c>
      <c r="R212">
        <v>1</v>
      </c>
      <c r="S212">
        <v>1</v>
      </c>
      <c r="T212" t="str">
        <f>IF(mental_health[Sleep_Hours]&lt;5,"Low",IF(mental_health[Sleep_Hours]&lt;7,"Medium","Good"))</f>
        <v>Good</v>
      </c>
      <c r="U212" t="str">
        <f>IF(mental_health[Stress_Level]&lt;=3,"Low",IF(mental_health[Stress_Level]&lt;=7,"Medium","High"))</f>
        <v>High</v>
      </c>
      <c r="V212" t="str">
        <f>IF(mental_health[Daily_Screen_Time]&lt;=4,"Low",IF(mental_health[Daily_Screen_Time]&lt;=8,"Medium","High"))</f>
        <v>High</v>
      </c>
    </row>
    <row r="213" spans="1:22" x14ac:dyDescent="0.3">
      <c r="A213">
        <v>212</v>
      </c>
      <c r="B213">
        <v>26</v>
      </c>
      <c r="C213" t="s">
        <v>23</v>
      </c>
      <c r="D213" t="s">
        <v>22</v>
      </c>
      <c r="E213">
        <v>5.6</v>
      </c>
      <c r="F213">
        <v>1.7</v>
      </c>
      <c r="G213">
        <v>0</v>
      </c>
      <c r="H213" t="str">
        <f t="shared" si="3"/>
        <v>No Night Usage</v>
      </c>
      <c r="I213">
        <v>5.6</v>
      </c>
      <c r="J213" s="3">
        <v>4</v>
      </c>
      <c r="K213">
        <v>7.3</v>
      </c>
      <c r="L213" t="s">
        <v>21</v>
      </c>
      <c r="M213">
        <v>5</v>
      </c>
      <c r="N213">
        <v>1</v>
      </c>
      <c r="O213">
        <v>0</v>
      </c>
      <c r="P213">
        <v>0</v>
      </c>
      <c r="Q213">
        <v>1</v>
      </c>
      <c r="R213">
        <v>0</v>
      </c>
      <c r="S213">
        <v>1</v>
      </c>
      <c r="T213" t="str">
        <f>IF(mental_health[Sleep_Hours]&lt;5,"Low",IF(mental_health[Sleep_Hours]&lt;7,"Medium","Good"))</f>
        <v>Medium</v>
      </c>
      <c r="U213" t="str">
        <f>IF(mental_health[Stress_Level]&lt;=3,"Low",IF(mental_health[Stress_Level]&lt;=7,"Medium","High"))</f>
        <v>Medium</v>
      </c>
      <c r="V213" t="str">
        <f>IF(mental_health[Daily_Screen_Time]&lt;=4,"Low",IF(mental_health[Daily_Screen_Time]&lt;=8,"Medium","High"))</f>
        <v>Medium</v>
      </c>
    </row>
    <row r="214" spans="1:22" x14ac:dyDescent="0.3">
      <c r="A214">
        <v>213</v>
      </c>
      <c r="B214">
        <v>32</v>
      </c>
      <c r="C214" t="s">
        <v>18</v>
      </c>
      <c r="D214" t="s">
        <v>22</v>
      </c>
      <c r="E214">
        <v>8.6999999999999993</v>
      </c>
      <c r="F214">
        <v>5.4</v>
      </c>
      <c r="G214">
        <v>0</v>
      </c>
      <c r="H214" t="str">
        <f t="shared" si="3"/>
        <v>No Night Usage</v>
      </c>
      <c r="I214">
        <v>5.0999999999999996</v>
      </c>
      <c r="J214" s="3">
        <v>10</v>
      </c>
      <c r="K214">
        <v>8</v>
      </c>
      <c r="L214" t="s">
        <v>20</v>
      </c>
      <c r="M214">
        <v>4</v>
      </c>
      <c r="N214">
        <v>4</v>
      </c>
      <c r="O214">
        <v>1</v>
      </c>
      <c r="P214">
        <v>0</v>
      </c>
      <c r="Q214">
        <v>1</v>
      </c>
      <c r="R214">
        <v>1</v>
      </c>
      <c r="S214">
        <v>0</v>
      </c>
      <c r="T214" t="str">
        <f>IF(mental_health[Sleep_Hours]&lt;5,"Low",IF(mental_health[Sleep_Hours]&lt;7,"Medium","Good"))</f>
        <v>Medium</v>
      </c>
      <c r="U214" t="str">
        <f>IF(mental_health[Stress_Level]&lt;=3,"Low",IF(mental_health[Stress_Level]&lt;=7,"Medium","High"))</f>
        <v>High</v>
      </c>
      <c r="V214" t="str">
        <f>IF(mental_health[Daily_Screen_Time]&lt;=4,"Low",IF(mental_health[Daily_Screen_Time]&lt;=8,"Medium","High"))</f>
        <v>High</v>
      </c>
    </row>
    <row r="215" spans="1:22" x14ac:dyDescent="0.3">
      <c r="A215">
        <v>214</v>
      </c>
      <c r="B215">
        <v>53</v>
      </c>
      <c r="C215" t="s">
        <v>18</v>
      </c>
      <c r="D215" t="s">
        <v>24</v>
      </c>
      <c r="E215">
        <v>4.7</v>
      </c>
      <c r="F215">
        <v>3.5</v>
      </c>
      <c r="G215">
        <v>0</v>
      </c>
      <c r="H215" t="str">
        <f t="shared" si="3"/>
        <v>No Night Usage</v>
      </c>
      <c r="I215">
        <v>7.3</v>
      </c>
      <c r="J215" s="3">
        <v>9</v>
      </c>
      <c r="K215">
        <v>11.4</v>
      </c>
      <c r="L215" t="s">
        <v>20</v>
      </c>
      <c r="M215">
        <v>4</v>
      </c>
      <c r="N215">
        <v>4</v>
      </c>
      <c r="O215">
        <v>0</v>
      </c>
      <c r="P215">
        <v>1</v>
      </c>
      <c r="Q215">
        <v>0</v>
      </c>
      <c r="R215">
        <v>1</v>
      </c>
      <c r="S215">
        <v>1</v>
      </c>
      <c r="T215" t="str">
        <f>IF(mental_health[Sleep_Hours]&lt;5,"Low",IF(mental_health[Sleep_Hours]&lt;7,"Medium","Good"))</f>
        <v>Good</v>
      </c>
      <c r="U215" t="str">
        <f>IF(mental_health[Stress_Level]&lt;=3,"Low",IF(mental_health[Stress_Level]&lt;=7,"Medium","High"))</f>
        <v>High</v>
      </c>
      <c r="V215" t="str">
        <f>IF(mental_health[Daily_Screen_Time]&lt;=4,"Low",IF(mental_health[Daily_Screen_Time]&lt;=8,"Medium","High"))</f>
        <v>Medium</v>
      </c>
    </row>
    <row r="216" spans="1:22" x14ac:dyDescent="0.3">
      <c r="A216">
        <v>215</v>
      </c>
      <c r="B216">
        <v>39</v>
      </c>
      <c r="C216" t="s">
        <v>18</v>
      </c>
      <c r="D216" t="s">
        <v>24</v>
      </c>
      <c r="E216">
        <v>2.8</v>
      </c>
      <c r="F216">
        <v>6.5</v>
      </c>
      <c r="G216">
        <v>1</v>
      </c>
      <c r="H216" t="str">
        <f t="shared" si="3"/>
        <v>Night Usage</v>
      </c>
      <c r="I216">
        <v>5.2</v>
      </c>
      <c r="J216" s="3">
        <v>9</v>
      </c>
      <c r="K216">
        <v>9.8000000000000007</v>
      </c>
      <c r="L216" t="s">
        <v>25</v>
      </c>
      <c r="M216">
        <v>9</v>
      </c>
      <c r="N216">
        <v>4</v>
      </c>
      <c r="O216">
        <v>1</v>
      </c>
      <c r="P216">
        <v>0</v>
      </c>
      <c r="Q216">
        <v>0</v>
      </c>
      <c r="R216">
        <v>1</v>
      </c>
      <c r="S216">
        <v>1</v>
      </c>
      <c r="T216" t="str">
        <f>IF(mental_health[Sleep_Hours]&lt;5,"Low",IF(mental_health[Sleep_Hours]&lt;7,"Medium","Good"))</f>
        <v>Medium</v>
      </c>
      <c r="U216" t="str">
        <f>IF(mental_health[Stress_Level]&lt;=3,"Low",IF(mental_health[Stress_Level]&lt;=7,"Medium","High"))</f>
        <v>High</v>
      </c>
      <c r="V216" t="str">
        <f>IF(mental_health[Daily_Screen_Time]&lt;=4,"Low",IF(mental_health[Daily_Screen_Time]&lt;=8,"Medium","High"))</f>
        <v>Low</v>
      </c>
    </row>
    <row r="217" spans="1:22" x14ac:dyDescent="0.3">
      <c r="A217">
        <v>216</v>
      </c>
      <c r="B217">
        <v>20</v>
      </c>
      <c r="C217" t="s">
        <v>23</v>
      </c>
      <c r="D217" t="s">
        <v>19</v>
      </c>
      <c r="E217">
        <v>11.9</v>
      </c>
      <c r="F217">
        <v>2.6</v>
      </c>
      <c r="G217">
        <v>0</v>
      </c>
      <c r="H217" t="str">
        <f t="shared" si="3"/>
        <v>No Night Usage</v>
      </c>
      <c r="I217">
        <v>8</v>
      </c>
      <c r="J217" s="3">
        <v>5</v>
      </c>
      <c r="K217">
        <v>3.5</v>
      </c>
      <c r="L217" t="s">
        <v>20</v>
      </c>
      <c r="M217">
        <v>6</v>
      </c>
      <c r="N217">
        <v>3</v>
      </c>
      <c r="O217">
        <v>1</v>
      </c>
      <c r="P217">
        <v>0</v>
      </c>
      <c r="Q217">
        <v>1</v>
      </c>
      <c r="R217">
        <v>1</v>
      </c>
      <c r="S217">
        <v>1</v>
      </c>
      <c r="T217" t="str">
        <f>IF(mental_health[Sleep_Hours]&lt;5,"Low",IF(mental_health[Sleep_Hours]&lt;7,"Medium","Good"))</f>
        <v>Good</v>
      </c>
      <c r="U217" t="str">
        <f>IF(mental_health[Stress_Level]&lt;=3,"Low",IF(mental_health[Stress_Level]&lt;=7,"Medium","High"))</f>
        <v>Medium</v>
      </c>
      <c r="V217" t="str">
        <f>IF(mental_health[Daily_Screen_Time]&lt;=4,"Low",IF(mental_health[Daily_Screen_Time]&lt;=8,"Medium","High"))</f>
        <v>High</v>
      </c>
    </row>
    <row r="218" spans="1:22" x14ac:dyDescent="0.3">
      <c r="A218">
        <v>217</v>
      </c>
      <c r="B218">
        <v>49</v>
      </c>
      <c r="C218" t="s">
        <v>18</v>
      </c>
      <c r="D218" t="s">
        <v>24</v>
      </c>
      <c r="E218">
        <v>3.6</v>
      </c>
      <c r="F218">
        <v>5.5</v>
      </c>
      <c r="G218">
        <v>0</v>
      </c>
      <c r="H218" t="str">
        <f t="shared" si="3"/>
        <v>No Night Usage</v>
      </c>
      <c r="I218">
        <v>5.7</v>
      </c>
      <c r="J218" s="3">
        <v>6</v>
      </c>
      <c r="K218">
        <v>3.7</v>
      </c>
      <c r="L218" t="s">
        <v>20</v>
      </c>
      <c r="M218">
        <v>3</v>
      </c>
      <c r="N218">
        <v>4</v>
      </c>
      <c r="O218">
        <v>1</v>
      </c>
      <c r="P218">
        <v>0</v>
      </c>
      <c r="Q218">
        <v>1</v>
      </c>
      <c r="R218">
        <v>1</v>
      </c>
      <c r="S218">
        <v>0</v>
      </c>
      <c r="T218" t="str">
        <f>IF(mental_health[Sleep_Hours]&lt;5,"Low",IF(mental_health[Sleep_Hours]&lt;7,"Medium","Good"))</f>
        <v>Medium</v>
      </c>
      <c r="U218" t="str">
        <f>IF(mental_health[Stress_Level]&lt;=3,"Low",IF(mental_health[Stress_Level]&lt;=7,"Medium","High"))</f>
        <v>Medium</v>
      </c>
      <c r="V218" t="str">
        <f>IF(mental_health[Daily_Screen_Time]&lt;=4,"Low",IF(mental_health[Daily_Screen_Time]&lt;=8,"Medium","High"))</f>
        <v>Low</v>
      </c>
    </row>
    <row r="219" spans="1:22" x14ac:dyDescent="0.3">
      <c r="A219">
        <v>218</v>
      </c>
      <c r="B219">
        <v>21</v>
      </c>
      <c r="C219" t="s">
        <v>23</v>
      </c>
      <c r="D219" t="s">
        <v>19</v>
      </c>
      <c r="E219">
        <v>11.9</v>
      </c>
      <c r="F219">
        <v>2.6</v>
      </c>
      <c r="G219">
        <v>1</v>
      </c>
      <c r="H219" t="str">
        <f t="shared" si="3"/>
        <v>Night Usage</v>
      </c>
      <c r="I219">
        <v>7.3</v>
      </c>
      <c r="J219" s="3">
        <v>5</v>
      </c>
      <c r="K219">
        <v>3</v>
      </c>
      <c r="L219" t="s">
        <v>20</v>
      </c>
      <c r="M219">
        <v>6</v>
      </c>
      <c r="N219">
        <v>1</v>
      </c>
      <c r="O219">
        <v>1</v>
      </c>
      <c r="P219">
        <v>1</v>
      </c>
      <c r="Q219">
        <v>1</v>
      </c>
      <c r="R219">
        <v>1</v>
      </c>
      <c r="S219">
        <v>0</v>
      </c>
      <c r="T219" t="str">
        <f>IF(mental_health[Sleep_Hours]&lt;5,"Low",IF(mental_health[Sleep_Hours]&lt;7,"Medium","Good"))</f>
        <v>Good</v>
      </c>
      <c r="U219" t="str">
        <f>IF(mental_health[Stress_Level]&lt;=3,"Low",IF(mental_health[Stress_Level]&lt;=7,"Medium","High"))</f>
        <v>Medium</v>
      </c>
      <c r="V219" t="str">
        <f>IF(mental_health[Daily_Screen_Time]&lt;=4,"Low",IF(mental_health[Daily_Screen_Time]&lt;=8,"Medium","High"))</f>
        <v>High</v>
      </c>
    </row>
    <row r="220" spans="1:22" x14ac:dyDescent="0.3">
      <c r="A220">
        <v>219</v>
      </c>
      <c r="B220">
        <v>37</v>
      </c>
      <c r="C220" t="s">
        <v>23</v>
      </c>
      <c r="D220" t="s">
        <v>22</v>
      </c>
      <c r="E220">
        <v>11.8</v>
      </c>
      <c r="F220">
        <v>6</v>
      </c>
      <c r="G220">
        <v>0</v>
      </c>
      <c r="H220" t="str">
        <f t="shared" si="3"/>
        <v>No Night Usage</v>
      </c>
      <c r="I220">
        <v>3.6</v>
      </c>
      <c r="J220" s="3">
        <v>3</v>
      </c>
      <c r="K220">
        <v>9.4</v>
      </c>
      <c r="L220" t="s">
        <v>25</v>
      </c>
      <c r="M220">
        <v>7</v>
      </c>
      <c r="N220">
        <v>1</v>
      </c>
      <c r="O220">
        <v>0</v>
      </c>
      <c r="P220">
        <v>0</v>
      </c>
      <c r="Q220">
        <v>1</v>
      </c>
      <c r="R220">
        <v>0</v>
      </c>
      <c r="S220">
        <v>0</v>
      </c>
      <c r="T220" t="str">
        <f>IF(mental_health[Sleep_Hours]&lt;5,"Low",IF(mental_health[Sleep_Hours]&lt;7,"Medium","Good"))</f>
        <v>Low</v>
      </c>
      <c r="U220" t="str">
        <f>IF(mental_health[Stress_Level]&lt;=3,"Low",IF(mental_health[Stress_Level]&lt;=7,"Medium","High"))</f>
        <v>Low</v>
      </c>
      <c r="V220" t="str">
        <f>IF(mental_health[Daily_Screen_Time]&lt;=4,"Low",IF(mental_health[Daily_Screen_Time]&lt;=8,"Medium","High"))</f>
        <v>High</v>
      </c>
    </row>
    <row r="221" spans="1:22" x14ac:dyDescent="0.3">
      <c r="A221">
        <v>220</v>
      </c>
      <c r="B221">
        <v>26</v>
      </c>
      <c r="C221" t="s">
        <v>18</v>
      </c>
      <c r="D221" t="s">
        <v>24</v>
      </c>
      <c r="E221">
        <v>9.9</v>
      </c>
      <c r="F221">
        <v>7.1</v>
      </c>
      <c r="G221">
        <v>0</v>
      </c>
      <c r="H221" t="str">
        <f t="shared" si="3"/>
        <v>No Night Usage</v>
      </c>
      <c r="I221">
        <v>8.1</v>
      </c>
      <c r="J221" s="3">
        <v>8</v>
      </c>
      <c r="K221">
        <v>9.1</v>
      </c>
      <c r="L221" t="s">
        <v>20</v>
      </c>
      <c r="M221">
        <v>7</v>
      </c>
      <c r="N221">
        <v>4</v>
      </c>
      <c r="O221">
        <v>1</v>
      </c>
      <c r="P221">
        <v>0</v>
      </c>
      <c r="Q221">
        <v>1</v>
      </c>
      <c r="R221">
        <v>1</v>
      </c>
      <c r="S221">
        <v>1</v>
      </c>
      <c r="T221" t="str">
        <f>IF(mental_health[Sleep_Hours]&lt;5,"Low",IF(mental_health[Sleep_Hours]&lt;7,"Medium","Good"))</f>
        <v>Good</v>
      </c>
      <c r="U221" t="str">
        <f>IF(mental_health[Stress_Level]&lt;=3,"Low",IF(mental_health[Stress_Level]&lt;=7,"Medium","High"))</f>
        <v>High</v>
      </c>
      <c r="V221" t="str">
        <f>IF(mental_health[Daily_Screen_Time]&lt;=4,"Low",IF(mental_health[Daily_Screen_Time]&lt;=8,"Medium","High"))</f>
        <v>High</v>
      </c>
    </row>
    <row r="222" spans="1:22" x14ac:dyDescent="0.3">
      <c r="A222">
        <v>221</v>
      </c>
      <c r="B222">
        <v>31</v>
      </c>
      <c r="C222" t="s">
        <v>18</v>
      </c>
      <c r="D222" t="s">
        <v>19</v>
      </c>
      <c r="E222">
        <v>8.6</v>
      </c>
      <c r="F222">
        <v>1.9</v>
      </c>
      <c r="G222">
        <v>0</v>
      </c>
      <c r="H222" t="str">
        <f t="shared" si="3"/>
        <v>No Night Usage</v>
      </c>
      <c r="I222">
        <v>7.4</v>
      </c>
      <c r="J222" s="3">
        <v>9</v>
      </c>
      <c r="K222">
        <v>11.9</v>
      </c>
      <c r="L222" t="s">
        <v>20</v>
      </c>
      <c r="M222">
        <v>8</v>
      </c>
      <c r="N222">
        <v>2</v>
      </c>
      <c r="O222">
        <v>0</v>
      </c>
      <c r="P222">
        <v>1</v>
      </c>
      <c r="Q222">
        <v>1</v>
      </c>
      <c r="R222">
        <v>0</v>
      </c>
      <c r="S222">
        <v>0</v>
      </c>
      <c r="T222" t="str">
        <f>IF(mental_health[Sleep_Hours]&lt;5,"Low",IF(mental_health[Sleep_Hours]&lt;7,"Medium","Good"))</f>
        <v>Good</v>
      </c>
      <c r="U222" t="str">
        <f>IF(mental_health[Stress_Level]&lt;=3,"Low",IF(mental_health[Stress_Level]&lt;=7,"Medium","High"))</f>
        <v>High</v>
      </c>
      <c r="V222" t="str">
        <f>IF(mental_health[Daily_Screen_Time]&lt;=4,"Low",IF(mental_health[Daily_Screen_Time]&lt;=8,"Medium","High"))</f>
        <v>High</v>
      </c>
    </row>
    <row r="223" spans="1:22" x14ac:dyDescent="0.3">
      <c r="A223">
        <v>222</v>
      </c>
      <c r="B223">
        <v>48</v>
      </c>
      <c r="C223" t="s">
        <v>18</v>
      </c>
      <c r="D223" t="s">
        <v>19</v>
      </c>
      <c r="E223">
        <v>7.8</v>
      </c>
      <c r="F223">
        <v>7.1</v>
      </c>
      <c r="G223">
        <v>1</v>
      </c>
      <c r="H223" t="str">
        <f t="shared" si="3"/>
        <v>Night Usage</v>
      </c>
      <c r="I223">
        <v>4.3</v>
      </c>
      <c r="J223" s="3">
        <v>4</v>
      </c>
      <c r="K223">
        <v>7.2</v>
      </c>
      <c r="L223" t="s">
        <v>20</v>
      </c>
      <c r="M223">
        <v>4</v>
      </c>
      <c r="N223">
        <v>4</v>
      </c>
      <c r="O223">
        <v>0</v>
      </c>
      <c r="P223">
        <v>1</v>
      </c>
      <c r="Q223">
        <v>1</v>
      </c>
      <c r="R223">
        <v>1</v>
      </c>
      <c r="S223">
        <v>1</v>
      </c>
      <c r="T223" t="str">
        <f>IF(mental_health[Sleep_Hours]&lt;5,"Low",IF(mental_health[Sleep_Hours]&lt;7,"Medium","Good"))</f>
        <v>Low</v>
      </c>
      <c r="U223" t="str">
        <f>IF(mental_health[Stress_Level]&lt;=3,"Low",IF(mental_health[Stress_Level]&lt;=7,"Medium","High"))</f>
        <v>Medium</v>
      </c>
      <c r="V223" t="str">
        <f>IF(mental_health[Daily_Screen_Time]&lt;=4,"Low",IF(mental_health[Daily_Screen_Time]&lt;=8,"Medium","High"))</f>
        <v>Medium</v>
      </c>
    </row>
    <row r="224" spans="1:22" x14ac:dyDescent="0.3">
      <c r="A224">
        <v>223</v>
      </c>
      <c r="B224">
        <v>24</v>
      </c>
      <c r="C224" t="s">
        <v>18</v>
      </c>
      <c r="D224" t="s">
        <v>22</v>
      </c>
      <c r="E224">
        <v>10.7</v>
      </c>
      <c r="F224">
        <v>5.2</v>
      </c>
      <c r="G224">
        <v>0</v>
      </c>
      <c r="H224" t="str">
        <f t="shared" si="3"/>
        <v>No Night Usage</v>
      </c>
      <c r="I224">
        <v>3.9</v>
      </c>
      <c r="J224" s="3">
        <v>9</v>
      </c>
      <c r="K224">
        <v>10.3</v>
      </c>
      <c r="L224" t="s">
        <v>21</v>
      </c>
      <c r="M224">
        <v>1</v>
      </c>
      <c r="N224">
        <v>2</v>
      </c>
      <c r="O224">
        <v>1</v>
      </c>
      <c r="P224">
        <v>0</v>
      </c>
      <c r="Q224">
        <v>1</v>
      </c>
      <c r="R224">
        <v>1</v>
      </c>
      <c r="S224">
        <v>1</v>
      </c>
      <c r="T224" t="str">
        <f>IF(mental_health[Sleep_Hours]&lt;5,"Low",IF(mental_health[Sleep_Hours]&lt;7,"Medium","Good"))</f>
        <v>Low</v>
      </c>
      <c r="U224" t="str">
        <f>IF(mental_health[Stress_Level]&lt;=3,"Low",IF(mental_health[Stress_Level]&lt;=7,"Medium","High"))</f>
        <v>High</v>
      </c>
      <c r="V224" t="str">
        <f>IF(mental_health[Daily_Screen_Time]&lt;=4,"Low",IF(mental_health[Daily_Screen_Time]&lt;=8,"Medium","High"))</f>
        <v>High</v>
      </c>
    </row>
    <row r="225" spans="1:22" x14ac:dyDescent="0.3">
      <c r="A225">
        <v>224</v>
      </c>
      <c r="B225">
        <v>21</v>
      </c>
      <c r="C225" t="s">
        <v>18</v>
      </c>
      <c r="D225" t="s">
        <v>24</v>
      </c>
      <c r="E225">
        <v>4.9000000000000004</v>
      </c>
      <c r="F225">
        <v>1.9</v>
      </c>
      <c r="G225">
        <v>1</v>
      </c>
      <c r="H225" t="str">
        <f t="shared" si="3"/>
        <v>Night Usage</v>
      </c>
      <c r="I225">
        <v>4.9000000000000004</v>
      </c>
      <c r="J225" s="3">
        <v>9</v>
      </c>
      <c r="K225">
        <v>7.8</v>
      </c>
      <c r="L225" t="s">
        <v>25</v>
      </c>
      <c r="M225">
        <v>6</v>
      </c>
      <c r="N225">
        <v>0</v>
      </c>
      <c r="O225">
        <v>1</v>
      </c>
      <c r="P225">
        <v>0</v>
      </c>
      <c r="Q225">
        <v>0</v>
      </c>
      <c r="R225">
        <v>1</v>
      </c>
      <c r="S225">
        <v>1</v>
      </c>
      <c r="T225" t="str">
        <f>IF(mental_health[Sleep_Hours]&lt;5,"Low",IF(mental_health[Sleep_Hours]&lt;7,"Medium","Good"))</f>
        <v>Low</v>
      </c>
      <c r="U225" t="str">
        <f>IF(mental_health[Stress_Level]&lt;=3,"Low",IF(mental_health[Stress_Level]&lt;=7,"Medium","High"))</f>
        <v>High</v>
      </c>
      <c r="V225" t="str">
        <f>IF(mental_health[Daily_Screen_Time]&lt;=4,"Low",IF(mental_health[Daily_Screen_Time]&lt;=8,"Medium","High"))</f>
        <v>Medium</v>
      </c>
    </row>
    <row r="226" spans="1:22" x14ac:dyDescent="0.3">
      <c r="A226">
        <v>225</v>
      </c>
      <c r="B226">
        <v>31</v>
      </c>
      <c r="C226" t="s">
        <v>18</v>
      </c>
      <c r="D226" t="s">
        <v>22</v>
      </c>
      <c r="E226">
        <v>6.7</v>
      </c>
      <c r="F226">
        <v>4</v>
      </c>
      <c r="G226">
        <v>1</v>
      </c>
      <c r="H226" t="str">
        <f t="shared" si="3"/>
        <v>Night Usage</v>
      </c>
      <c r="I226">
        <v>8.9</v>
      </c>
      <c r="J226" s="3">
        <v>7</v>
      </c>
      <c r="K226">
        <v>10.7</v>
      </c>
      <c r="L226" t="s">
        <v>21</v>
      </c>
      <c r="M226">
        <v>8</v>
      </c>
      <c r="N226">
        <v>0</v>
      </c>
      <c r="O226">
        <v>0</v>
      </c>
      <c r="P226">
        <v>0</v>
      </c>
      <c r="Q226">
        <v>1</v>
      </c>
      <c r="R226">
        <v>0</v>
      </c>
      <c r="S226">
        <v>0</v>
      </c>
      <c r="T226" t="str">
        <f>IF(mental_health[Sleep_Hours]&lt;5,"Low",IF(mental_health[Sleep_Hours]&lt;7,"Medium","Good"))</f>
        <v>Good</v>
      </c>
      <c r="U226" t="str">
        <f>IF(mental_health[Stress_Level]&lt;=3,"Low",IF(mental_health[Stress_Level]&lt;=7,"Medium","High"))</f>
        <v>Medium</v>
      </c>
      <c r="V226" t="str">
        <f>IF(mental_health[Daily_Screen_Time]&lt;=4,"Low",IF(mental_health[Daily_Screen_Time]&lt;=8,"Medium","High"))</f>
        <v>Medium</v>
      </c>
    </row>
    <row r="227" spans="1:22" x14ac:dyDescent="0.3">
      <c r="A227">
        <v>226</v>
      </c>
      <c r="B227">
        <v>44</v>
      </c>
      <c r="C227" t="s">
        <v>23</v>
      </c>
      <c r="D227" t="s">
        <v>19</v>
      </c>
      <c r="E227">
        <v>8.1999999999999993</v>
      </c>
      <c r="F227">
        <v>2.1</v>
      </c>
      <c r="G227">
        <v>1</v>
      </c>
      <c r="H227" t="str">
        <f t="shared" si="3"/>
        <v>Night Usage</v>
      </c>
      <c r="I227">
        <v>4.5</v>
      </c>
      <c r="J227" s="3">
        <v>8</v>
      </c>
      <c r="K227">
        <v>9.1999999999999993</v>
      </c>
      <c r="L227" t="s">
        <v>25</v>
      </c>
      <c r="M227">
        <v>5</v>
      </c>
      <c r="N227">
        <v>1</v>
      </c>
      <c r="O227">
        <v>1</v>
      </c>
      <c r="P227">
        <v>1</v>
      </c>
      <c r="Q227">
        <v>1</v>
      </c>
      <c r="R227">
        <v>0</v>
      </c>
      <c r="S227">
        <v>1</v>
      </c>
      <c r="T227" t="str">
        <f>IF(mental_health[Sleep_Hours]&lt;5,"Low",IF(mental_health[Sleep_Hours]&lt;7,"Medium","Good"))</f>
        <v>Low</v>
      </c>
      <c r="U227" t="str">
        <f>IF(mental_health[Stress_Level]&lt;=3,"Low",IF(mental_health[Stress_Level]&lt;=7,"Medium","High"))</f>
        <v>High</v>
      </c>
      <c r="V227" t="str">
        <f>IF(mental_health[Daily_Screen_Time]&lt;=4,"Low",IF(mental_health[Daily_Screen_Time]&lt;=8,"Medium","High"))</f>
        <v>High</v>
      </c>
    </row>
    <row r="228" spans="1:22" x14ac:dyDescent="0.3">
      <c r="A228">
        <v>227</v>
      </c>
      <c r="B228">
        <v>18</v>
      </c>
      <c r="C228" t="s">
        <v>23</v>
      </c>
      <c r="D228" t="s">
        <v>19</v>
      </c>
      <c r="E228">
        <v>6.1</v>
      </c>
      <c r="F228">
        <v>5.9</v>
      </c>
      <c r="G228">
        <v>0</v>
      </c>
      <c r="H228" t="str">
        <f t="shared" si="3"/>
        <v>No Night Usage</v>
      </c>
      <c r="I228">
        <v>5.7</v>
      </c>
      <c r="J228" s="3">
        <v>3</v>
      </c>
      <c r="K228">
        <v>8.4</v>
      </c>
      <c r="L228" t="s">
        <v>25</v>
      </c>
      <c r="M228">
        <v>3</v>
      </c>
      <c r="N228">
        <v>3</v>
      </c>
      <c r="O228">
        <v>1</v>
      </c>
      <c r="P228">
        <v>0</v>
      </c>
      <c r="Q228">
        <v>1</v>
      </c>
      <c r="R228">
        <v>0</v>
      </c>
      <c r="S228">
        <v>0</v>
      </c>
      <c r="T228" t="str">
        <f>IF(mental_health[Sleep_Hours]&lt;5,"Low",IF(mental_health[Sleep_Hours]&lt;7,"Medium","Good"))</f>
        <v>Medium</v>
      </c>
      <c r="U228" t="str">
        <f>IF(mental_health[Stress_Level]&lt;=3,"Low",IF(mental_health[Stress_Level]&lt;=7,"Medium","High"))</f>
        <v>Low</v>
      </c>
      <c r="V228" t="str">
        <f>IF(mental_health[Daily_Screen_Time]&lt;=4,"Low",IF(mental_health[Daily_Screen_Time]&lt;=8,"Medium","High"))</f>
        <v>Medium</v>
      </c>
    </row>
    <row r="229" spans="1:22" x14ac:dyDescent="0.3">
      <c r="A229">
        <v>228</v>
      </c>
      <c r="B229">
        <v>35</v>
      </c>
      <c r="C229" t="s">
        <v>23</v>
      </c>
      <c r="D229" t="s">
        <v>24</v>
      </c>
      <c r="E229">
        <v>6.3</v>
      </c>
      <c r="F229">
        <v>6.3</v>
      </c>
      <c r="G229">
        <v>0</v>
      </c>
      <c r="H229" t="str">
        <f t="shared" si="3"/>
        <v>No Night Usage</v>
      </c>
      <c r="I229">
        <v>3.2</v>
      </c>
      <c r="J229" s="3">
        <v>5</v>
      </c>
      <c r="K229">
        <v>7.7</v>
      </c>
      <c r="L229" t="s">
        <v>21</v>
      </c>
      <c r="M229">
        <v>4</v>
      </c>
      <c r="N229">
        <v>1</v>
      </c>
      <c r="O229">
        <v>0</v>
      </c>
      <c r="P229">
        <v>0</v>
      </c>
      <c r="Q229">
        <v>1</v>
      </c>
      <c r="R229">
        <v>1</v>
      </c>
      <c r="S229">
        <v>0</v>
      </c>
      <c r="T229" t="str">
        <f>IF(mental_health[Sleep_Hours]&lt;5,"Low",IF(mental_health[Sleep_Hours]&lt;7,"Medium","Good"))</f>
        <v>Low</v>
      </c>
      <c r="U229" t="str">
        <f>IF(mental_health[Stress_Level]&lt;=3,"Low",IF(mental_health[Stress_Level]&lt;=7,"Medium","High"))</f>
        <v>Medium</v>
      </c>
      <c r="V229" t="str">
        <f>IF(mental_health[Daily_Screen_Time]&lt;=4,"Low",IF(mental_health[Daily_Screen_Time]&lt;=8,"Medium","High"))</f>
        <v>Medium</v>
      </c>
    </row>
    <row r="230" spans="1:22" x14ac:dyDescent="0.3">
      <c r="A230">
        <v>229</v>
      </c>
      <c r="B230">
        <v>51</v>
      </c>
      <c r="C230" t="s">
        <v>18</v>
      </c>
      <c r="D230" t="s">
        <v>19</v>
      </c>
      <c r="E230">
        <v>5.3</v>
      </c>
      <c r="F230">
        <v>1.7</v>
      </c>
      <c r="G230">
        <v>0</v>
      </c>
      <c r="H230" t="str">
        <f t="shared" si="3"/>
        <v>No Night Usage</v>
      </c>
      <c r="I230">
        <v>5.4</v>
      </c>
      <c r="J230" s="3">
        <v>3</v>
      </c>
      <c r="K230">
        <v>9.1999999999999993</v>
      </c>
      <c r="L230" t="s">
        <v>25</v>
      </c>
      <c r="M230">
        <v>8</v>
      </c>
      <c r="N230">
        <v>1</v>
      </c>
      <c r="O230">
        <v>1</v>
      </c>
      <c r="P230">
        <v>1</v>
      </c>
      <c r="Q230">
        <v>0</v>
      </c>
      <c r="R230">
        <v>1</v>
      </c>
      <c r="S230">
        <v>1</v>
      </c>
      <c r="T230" t="str">
        <f>IF(mental_health[Sleep_Hours]&lt;5,"Low",IF(mental_health[Sleep_Hours]&lt;7,"Medium","Good"))</f>
        <v>Medium</v>
      </c>
      <c r="U230" t="str">
        <f>IF(mental_health[Stress_Level]&lt;=3,"Low",IF(mental_health[Stress_Level]&lt;=7,"Medium","High"))</f>
        <v>Low</v>
      </c>
      <c r="V230" t="str">
        <f>IF(mental_health[Daily_Screen_Time]&lt;=4,"Low",IF(mental_health[Daily_Screen_Time]&lt;=8,"Medium","High"))</f>
        <v>Medium</v>
      </c>
    </row>
    <row r="231" spans="1:22" x14ac:dyDescent="0.3">
      <c r="A231">
        <v>230</v>
      </c>
      <c r="B231">
        <v>34</v>
      </c>
      <c r="C231" t="s">
        <v>23</v>
      </c>
      <c r="D231" t="s">
        <v>24</v>
      </c>
      <c r="E231">
        <v>7.6</v>
      </c>
      <c r="F231">
        <v>4.5</v>
      </c>
      <c r="G231">
        <v>1</v>
      </c>
      <c r="H231" t="str">
        <f t="shared" si="3"/>
        <v>Night Usage</v>
      </c>
      <c r="I231">
        <v>6.4</v>
      </c>
      <c r="J231" s="3">
        <v>7</v>
      </c>
      <c r="K231">
        <v>6.2</v>
      </c>
      <c r="L231" t="s">
        <v>25</v>
      </c>
      <c r="M231">
        <v>6</v>
      </c>
      <c r="N231">
        <v>3</v>
      </c>
      <c r="O231">
        <v>0</v>
      </c>
      <c r="P231">
        <v>1</v>
      </c>
      <c r="Q231">
        <v>1</v>
      </c>
      <c r="R231">
        <v>0</v>
      </c>
      <c r="S231">
        <v>0</v>
      </c>
      <c r="T231" t="str">
        <f>IF(mental_health[Sleep_Hours]&lt;5,"Low",IF(mental_health[Sleep_Hours]&lt;7,"Medium","Good"))</f>
        <v>Medium</v>
      </c>
      <c r="U231" t="str">
        <f>IF(mental_health[Stress_Level]&lt;=3,"Low",IF(mental_health[Stress_Level]&lt;=7,"Medium","High"))</f>
        <v>Medium</v>
      </c>
      <c r="V231" t="str">
        <f>IF(mental_health[Daily_Screen_Time]&lt;=4,"Low",IF(mental_health[Daily_Screen_Time]&lt;=8,"Medium","High"))</f>
        <v>Medium</v>
      </c>
    </row>
    <row r="232" spans="1:22" x14ac:dyDescent="0.3">
      <c r="A232">
        <v>231</v>
      </c>
      <c r="B232">
        <v>41</v>
      </c>
      <c r="C232" t="s">
        <v>23</v>
      </c>
      <c r="D232" t="s">
        <v>22</v>
      </c>
      <c r="E232">
        <v>10.5</v>
      </c>
      <c r="F232">
        <v>6.7</v>
      </c>
      <c r="G232">
        <v>1</v>
      </c>
      <c r="H232" t="str">
        <f t="shared" si="3"/>
        <v>Night Usage</v>
      </c>
      <c r="I232">
        <v>8.6999999999999993</v>
      </c>
      <c r="J232" s="3">
        <v>6</v>
      </c>
      <c r="K232">
        <v>3</v>
      </c>
      <c r="L232" t="s">
        <v>21</v>
      </c>
      <c r="M232">
        <v>5</v>
      </c>
      <c r="N232">
        <v>1</v>
      </c>
      <c r="O232">
        <v>1</v>
      </c>
      <c r="P232">
        <v>0</v>
      </c>
      <c r="Q232">
        <v>0</v>
      </c>
      <c r="R232">
        <v>0</v>
      </c>
      <c r="S232">
        <v>1</v>
      </c>
      <c r="T232" t="str">
        <f>IF(mental_health[Sleep_Hours]&lt;5,"Low",IF(mental_health[Sleep_Hours]&lt;7,"Medium","Good"))</f>
        <v>Good</v>
      </c>
      <c r="U232" t="str">
        <f>IF(mental_health[Stress_Level]&lt;=3,"Low",IF(mental_health[Stress_Level]&lt;=7,"Medium","High"))</f>
        <v>Medium</v>
      </c>
      <c r="V232" t="str">
        <f>IF(mental_health[Daily_Screen_Time]&lt;=4,"Low",IF(mental_health[Daily_Screen_Time]&lt;=8,"Medium","High"))</f>
        <v>High</v>
      </c>
    </row>
    <row r="233" spans="1:22" x14ac:dyDescent="0.3">
      <c r="A233">
        <v>232</v>
      </c>
      <c r="B233">
        <v>18</v>
      </c>
      <c r="C233" t="s">
        <v>23</v>
      </c>
      <c r="D233" t="s">
        <v>24</v>
      </c>
      <c r="E233">
        <v>4</v>
      </c>
      <c r="F233">
        <v>7.6</v>
      </c>
      <c r="G233">
        <v>0</v>
      </c>
      <c r="H233" t="str">
        <f t="shared" si="3"/>
        <v>No Night Usage</v>
      </c>
      <c r="I233">
        <v>6.1</v>
      </c>
      <c r="J233" s="3">
        <v>3</v>
      </c>
      <c r="K233">
        <v>2.4</v>
      </c>
      <c r="L233" t="s">
        <v>20</v>
      </c>
      <c r="M233">
        <v>9</v>
      </c>
      <c r="N233">
        <v>3</v>
      </c>
      <c r="O233">
        <v>1</v>
      </c>
      <c r="P233">
        <v>1</v>
      </c>
      <c r="Q233">
        <v>1</v>
      </c>
      <c r="R233">
        <v>0</v>
      </c>
      <c r="S233">
        <v>0</v>
      </c>
      <c r="T233" t="str">
        <f>IF(mental_health[Sleep_Hours]&lt;5,"Low",IF(mental_health[Sleep_Hours]&lt;7,"Medium","Good"))</f>
        <v>Medium</v>
      </c>
      <c r="U233" t="str">
        <f>IF(mental_health[Stress_Level]&lt;=3,"Low",IF(mental_health[Stress_Level]&lt;=7,"Medium","High"))</f>
        <v>Low</v>
      </c>
      <c r="V233" t="str">
        <f>IF(mental_health[Daily_Screen_Time]&lt;=4,"Low",IF(mental_health[Daily_Screen_Time]&lt;=8,"Medium","High"))</f>
        <v>Low</v>
      </c>
    </row>
    <row r="234" spans="1:22" x14ac:dyDescent="0.3">
      <c r="A234">
        <v>233</v>
      </c>
      <c r="B234">
        <v>34</v>
      </c>
      <c r="C234" t="s">
        <v>23</v>
      </c>
      <c r="D234" t="s">
        <v>24</v>
      </c>
      <c r="E234">
        <v>11.3</v>
      </c>
      <c r="F234">
        <v>4.5999999999999996</v>
      </c>
      <c r="G234">
        <v>1</v>
      </c>
      <c r="H234" t="str">
        <f t="shared" si="3"/>
        <v>Night Usage</v>
      </c>
      <c r="I234">
        <v>7.9</v>
      </c>
      <c r="J234" s="3">
        <v>9</v>
      </c>
      <c r="K234">
        <v>6.8</v>
      </c>
      <c r="L234" t="s">
        <v>25</v>
      </c>
      <c r="M234">
        <v>10</v>
      </c>
      <c r="N234">
        <v>1</v>
      </c>
      <c r="O234">
        <v>1</v>
      </c>
      <c r="P234">
        <v>0</v>
      </c>
      <c r="Q234">
        <v>0</v>
      </c>
      <c r="R234">
        <v>1</v>
      </c>
      <c r="S234">
        <v>1</v>
      </c>
      <c r="T234" t="str">
        <f>IF(mental_health[Sleep_Hours]&lt;5,"Low",IF(mental_health[Sleep_Hours]&lt;7,"Medium","Good"))</f>
        <v>Good</v>
      </c>
      <c r="U234" t="str">
        <f>IF(mental_health[Stress_Level]&lt;=3,"Low",IF(mental_health[Stress_Level]&lt;=7,"Medium","High"))</f>
        <v>High</v>
      </c>
      <c r="V234" t="str">
        <f>IF(mental_health[Daily_Screen_Time]&lt;=4,"Low",IF(mental_health[Daily_Screen_Time]&lt;=8,"Medium","High"))</f>
        <v>High</v>
      </c>
    </row>
    <row r="235" spans="1:22" x14ac:dyDescent="0.3">
      <c r="A235">
        <v>234</v>
      </c>
      <c r="B235">
        <v>35</v>
      </c>
      <c r="C235" t="s">
        <v>23</v>
      </c>
      <c r="D235" t="s">
        <v>19</v>
      </c>
      <c r="E235">
        <v>8.9</v>
      </c>
      <c r="F235">
        <v>7.7</v>
      </c>
      <c r="G235">
        <v>0</v>
      </c>
      <c r="H235" t="str">
        <f t="shared" si="3"/>
        <v>No Night Usage</v>
      </c>
      <c r="I235">
        <v>6.3</v>
      </c>
      <c r="J235" s="3">
        <v>1</v>
      </c>
      <c r="K235">
        <v>8</v>
      </c>
      <c r="L235" t="s">
        <v>21</v>
      </c>
      <c r="M235">
        <v>3</v>
      </c>
      <c r="N235">
        <v>0</v>
      </c>
      <c r="O235">
        <v>1</v>
      </c>
      <c r="P235">
        <v>0</v>
      </c>
      <c r="Q235">
        <v>1</v>
      </c>
      <c r="R235">
        <v>0</v>
      </c>
      <c r="S235">
        <v>0</v>
      </c>
      <c r="T235" t="str">
        <f>IF(mental_health[Sleep_Hours]&lt;5,"Low",IF(mental_health[Sleep_Hours]&lt;7,"Medium","Good"))</f>
        <v>Medium</v>
      </c>
      <c r="U235" t="str">
        <f>IF(mental_health[Stress_Level]&lt;=3,"Low",IF(mental_health[Stress_Level]&lt;=7,"Medium","High"))</f>
        <v>Low</v>
      </c>
      <c r="V235" t="str">
        <f>IF(mental_health[Daily_Screen_Time]&lt;=4,"Low",IF(mental_health[Daily_Screen_Time]&lt;=8,"Medium","High"))</f>
        <v>High</v>
      </c>
    </row>
    <row r="236" spans="1:22" x14ac:dyDescent="0.3">
      <c r="A236">
        <v>235</v>
      </c>
      <c r="B236">
        <v>47</v>
      </c>
      <c r="C236" t="s">
        <v>18</v>
      </c>
      <c r="D236" t="s">
        <v>19</v>
      </c>
      <c r="E236">
        <v>10.199999999999999</v>
      </c>
      <c r="F236">
        <v>4.7</v>
      </c>
      <c r="G236">
        <v>0</v>
      </c>
      <c r="H236" t="str">
        <f t="shared" si="3"/>
        <v>No Night Usage</v>
      </c>
      <c r="I236">
        <v>3.2</v>
      </c>
      <c r="J236" s="3">
        <v>10</v>
      </c>
      <c r="K236">
        <v>2.8</v>
      </c>
      <c r="L236" t="s">
        <v>25</v>
      </c>
      <c r="M236">
        <v>7</v>
      </c>
      <c r="N236">
        <v>2</v>
      </c>
      <c r="O236">
        <v>1</v>
      </c>
      <c r="P236">
        <v>1</v>
      </c>
      <c r="Q236">
        <v>1</v>
      </c>
      <c r="R236">
        <v>1</v>
      </c>
      <c r="S236">
        <v>0</v>
      </c>
      <c r="T236" t="str">
        <f>IF(mental_health[Sleep_Hours]&lt;5,"Low",IF(mental_health[Sleep_Hours]&lt;7,"Medium","Good"))</f>
        <v>Low</v>
      </c>
      <c r="U236" t="str">
        <f>IF(mental_health[Stress_Level]&lt;=3,"Low",IF(mental_health[Stress_Level]&lt;=7,"Medium","High"))</f>
        <v>High</v>
      </c>
      <c r="V236" t="str">
        <f>IF(mental_health[Daily_Screen_Time]&lt;=4,"Low",IF(mental_health[Daily_Screen_Time]&lt;=8,"Medium","High"))</f>
        <v>High</v>
      </c>
    </row>
    <row r="237" spans="1:22" x14ac:dyDescent="0.3">
      <c r="A237">
        <v>236</v>
      </c>
      <c r="B237">
        <v>22</v>
      </c>
      <c r="C237" t="s">
        <v>18</v>
      </c>
      <c r="D237" t="s">
        <v>24</v>
      </c>
      <c r="E237">
        <v>7.6</v>
      </c>
      <c r="F237">
        <v>3.8</v>
      </c>
      <c r="G237">
        <v>0</v>
      </c>
      <c r="H237" t="str">
        <f t="shared" si="3"/>
        <v>No Night Usage</v>
      </c>
      <c r="I237">
        <v>4.9000000000000004</v>
      </c>
      <c r="J237" s="3">
        <v>3</v>
      </c>
      <c r="K237">
        <v>4.9000000000000004</v>
      </c>
      <c r="L237" t="s">
        <v>21</v>
      </c>
      <c r="M237">
        <v>9</v>
      </c>
      <c r="N237">
        <v>1</v>
      </c>
      <c r="O237">
        <v>1</v>
      </c>
      <c r="P237">
        <v>1</v>
      </c>
      <c r="Q237">
        <v>1</v>
      </c>
      <c r="R237">
        <v>0</v>
      </c>
      <c r="S237">
        <v>1</v>
      </c>
      <c r="T237" t="str">
        <f>IF(mental_health[Sleep_Hours]&lt;5,"Low",IF(mental_health[Sleep_Hours]&lt;7,"Medium","Good"))</f>
        <v>Low</v>
      </c>
      <c r="U237" t="str">
        <f>IF(mental_health[Stress_Level]&lt;=3,"Low",IF(mental_health[Stress_Level]&lt;=7,"Medium","High"))</f>
        <v>Low</v>
      </c>
      <c r="V237" t="str">
        <f>IF(mental_health[Daily_Screen_Time]&lt;=4,"Low",IF(mental_health[Daily_Screen_Time]&lt;=8,"Medium","High"))</f>
        <v>Medium</v>
      </c>
    </row>
    <row r="238" spans="1:22" x14ac:dyDescent="0.3">
      <c r="A238">
        <v>237</v>
      </c>
      <c r="B238">
        <v>56</v>
      </c>
      <c r="C238" t="s">
        <v>23</v>
      </c>
      <c r="D238" t="s">
        <v>19</v>
      </c>
      <c r="E238">
        <v>9.8000000000000007</v>
      </c>
      <c r="F238">
        <v>6.9</v>
      </c>
      <c r="G238">
        <v>0</v>
      </c>
      <c r="H238" t="str">
        <f t="shared" si="3"/>
        <v>No Night Usage</v>
      </c>
      <c r="I238">
        <v>6.5</v>
      </c>
      <c r="J238" s="3">
        <v>10</v>
      </c>
      <c r="K238">
        <v>5.2</v>
      </c>
      <c r="L238" t="s">
        <v>20</v>
      </c>
      <c r="M238">
        <v>4</v>
      </c>
      <c r="N238">
        <v>2</v>
      </c>
      <c r="O238">
        <v>0</v>
      </c>
      <c r="P238">
        <v>1</v>
      </c>
      <c r="Q238">
        <v>1</v>
      </c>
      <c r="R238">
        <v>1</v>
      </c>
      <c r="S238">
        <v>1</v>
      </c>
      <c r="T238" t="str">
        <f>IF(mental_health[Sleep_Hours]&lt;5,"Low",IF(mental_health[Sleep_Hours]&lt;7,"Medium","Good"))</f>
        <v>Medium</v>
      </c>
      <c r="U238" t="str">
        <f>IF(mental_health[Stress_Level]&lt;=3,"Low",IF(mental_health[Stress_Level]&lt;=7,"Medium","High"))</f>
        <v>High</v>
      </c>
      <c r="V238" t="str">
        <f>IF(mental_health[Daily_Screen_Time]&lt;=4,"Low",IF(mental_health[Daily_Screen_Time]&lt;=8,"Medium","High"))</f>
        <v>High</v>
      </c>
    </row>
    <row r="239" spans="1:22" x14ac:dyDescent="0.3">
      <c r="A239">
        <v>238</v>
      </c>
      <c r="B239">
        <v>48</v>
      </c>
      <c r="C239" t="s">
        <v>23</v>
      </c>
      <c r="D239" t="s">
        <v>19</v>
      </c>
      <c r="E239">
        <v>2.2000000000000002</v>
      </c>
      <c r="F239">
        <v>4.5</v>
      </c>
      <c r="G239">
        <v>0</v>
      </c>
      <c r="H239" t="str">
        <f t="shared" si="3"/>
        <v>No Night Usage</v>
      </c>
      <c r="I239">
        <v>8.6999999999999993</v>
      </c>
      <c r="J239" s="3">
        <v>7</v>
      </c>
      <c r="K239">
        <v>7.6</v>
      </c>
      <c r="L239" t="s">
        <v>25</v>
      </c>
      <c r="M239">
        <v>10</v>
      </c>
      <c r="N239">
        <v>4</v>
      </c>
      <c r="O239">
        <v>0</v>
      </c>
      <c r="P239">
        <v>1</v>
      </c>
      <c r="Q239">
        <v>0</v>
      </c>
      <c r="R239">
        <v>0</v>
      </c>
      <c r="S239">
        <v>0</v>
      </c>
      <c r="T239" t="str">
        <f>IF(mental_health[Sleep_Hours]&lt;5,"Low",IF(mental_health[Sleep_Hours]&lt;7,"Medium","Good"))</f>
        <v>Good</v>
      </c>
      <c r="U239" t="str">
        <f>IF(mental_health[Stress_Level]&lt;=3,"Low",IF(mental_health[Stress_Level]&lt;=7,"Medium","High"))</f>
        <v>Medium</v>
      </c>
      <c r="V239" t="str">
        <f>IF(mental_health[Daily_Screen_Time]&lt;=4,"Low",IF(mental_health[Daily_Screen_Time]&lt;=8,"Medium","High"))</f>
        <v>Low</v>
      </c>
    </row>
    <row r="240" spans="1:22" x14ac:dyDescent="0.3">
      <c r="A240">
        <v>239</v>
      </c>
      <c r="B240">
        <v>55</v>
      </c>
      <c r="C240" t="s">
        <v>23</v>
      </c>
      <c r="D240" t="s">
        <v>19</v>
      </c>
      <c r="E240">
        <v>10.199999999999999</v>
      </c>
      <c r="F240">
        <v>4.3</v>
      </c>
      <c r="G240">
        <v>0</v>
      </c>
      <c r="H240" t="str">
        <f t="shared" si="3"/>
        <v>No Night Usage</v>
      </c>
      <c r="I240">
        <v>8.1999999999999993</v>
      </c>
      <c r="J240" s="3">
        <v>3</v>
      </c>
      <c r="K240">
        <v>4.8</v>
      </c>
      <c r="L240" t="s">
        <v>20</v>
      </c>
      <c r="M240">
        <v>10</v>
      </c>
      <c r="N240">
        <v>1</v>
      </c>
      <c r="O240">
        <v>1</v>
      </c>
      <c r="P240">
        <v>0</v>
      </c>
      <c r="Q240">
        <v>0</v>
      </c>
      <c r="R240">
        <v>0</v>
      </c>
      <c r="S240">
        <v>0</v>
      </c>
      <c r="T240" t="str">
        <f>IF(mental_health[Sleep_Hours]&lt;5,"Low",IF(mental_health[Sleep_Hours]&lt;7,"Medium","Good"))</f>
        <v>Good</v>
      </c>
      <c r="U240" t="str">
        <f>IF(mental_health[Stress_Level]&lt;=3,"Low",IF(mental_health[Stress_Level]&lt;=7,"Medium","High"))</f>
        <v>Low</v>
      </c>
      <c r="V240" t="str">
        <f>IF(mental_health[Daily_Screen_Time]&lt;=4,"Low",IF(mental_health[Daily_Screen_Time]&lt;=8,"Medium","High"))</f>
        <v>High</v>
      </c>
    </row>
    <row r="241" spans="1:22" x14ac:dyDescent="0.3">
      <c r="A241">
        <v>240</v>
      </c>
      <c r="B241">
        <v>54</v>
      </c>
      <c r="C241" t="s">
        <v>18</v>
      </c>
      <c r="D241" t="s">
        <v>24</v>
      </c>
      <c r="E241">
        <v>2.4</v>
      </c>
      <c r="F241">
        <v>4.4000000000000004</v>
      </c>
      <c r="G241">
        <v>0</v>
      </c>
      <c r="H241" t="str">
        <f t="shared" si="3"/>
        <v>No Night Usage</v>
      </c>
      <c r="I241">
        <v>4.4000000000000004</v>
      </c>
      <c r="J241" s="3">
        <v>3</v>
      </c>
      <c r="K241">
        <v>3</v>
      </c>
      <c r="L241" t="s">
        <v>20</v>
      </c>
      <c r="M241">
        <v>3</v>
      </c>
      <c r="N241">
        <v>0</v>
      </c>
      <c r="O241">
        <v>1</v>
      </c>
      <c r="P241">
        <v>1</v>
      </c>
      <c r="Q241">
        <v>0</v>
      </c>
      <c r="R241">
        <v>1</v>
      </c>
      <c r="S241">
        <v>0</v>
      </c>
      <c r="T241" t="str">
        <f>IF(mental_health[Sleep_Hours]&lt;5,"Low",IF(mental_health[Sleep_Hours]&lt;7,"Medium","Good"))</f>
        <v>Low</v>
      </c>
      <c r="U241" t="str">
        <f>IF(mental_health[Stress_Level]&lt;=3,"Low",IF(mental_health[Stress_Level]&lt;=7,"Medium","High"))</f>
        <v>Low</v>
      </c>
      <c r="V241" t="str">
        <f>IF(mental_health[Daily_Screen_Time]&lt;=4,"Low",IF(mental_health[Daily_Screen_Time]&lt;=8,"Medium","High"))</f>
        <v>Low</v>
      </c>
    </row>
    <row r="242" spans="1:22" x14ac:dyDescent="0.3">
      <c r="A242">
        <v>241</v>
      </c>
      <c r="B242">
        <v>33</v>
      </c>
      <c r="C242" t="s">
        <v>18</v>
      </c>
      <c r="D242" t="s">
        <v>19</v>
      </c>
      <c r="E242">
        <v>10.9</v>
      </c>
      <c r="F242">
        <v>6.9</v>
      </c>
      <c r="G242">
        <v>1</v>
      </c>
      <c r="H242" t="str">
        <f t="shared" si="3"/>
        <v>Night Usage</v>
      </c>
      <c r="I242">
        <v>4.3</v>
      </c>
      <c r="J242" s="3">
        <v>2</v>
      </c>
      <c r="K242">
        <v>3.6</v>
      </c>
      <c r="L242" t="s">
        <v>21</v>
      </c>
      <c r="M242">
        <v>1</v>
      </c>
      <c r="N242">
        <v>3</v>
      </c>
      <c r="O242">
        <v>0</v>
      </c>
      <c r="P242">
        <v>1</v>
      </c>
      <c r="Q242">
        <v>1</v>
      </c>
      <c r="R242">
        <v>1</v>
      </c>
      <c r="S242">
        <v>1</v>
      </c>
      <c r="T242" t="str">
        <f>IF(mental_health[Sleep_Hours]&lt;5,"Low",IF(mental_health[Sleep_Hours]&lt;7,"Medium","Good"))</f>
        <v>Low</v>
      </c>
      <c r="U242" t="str">
        <f>IF(mental_health[Stress_Level]&lt;=3,"Low",IF(mental_health[Stress_Level]&lt;=7,"Medium","High"))</f>
        <v>Low</v>
      </c>
      <c r="V242" t="str">
        <f>IF(mental_health[Daily_Screen_Time]&lt;=4,"Low",IF(mental_health[Daily_Screen_Time]&lt;=8,"Medium","High"))</f>
        <v>High</v>
      </c>
    </row>
    <row r="243" spans="1:22" x14ac:dyDescent="0.3">
      <c r="A243">
        <v>242</v>
      </c>
      <c r="B243">
        <v>55</v>
      </c>
      <c r="C243" t="s">
        <v>23</v>
      </c>
      <c r="D243" t="s">
        <v>24</v>
      </c>
      <c r="E243">
        <v>11.9</v>
      </c>
      <c r="F243">
        <v>6.8</v>
      </c>
      <c r="G243">
        <v>0</v>
      </c>
      <c r="H243" t="str">
        <f t="shared" si="3"/>
        <v>No Night Usage</v>
      </c>
      <c r="I243">
        <v>4.2</v>
      </c>
      <c r="J243" s="3">
        <v>9</v>
      </c>
      <c r="K243">
        <v>3.7</v>
      </c>
      <c r="L243" t="s">
        <v>25</v>
      </c>
      <c r="M243">
        <v>9</v>
      </c>
      <c r="N243">
        <v>0</v>
      </c>
      <c r="O243">
        <v>0</v>
      </c>
      <c r="P243">
        <v>0</v>
      </c>
      <c r="Q243">
        <v>1</v>
      </c>
      <c r="R243">
        <v>1</v>
      </c>
      <c r="S243">
        <v>1</v>
      </c>
      <c r="T243" t="str">
        <f>IF(mental_health[Sleep_Hours]&lt;5,"Low",IF(mental_health[Sleep_Hours]&lt;7,"Medium","Good"))</f>
        <v>Low</v>
      </c>
      <c r="U243" t="str">
        <f>IF(mental_health[Stress_Level]&lt;=3,"Low",IF(mental_health[Stress_Level]&lt;=7,"Medium","High"))</f>
        <v>High</v>
      </c>
      <c r="V243" t="str">
        <f>IF(mental_health[Daily_Screen_Time]&lt;=4,"Low",IF(mental_health[Daily_Screen_Time]&lt;=8,"Medium","High"))</f>
        <v>High</v>
      </c>
    </row>
    <row r="244" spans="1:22" x14ac:dyDescent="0.3">
      <c r="A244">
        <v>243</v>
      </c>
      <c r="B244">
        <v>16</v>
      </c>
      <c r="C244" t="s">
        <v>18</v>
      </c>
      <c r="D244" t="s">
        <v>19</v>
      </c>
      <c r="E244">
        <v>4.9000000000000004</v>
      </c>
      <c r="F244">
        <v>3.8</v>
      </c>
      <c r="G244">
        <v>1</v>
      </c>
      <c r="H244" t="str">
        <f t="shared" si="3"/>
        <v>Night Usage</v>
      </c>
      <c r="I244">
        <v>8.5</v>
      </c>
      <c r="J244" s="3">
        <v>4</v>
      </c>
      <c r="K244">
        <v>10.4</v>
      </c>
      <c r="L244" t="s">
        <v>25</v>
      </c>
      <c r="M244">
        <v>1</v>
      </c>
      <c r="N244">
        <v>2</v>
      </c>
      <c r="O244">
        <v>0</v>
      </c>
      <c r="P244">
        <v>0</v>
      </c>
      <c r="Q244">
        <v>1</v>
      </c>
      <c r="R244">
        <v>1</v>
      </c>
      <c r="S244">
        <v>0</v>
      </c>
      <c r="T244" t="str">
        <f>IF(mental_health[Sleep_Hours]&lt;5,"Low",IF(mental_health[Sleep_Hours]&lt;7,"Medium","Good"))</f>
        <v>Good</v>
      </c>
      <c r="U244" t="str">
        <f>IF(mental_health[Stress_Level]&lt;=3,"Low",IF(mental_health[Stress_Level]&lt;=7,"Medium","High"))</f>
        <v>Medium</v>
      </c>
      <c r="V244" t="str">
        <f>IF(mental_health[Daily_Screen_Time]&lt;=4,"Low",IF(mental_health[Daily_Screen_Time]&lt;=8,"Medium","High"))</f>
        <v>Medium</v>
      </c>
    </row>
    <row r="245" spans="1:22" x14ac:dyDescent="0.3">
      <c r="A245">
        <v>244</v>
      </c>
      <c r="B245">
        <v>26</v>
      </c>
      <c r="C245" t="s">
        <v>18</v>
      </c>
      <c r="D245" t="s">
        <v>22</v>
      </c>
      <c r="E245">
        <v>4.0999999999999996</v>
      </c>
      <c r="F245">
        <v>3.3</v>
      </c>
      <c r="G245">
        <v>1</v>
      </c>
      <c r="H245" t="str">
        <f t="shared" si="3"/>
        <v>Night Usage</v>
      </c>
      <c r="I245">
        <v>8.1</v>
      </c>
      <c r="J245" s="3">
        <v>10</v>
      </c>
      <c r="K245">
        <v>4.8</v>
      </c>
      <c r="L245" t="s">
        <v>25</v>
      </c>
      <c r="M245">
        <v>2</v>
      </c>
      <c r="N245">
        <v>3</v>
      </c>
      <c r="O245">
        <v>1</v>
      </c>
      <c r="P245">
        <v>0</v>
      </c>
      <c r="Q245">
        <v>0</v>
      </c>
      <c r="R245">
        <v>1</v>
      </c>
      <c r="S245">
        <v>1</v>
      </c>
      <c r="T245" t="str">
        <f>IF(mental_health[Sleep_Hours]&lt;5,"Low",IF(mental_health[Sleep_Hours]&lt;7,"Medium","Good"))</f>
        <v>Good</v>
      </c>
      <c r="U245" t="str">
        <f>IF(mental_health[Stress_Level]&lt;=3,"Low",IF(mental_health[Stress_Level]&lt;=7,"Medium","High"))</f>
        <v>High</v>
      </c>
      <c r="V245" t="str">
        <f>IF(mental_health[Daily_Screen_Time]&lt;=4,"Low",IF(mental_health[Daily_Screen_Time]&lt;=8,"Medium","High"))</f>
        <v>Medium</v>
      </c>
    </row>
    <row r="246" spans="1:22" x14ac:dyDescent="0.3">
      <c r="A246">
        <v>245</v>
      </c>
      <c r="B246">
        <v>43</v>
      </c>
      <c r="C246" t="s">
        <v>23</v>
      </c>
      <c r="D246" t="s">
        <v>19</v>
      </c>
      <c r="E246">
        <v>9.6999999999999993</v>
      </c>
      <c r="F246">
        <v>4.4000000000000004</v>
      </c>
      <c r="G246">
        <v>0</v>
      </c>
      <c r="H246" t="str">
        <f t="shared" si="3"/>
        <v>No Night Usage</v>
      </c>
      <c r="I246">
        <v>7.6</v>
      </c>
      <c r="J246" s="3">
        <v>6</v>
      </c>
      <c r="K246">
        <v>9.1</v>
      </c>
      <c r="L246" t="s">
        <v>25</v>
      </c>
      <c r="M246">
        <v>9</v>
      </c>
      <c r="N246">
        <v>0</v>
      </c>
      <c r="O246">
        <v>1</v>
      </c>
      <c r="P246">
        <v>1</v>
      </c>
      <c r="Q246">
        <v>1</v>
      </c>
      <c r="R246">
        <v>1</v>
      </c>
      <c r="S246">
        <v>0</v>
      </c>
      <c r="T246" t="str">
        <f>IF(mental_health[Sleep_Hours]&lt;5,"Low",IF(mental_health[Sleep_Hours]&lt;7,"Medium","Good"))</f>
        <v>Good</v>
      </c>
      <c r="U246" t="str">
        <f>IF(mental_health[Stress_Level]&lt;=3,"Low",IF(mental_health[Stress_Level]&lt;=7,"Medium","High"))</f>
        <v>Medium</v>
      </c>
      <c r="V246" t="str">
        <f>IF(mental_health[Daily_Screen_Time]&lt;=4,"Low",IF(mental_health[Daily_Screen_Time]&lt;=8,"Medium","High"))</f>
        <v>High</v>
      </c>
    </row>
    <row r="247" spans="1:22" x14ac:dyDescent="0.3">
      <c r="A247">
        <v>246</v>
      </c>
      <c r="B247">
        <v>40</v>
      </c>
      <c r="C247" t="s">
        <v>18</v>
      </c>
      <c r="D247" t="s">
        <v>19</v>
      </c>
      <c r="E247">
        <v>4.5</v>
      </c>
      <c r="F247">
        <v>5</v>
      </c>
      <c r="G247">
        <v>1</v>
      </c>
      <c r="H247" t="str">
        <f t="shared" si="3"/>
        <v>Night Usage</v>
      </c>
      <c r="I247">
        <v>5.4</v>
      </c>
      <c r="J247" s="3">
        <v>2</v>
      </c>
      <c r="K247">
        <v>7.7</v>
      </c>
      <c r="L247" t="s">
        <v>25</v>
      </c>
      <c r="M247">
        <v>5</v>
      </c>
      <c r="N247">
        <v>0</v>
      </c>
      <c r="O247">
        <v>1</v>
      </c>
      <c r="P247">
        <v>0</v>
      </c>
      <c r="Q247">
        <v>1</v>
      </c>
      <c r="R247">
        <v>0</v>
      </c>
      <c r="S247">
        <v>1</v>
      </c>
      <c r="T247" t="str">
        <f>IF(mental_health[Sleep_Hours]&lt;5,"Low",IF(mental_health[Sleep_Hours]&lt;7,"Medium","Good"))</f>
        <v>Medium</v>
      </c>
      <c r="U247" t="str">
        <f>IF(mental_health[Stress_Level]&lt;=3,"Low",IF(mental_health[Stress_Level]&lt;=7,"Medium","High"))</f>
        <v>Low</v>
      </c>
      <c r="V247" t="str">
        <f>IF(mental_health[Daily_Screen_Time]&lt;=4,"Low",IF(mental_health[Daily_Screen_Time]&lt;=8,"Medium","High"))</f>
        <v>Medium</v>
      </c>
    </row>
    <row r="248" spans="1:22" x14ac:dyDescent="0.3">
      <c r="A248">
        <v>247</v>
      </c>
      <c r="B248">
        <v>38</v>
      </c>
      <c r="C248" t="s">
        <v>18</v>
      </c>
      <c r="D248" t="s">
        <v>24</v>
      </c>
      <c r="E248">
        <v>10.7</v>
      </c>
      <c r="F248">
        <v>2.7</v>
      </c>
      <c r="G248">
        <v>1</v>
      </c>
      <c r="H248" t="str">
        <f t="shared" si="3"/>
        <v>Night Usage</v>
      </c>
      <c r="I248">
        <v>6</v>
      </c>
      <c r="J248" s="3">
        <v>9</v>
      </c>
      <c r="K248">
        <v>11.8</v>
      </c>
      <c r="L248" t="s">
        <v>21</v>
      </c>
      <c r="M248">
        <v>4</v>
      </c>
      <c r="N248">
        <v>0</v>
      </c>
      <c r="O248">
        <v>0</v>
      </c>
      <c r="P248">
        <v>1</v>
      </c>
      <c r="Q248">
        <v>1</v>
      </c>
      <c r="R248">
        <v>1</v>
      </c>
      <c r="S248">
        <v>1</v>
      </c>
      <c r="T248" t="str">
        <f>IF(mental_health[Sleep_Hours]&lt;5,"Low",IF(mental_health[Sleep_Hours]&lt;7,"Medium","Good"))</f>
        <v>Medium</v>
      </c>
      <c r="U248" t="str">
        <f>IF(mental_health[Stress_Level]&lt;=3,"Low",IF(mental_health[Stress_Level]&lt;=7,"Medium","High"))</f>
        <v>High</v>
      </c>
      <c r="V248" t="str">
        <f>IF(mental_health[Daily_Screen_Time]&lt;=4,"Low",IF(mental_health[Daily_Screen_Time]&lt;=8,"Medium","High"))</f>
        <v>High</v>
      </c>
    </row>
    <row r="249" spans="1:22" x14ac:dyDescent="0.3">
      <c r="A249">
        <v>248</v>
      </c>
      <c r="B249">
        <v>46</v>
      </c>
      <c r="C249" t="s">
        <v>23</v>
      </c>
      <c r="D249" t="s">
        <v>24</v>
      </c>
      <c r="E249">
        <v>3</v>
      </c>
      <c r="F249">
        <v>6.6</v>
      </c>
      <c r="G249">
        <v>1</v>
      </c>
      <c r="H249" t="str">
        <f t="shared" si="3"/>
        <v>Night Usage</v>
      </c>
      <c r="I249">
        <v>5.8</v>
      </c>
      <c r="J249" s="3">
        <v>7</v>
      </c>
      <c r="K249">
        <v>4.7</v>
      </c>
      <c r="L249" t="s">
        <v>25</v>
      </c>
      <c r="M249">
        <v>9</v>
      </c>
      <c r="N249">
        <v>3</v>
      </c>
      <c r="O249">
        <v>0</v>
      </c>
      <c r="P249">
        <v>1</v>
      </c>
      <c r="Q249">
        <v>0</v>
      </c>
      <c r="R249">
        <v>1</v>
      </c>
      <c r="S249">
        <v>0</v>
      </c>
      <c r="T249" t="str">
        <f>IF(mental_health[Sleep_Hours]&lt;5,"Low",IF(mental_health[Sleep_Hours]&lt;7,"Medium","Good"))</f>
        <v>Medium</v>
      </c>
      <c r="U249" t="str">
        <f>IF(mental_health[Stress_Level]&lt;=3,"Low",IF(mental_health[Stress_Level]&lt;=7,"Medium","High"))</f>
        <v>Medium</v>
      </c>
      <c r="V249" t="str">
        <f>IF(mental_health[Daily_Screen_Time]&lt;=4,"Low",IF(mental_health[Daily_Screen_Time]&lt;=8,"Medium","High"))</f>
        <v>Low</v>
      </c>
    </row>
    <row r="250" spans="1:22" x14ac:dyDescent="0.3">
      <c r="A250">
        <v>249</v>
      </c>
      <c r="B250">
        <v>45</v>
      </c>
      <c r="C250" t="s">
        <v>18</v>
      </c>
      <c r="D250" t="s">
        <v>19</v>
      </c>
      <c r="E250">
        <v>3.3</v>
      </c>
      <c r="F250">
        <v>4.4000000000000004</v>
      </c>
      <c r="G250">
        <v>0</v>
      </c>
      <c r="H250" t="str">
        <f t="shared" si="3"/>
        <v>No Night Usage</v>
      </c>
      <c r="I250">
        <v>4.5</v>
      </c>
      <c r="J250" s="3">
        <v>10</v>
      </c>
      <c r="K250">
        <v>3.6</v>
      </c>
      <c r="L250" t="s">
        <v>20</v>
      </c>
      <c r="M250">
        <v>9</v>
      </c>
      <c r="N250">
        <v>0</v>
      </c>
      <c r="O250">
        <v>1</v>
      </c>
      <c r="P250">
        <v>1</v>
      </c>
      <c r="Q250">
        <v>0</v>
      </c>
      <c r="R250">
        <v>0</v>
      </c>
      <c r="S250">
        <v>1</v>
      </c>
      <c r="T250" t="str">
        <f>IF(mental_health[Sleep_Hours]&lt;5,"Low",IF(mental_health[Sleep_Hours]&lt;7,"Medium","Good"))</f>
        <v>Low</v>
      </c>
      <c r="U250" t="str">
        <f>IF(mental_health[Stress_Level]&lt;=3,"Low",IF(mental_health[Stress_Level]&lt;=7,"Medium","High"))</f>
        <v>High</v>
      </c>
      <c r="V250" t="str">
        <f>IF(mental_health[Daily_Screen_Time]&lt;=4,"Low",IF(mental_health[Daily_Screen_Time]&lt;=8,"Medium","High"))</f>
        <v>Low</v>
      </c>
    </row>
    <row r="251" spans="1:22" x14ac:dyDescent="0.3">
      <c r="A251">
        <v>250</v>
      </c>
      <c r="B251">
        <v>57</v>
      </c>
      <c r="C251" t="s">
        <v>18</v>
      </c>
      <c r="D251" t="s">
        <v>22</v>
      </c>
      <c r="E251">
        <v>11.8</v>
      </c>
      <c r="F251">
        <v>3.3</v>
      </c>
      <c r="G251">
        <v>0</v>
      </c>
      <c r="H251" t="str">
        <f t="shared" si="3"/>
        <v>No Night Usage</v>
      </c>
      <c r="I251">
        <v>6</v>
      </c>
      <c r="J251" s="3">
        <v>5</v>
      </c>
      <c r="K251">
        <v>2.5</v>
      </c>
      <c r="L251" t="s">
        <v>20</v>
      </c>
      <c r="M251">
        <v>2</v>
      </c>
      <c r="N251">
        <v>0</v>
      </c>
      <c r="O251">
        <v>0</v>
      </c>
      <c r="P251">
        <v>1</v>
      </c>
      <c r="Q251">
        <v>1</v>
      </c>
      <c r="R251">
        <v>1</v>
      </c>
      <c r="S251">
        <v>0</v>
      </c>
      <c r="T251" t="str">
        <f>IF(mental_health[Sleep_Hours]&lt;5,"Low",IF(mental_health[Sleep_Hours]&lt;7,"Medium","Good"))</f>
        <v>Medium</v>
      </c>
      <c r="U251" t="str">
        <f>IF(mental_health[Stress_Level]&lt;=3,"Low",IF(mental_health[Stress_Level]&lt;=7,"Medium","High"))</f>
        <v>Medium</v>
      </c>
      <c r="V251" t="str">
        <f>IF(mental_health[Daily_Screen_Time]&lt;=4,"Low",IF(mental_health[Daily_Screen_Time]&lt;=8,"Medium","High"))</f>
        <v>High</v>
      </c>
    </row>
    <row r="252" spans="1:22" x14ac:dyDescent="0.3">
      <c r="A252">
        <v>251</v>
      </c>
      <c r="B252">
        <v>50</v>
      </c>
      <c r="C252" t="s">
        <v>23</v>
      </c>
      <c r="D252" t="s">
        <v>19</v>
      </c>
      <c r="E252">
        <v>8.6999999999999993</v>
      </c>
      <c r="F252">
        <v>1.7</v>
      </c>
      <c r="G252">
        <v>0</v>
      </c>
      <c r="H252" t="str">
        <f t="shared" si="3"/>
        <v>No Night Usage</v>
      </c>
      <c r="I252">
        <v>3.2</v>
      </c>
      <c r="J252" s="3">
        <v>7</v>
      </c>
      <c r="K252">
        <v>4.4000000000000004</v>
      </c>
      <c r="L252" t="s">
        <v>25</v>
      </c>
      <c r="M252">
        <v>3</v>
      </c>
      <c r="N252">
        <v>2</v>
      </c>
      <c r="O252">
        <v>1</v>
      </c>
      <c r="P252">
        <v>0</v>
      </c>
      <c r="Q252">
        <v>1</v>
      </c>
      <c r="R252">
        <v>0</v>
      </c>
      <c r="S252">
        <v>1</v>
      </c>
      <c r="T252" t="str">
        <f>IF(mental_health[Sleep_Hours]&lt;5,"Low",IF(mental_health[Sleep_Hours]&lt;7,"Medium","Good"))</f>
        <v>Low</v>
      </c>
      <c r="U252" t="str">
        <f>IF(mental_health[Stress_Level]&lt;=3,"Low",IF(mental_health[Stress_Level]&lt;=7,"Medium","High"))</f>
        <v>Medium</v>
      </c>
      <c r="V252" t="str">
        <f>IF(mental_health[Daily_Screen_Time]&lt;=4,"Low",IF(mental_health[Daily_Screen_Time]&lt;=8,"Medium","High"))</f>
        <v>High</v>
      </c>
    </row>
    <row r="253" spans="1:22" x14ac:dyDescent="0.3">
      <c r="A253">
        <v>252</v>
      </c>
      <c r="B253">
        <v>22</v>
      </c>
      <c r="C253" t="s">
        <v>18</v>
      </c>
      <c r="D253" t="s">
        <v>19</v>
      </c>
      <c r="E253">
        <v>10.5</v>
      </c>
      <c r="F253">
        <v>2.7</v>
      </c>
      <c r="G253">
        <v>0</v>
      </c>
      <c r="H253" t="str">
        <f t="shared" si="3"/>
        <v>No Night Usage</v>
      </c>
      <c r="I253">
        <v>3.8</v>
      </c>
      <c r="J253" s="3">
        <v>4</v>
      </c>
      <c r="K253">
        <v>8.8000000000000007</v>
      </c>
      <c r="L253" t="s">
        <v>21</v>
      </c>
      <c r="M253">
        <v>3</v>
      </c>
      <c r="N253">
        <v>0</v>
      </c>
      <c r="O253">
        <v>1</v>
      </c>
      <c r="P253">
        <v>0</v>
      </c>
      <c r="Q253">
        <v>1</v>
      </c>
      <c r="R253">
        <v>0</v>
      </c>
      <c r="S253">
        <v>1</v>
      </c>
      <c r="T253" t="str">
        <f>IF(mental_health[Sleep_Hours]&lt;5,"Low",IF(mental_health[Sleep_Hours]&lt;7,"Medium","Good"))</f>
        <v>Low</v>
      </c>
      <c r="U253" t="str">
        <f>IF(mental_health[Stress_Level]&lt;=3,"Low",IF(mental_health[Stress_Level]&lt;=7,"Medium","High"))</f>
        <v>Medium</v>
      </c>
      <c r="V253" t="str">
        <f>IF(mental_health[Daily_Screen_Time]&lt;=4,"Low",IF(mental_health[Daily_Screen_Time]&lt;=8,"Medium","High"))</f>
        <v>High</v>
      </c>
    </row>
    <row r="254" spans="1:22" x14ac:dyDescent="0.3">
      <c r="A254">
        <v>253</v>
      </c>
      <c r="B254">
        <v>31</v>
      </c>
      <c r="C254" t="s">
        <v>18</v>
      </c>
      <c r="D254" t="s">
        <v>22</v>
      </c>
      <c r="E254">
        <v>5.2</v>
      </c>
      <c r="F254">
        <v>7.6</v>
      </c>
      <c r="G254">
        <v>0</v>
      </c>
      <c r="H254" t="str">
        <f t="shared" si="3"/>
        <v>No Night Usage</v>
      </c>
      <c r="I254">
        <v>8.3000000000000007</v>
      </c>
      <c r="J254" s="3">
        <v>10</v>
      </c>
      <c r="K254">
        <v>2.9</v>
      </c>
      <c r="L254" t="s">
        <v>21</v>
      </c>
      <c r="M254">
        <v>5</v>
      </c>
      <c r="N254">
        <v>0</v>
      </c>
      <c r="O254">
        <v>0</v>
      </c>
      <c r="P254">
        <v>0</v>
      </c>
      <c r="Q254">
        <v>1</v>
      </c>
      <c r="R254">
        <v>0</v>
      </c>
      <c r="S254">
        <v>0</v>
      </c>
      <c r="T254" t="str">
        <f>IF(mental_health[Sleep_Hours]&lt;5,"Low",IF(mental_health[Sleep_Hours]&lt;7,"Medium","Good"))</f>
        <v>Good</v>
      </c>
      <c r="U254" t="str">
        <f>IF(mental_health[Stress_Level]&lt;=3,"Low",IF(mental_health[Stress_Level]&lt;=7,"Medium","High"))</f>
        <v>High</v>
      </c>
      <c r="V254" t="str">
        <f>IF(mental_health[Daily_Screen_Time]&lt;=4,"Low",IF(mental_health[Daily_Screen_Time]&lt;=8,"Medium","High"))</f>
        <v>Medium</v>
      </c>
    </row>
    <row r="255" spans="1:22" x14ac:dyDescent="0.3">
      <c r="A255">
        <v>254</v>
      </c>
      <c r="B255">
        <v>41</v>
      </c>
      <c r="C255" t="s">
        <v>23</v>
      </c>
      <c r="D255" t="s">
        <v>24</v>
      </c>
      <c r="E255">
        <v>8.8000000000000007</v>
      </c>
      <c r="F255">
        <v>3.1</v>
      </c>
      <c r="G255">
        <v>1</v>
      </c>
      <c r="H255" t="str">
        <f t="shared" si="3"/>
        <v>Night Usage</v>
      </c>
      <c r="I255">
        <v>7.5</v>
      </c>
      <c r="J255" s="3">
        <v>7</v>
      </c>
      <c r="K255">
        <v>4.4000000000000004</v>
      </c>
      <c r="L255" t="s">
        <v>25</v>
      </c>
      <c r="M255">
        <v>3</v>
      </c>
      <c r="N255">
        <v>4</v>
      </c>
      <c r="O255">
        <v>1</v>
      </c>
      <c r="P255">
        <v>0</v>
      </c>
      <c r="Q255">
        <v>0</v>
      </c>
      <c r="R255">
        <v>1</v>
      </c>
      <c r="S255">
        <v>1</v>
      </c>
      <c r="T255" t="str">
        <f>IF(mental_health[Sleep_Hours]&lt;5,"Low",IF(mental_health[Sleep_Hours]&lt;7,"Medium","Good"))</f>
        <v>Good</v>
      </c>
      <c r="U255" t="str">
        <f>IF(mental_health[Stress_Level]&lt;=3,"Low",IF(mental_health[Stress_Level]&lt;=7,"Medium","High"))</f>
        <v>Medium</v>
      </c>
      <c r="V255" t="str">
        <f>IF(mental_health[Daily_Screen_Time]&lt;=4,"Low",IF(mental_health[Daily_Screen_Time]&lt;=8,"Medium","High"))</f>
        <v>High</v>
      </c>
    </row>
    <row r="256" spans="1:22" x14ac:dyDescent="0.3">
      <c r="A256">
        <v>255</v>
      </c>
      <c r="B256">
        <v>17</v>
      </c>
      <c r="C256" t="s">
        <v>23</v>
      </c>
      <c r="D256" t="s">
        <v>19</v>
      </c>
      <c r="E256">
        <v>7.9</v>
      </c>
      <c r="F256">
        <v>2.2000000000000002</v>
      </c>
      <c r="G256">
        <v>1</v>
      </c>
      <c r="H256" t="str">
        <f t="shared" si="3"/>
        <v>Night Usage</v>
      </c>
      <c r="I256">
        <v>5.5</v>
      </c>
      <c r="J256" s="3">
        <v>2</v>
      </c>
      <c r="K256">
        <v>10.6</v>
      </c>
      <c r="L256" t="s">
        <v>20</v>
      </c>
      <c r="M256">
        <v>10</v>
      </c>
      <c r="N256">
        <v>3</v>
      </c>
      <c r="O256">
        <v>0</v>
      </c>
      <c r="P256">
        <v>0</v>
      </c>
      <c r="Q256">
        <v>1</v>
      </c>
      <c r="R256">
        <v>0</v>
      </c>
      <c r="S256">
        <v>1</v>
      </c>
      <c r="T256" t="str">
        <f>IF(mental_health[Sleep_Hours]&lt;5,"Low",IF(mental_health[Sleep_Hours]&lt;7,"Medium","Good"))</f>
        <v>Medium</v>
      </c>
      <c r="U256" t="str">
        <f>IF(mental_health[Stress_Level]&lt;=3,"Low",IF(mental_health[Stress_Level]&lt;=7,"Medium","High"))</f>
        <v>Low</v>
      </c>
      <c r="V256" t="str">
        <f>IF(mental_health[Daily_Screen_Time]&lt;=4,"Low",IF(mental_health[Daily_Screen_Time]&lt;=8,"Medium","High"))</f>
        <v>Medium</v>
      </c>
    </row>
    <row r="257" spans="1:22" x14ac:dyDescent="0.3">
      <c r="A257">
        <v>256</v>
      </c>
      <c r="B257">
        <v>16</v>
      </c>
      <c r="C257" t="s">
        <v>23</v>
      </c>
      <c r="D257" t="s">
        <v>24</v>
      </c>
      <c r="E257">
        <v>8</v>
      </c>
      <c r="F257">
        <v>4.2</v>
      </c>
      <c r="G257">
        <v>0</v>
      </c>
      <c r="H257" t="str">
        <f t="shared" si="3"/>
        <v>No Night Usage</v>
      </c>
      <c r="I257">
        <v>6.1</v>
      </c>
      <c r="J257" s="3">
        <v>7</v>
      </c>
      <c r="K257">
        <v>7.8</v>
      </c>
      <c r="L257" t="s">
        <v>25</v>
      </c>
      <c r="M257">
        <v>6</v>
      </c>
      <c r="N257">
        <v>4</v>
      </c>
      <c r="O257">
        <v>0</v>
      </c>
      <c r="P257">
        <v>1</v>
      </c>
      <c r="Q257">
        <v>1</v>
      </c>
      <c r="R257">
        <v>1</v>
      </c>
      <c r="S257">
        <v>0</v>
      </c>
      <c r="T257" t="str">
        <f>IF(mental_health[Sleep_Hours]&lt;5,"Low",IF(mental_health[Sleep_Hours]&lt;7,"Medium","Good"))</f>
        <v>Medium</v>
      </c>
      <c r="U257" t="str">
        <f>IF(mental_health[Stress_Level]&lt;=3,"Low",IF(mental_health[Stress_Level]&lt;=7,"Medium","High"))</f>
        <v>Medium</v>
      </c>
      <c r="V257" t="str">
        <f>IF(mental_health[Daily_Screen_Time]&lt;=4,"Low",IF(mental_health[Daily_Screen_Time]&lt;=8,"Medium","High"))</f>
        <v>Medium</v>
      </c>
    </row>
    <row r="258" spans="1:22" x14ac:dyDescent="0.3">
      <c r="A258">
        <v>257</v>
      </c>
      <c r="B258">
        <v>27</v>
      </c>
      <c r="C258" t="s">
        <v>18</v>
      </c>
      <c r="D258" t="s">
        <v>24</v>
      </c>
      <c r="E258">
        <v>8.8000000000000007</v>
      </c>
      <c r="F258">
        <v>3.1</v>
      </c>
      <c r="G258">
        <v>1</v>
      </c>
      <c r="H258" t="str">
        <f t="shared" ref="H258:H321" si="4">IF(G258=1,"Night Usage","No Night Usage")</f>
        <v>Night Usage</v>
      </c>
      <c r="I258">
        <v>5.2</v>
      </c>
      <c r="J258" s="3">
        <v>4</v>
      </c>
      <c r="K258">
        <v>2.7</v>
      </c>
      <c r="L258" t="s">
        <v>25</v>
      </c>
      <c r="M258">
        <v>2</v>
      </c>
      <c r="N258">
        <v>2</v>
      </c>
      <c r="O258">
        <v>1</v>
      </c>
      <c r="P258">
        <v>1</v>
      </c>
      <c r="Q258">
        <v>0</v>
      </c>
      <c r="R258">
        <v>0</v>
      </c>
      <c r="S258">
        <v>0</v>
      </c>
      <c r="T258" t="str">
        <f>IF(mental_health[Sleep_Hours]&lt;5,"Low",IF(mental_health[Sleep_Hours]&lt;7,"Medium","Good"))</f>
        <v>Medium</v>
      </c>
      <c r="U258" t="str">
        <f>IF(mental_health[Stress_Level]&lt;=3,"Low",IF(mental_health[Stress_Level]&lt;=7,"Medium","High"))</f>
        <v>Medium</v>
      </c>
      <c r="V258" t="str">
        <f>IF(mental_health[Daily_Screen_Time]&lt;=4,"Low",IF(mental_health[Daily_Screen_Time]&lt;=8,"Medium","High"))</f>
        <v>High</v>
      </c>
    </row>
    <row r="259" spans="1:22" x14ac:dyDescent="0.3">
      <c r="A259">
        <v>258</v>
      </c>
      <c r="B259">
        <v>20</v>
      </c>
      <c r="C259" t="s">
        <v>23</v>
      </c>
      <c r="D259" t="s">
        <v>22</v>
      </c>
      <c r="E259">
        <v>7.8</v>
      </c>
      <c r="F259">
        <v>1.2</v>
      </c>
      <c r="G259">
        <v>1</v>
      </c>
      <c r="H259" t="str">
        <f t="shared" si="4"/>
        <v>Night Usage</v>
      </c>
      <c r="I259">
        <v>7.4</v>
      </c>
      <c r="J259" s="3">
        <v>4</v>
      </c>
      <c r="K259">
        <v>2.5</v>
      </c>
      <c r="L259" t="s">
        <v>25</v>
      </c>
      <c r="M259">
        <v>6</v>
      </c>
      <c r="N259">
        <v>4</v>
      </c>
      <c r="O259">
        <v>1</v>
      </c>
      <c r="P259">
        <v>1</v>
      </c>
      <c r="Q259">
        <v>1</v>
      </c>
      <c r="R259">
        <v>1</v>
      </c>
      <c r="S259">
        <v>0</v>
      </c>
      <c r="T259" t="str">
        <f>IF(mental_health[Sleep_Hours]&lt;5,"Low",IF(mental_health[Sleep_Hours]&lt;7,"Medium","Good"))</f>
        <v>Good</v>
      </c>
      <c r="U259" t="str">
        <f>IF(mental_health[Stress_Level]&lt;=3,"Low",IF(mental_health[Stress_Level]&lt;=7,"Medium","High"))</f>
        <v>Medium</v>
      </c>
      <c r="V259" t="str">
        <f>IF(mental_health[Daily_Screen_Time]&lt;=4,"Low",IF(mental_health[Daily_Screen_Time]&lt;=8,"Medium","High"))</f>
        <v>Medium</v>
      </c>
    </row>
    <row r="260" spans="1:22" x14ac:dyDescent="0.3">
      <c r="A260">
        <v>259</v>
      </c>
      <c r="B260">
        <v>52</v>
      </c>
      <c r="C260" t="s">
        <v>18</v>
      </c>
      <c r="D260" t="s">
        <v>22</v>
      </c>
      <c r="E260">
        <v>6.3</v>
      </c>
      <c r="F260">
        <v>3.3</v>
      </c>
      <c r="G260">
        <v>1</v>
      </c>
      <c r="H260" t="str">
        <f t="shared" si="4"/>
        <v>Night Usage</v>
      </c>
      <c r="I260">
        <v>7.7</v>
      </c>
      <c r="J260" s="3">
        <v>1</v>
      </c>
      <c r="K260">
        <v>2.6</v>
      </c>
      <c r="L260" t="s">
        <v>21</v>
      </c>
      <c r="M260">
        <v>6</v>
      </c>
      <c r="N260">
        <v>1</v>
      </c>
      <c r="O260">
        <v>0</v>
      </c>
      <c r="P260">
        <v>1</v>
      </c>
      <c r="Q260">
        <v>1</v>
      </c>
      <c r="R260">
        <v>0</v>
      </c>
      <c r="S260">
        <v>0</v>
      </c>
      <c r="T260" t="str">
        <f>IF(mental_health[Sleep_Hours]&lt;5,"Low",IF(mental_health[Sleep_Hours]&lt;7,"Medium","Good"))</f>
        <v>Good</v>
      </c>
      <c r="U260" t="str">
        <f>IF(mental_health[Stress_Level]&lt;=3,"Low",IF(mental_health[Stress_Level]&lt;=7,"Medium","High"))</f>
        <v>Low</v>
      </c>
      <c r="V260" t="str">
        <f>IF(mental_health[Daily_Screen_Time]&lt;=4,"Low",IF(mental_health[Daily_Screen_Time]&lt;=8,"Medium","High"))</f>
        <v>Medium</v>
      </c>
    </row>
    <row r="261" spans="1:22" x14ac:dyDescent="0.3">
      <c r="A261">
        <v>260</v>
      </c>
      <c r="B261">
        <v>47</v>
      </c>
      <c r="C261" t="s">
        <v>23</v>
      </c>
      <c r="D261" t="s">
        <v>24</v>
      </c>
      <c r="E261">
        <v>4.8</v>
      </c>
      <c r="F261">
        <v>4.8</v>
      </c>
      <c r="G261">
        <v>1</v>
      </c>
      <c r="H261" t="str">
        <f t="shared" si="4"/>
        <v>Night Usage</v>
      </c>
      <c r="I261">
        <v>7.6</v>
      </c>
      <c r="J261" s="3">
        <v>3</v>
      </c>
      <c r="K261">
        <v>11.4</v>
      </c>
      <c r="L261" t="s">
        <v>21</v>
      </c>
      <c r="M261">
        <v>2</v>
      </c>
      <c r="N261">
        <v>3</v>
      </c>
      <c r="O261">
        <v>1</v>
      </c>
      <c r="P261">
        <v>0</v>
      </c>
      <c r="Q261">
        <v>0</v>
      </c>
      <c r="R261">
        <v>1</v>
      </c>
      <c r="S261">
        <v>1</v>
      </c>
      <c r="T261" t="str">
        <f>IF(mental_health[Sleep_Hours]&lt;5,"Low",IF(mental_health[Sleep_Hours]&lt;7,"Medium","Good"))</f>
        <v>Good</v>
      </c>
      <c r="U261" t="str">
        <f>IF(mental_health[Stress_Level]&lt;=3,"Low",IF(mental_health[Stress_Level]&lt;=7,"Medium","High"))</f>
        <v>Low</v>
      </c>
      <c r="V261" t="str">
        <f>IF(mental_health[Daily_Screen_Time]&lt;=4,"Low",IF(mental_health[Daily_Screen_Time]&lt;=8,"Medium","High"))</f>
        <v>Medium</v>
      </c>
    </row>
    <row r="262" spans="1:22" x14ac:dyDescent="0.3">
      <c r="A262">
        <v>261</v>
      </c>
      <c r="B262">
        <v>24</v>
      </c>
      <c r="C262" t="s">
        <v>18</v>
      </c>
      <c r="D262" t="s">
        <v>19</v>
      </c>
      <c r="E262">
        <v>9.6999999999999993</v>
      </c>
      <c r="F262">
        <v>4.9000000000000004</v>
      </c>
      <c r="G262">
        <v>0</v>
      </c>
      <c r="H262" t="str">
        <f t="shared" si="4"/>
        <v>No Night Usage</v>
      </c>
      <c r="I262">
        <v>7.3</v>
      </c>
      <c r="J262" s="3">
        <v>5</v>
      </c>
      <c r="K262">
        <v>10.5</v>
      </c>
      <c r="L262" t="s">
        <v>20</v>
      </c>
      <c r="M262">
        <v>6</v>
      </c>
      <c r="N262">
        <v>0</v>
      </c>
      <c r="O262">
        <v>0</v>
      </c>
      <c r="P262">
        <v>1</v>
      </c>
      <c r="Q262">
        <v>1</v>
      </c>
      <c r="R262">
        <v>0</v>
      </c>
      <c r="S262">
        <v>1</v>
      </c>
      <c r="T262" t="str">
        <f>IF(mental_health[Sleep_Hours]&lt;5,"Low",IF(mental_health[Sleep_Hours]&lt;7,"Medium","Good"))</f>
        <v>Good</v>
      </c>
      <c r="U262" t="str">
        <f>IF(mental_health[Stress_Level]&lt;=3,"Low",IF(mental_health[Stress_Level]&lt;=7,"Medium","High"))</f>
        <v>Medium</v>
      </c>
      <c r="V262" t="str">
        <f>IF(mental_health[Daily_Screen_Time]&lt;=4,"Low",IF(mental_health[Daily_Screen_Time]&lt;=8,"Medium","High"))</f>
        <v>High</v>
      </c>
    </row>
    <row r="263" spans="1:22" x14ac:dyDescent="0.3">
      <c r="A263">
        <v>262</v>
      </c>
      <c r="B263">
        <v>56</v>
      </c>
      <c r="C263" t="s">
        <v>23</v>
      </c>
      <c r="D263" t="s">
        <v>24</v>
      </c>
      <c r="E263">
        <v>4.3</v>
      </c>
      <c r="F263">
        <v>3.5</v>
      </c>
      <c r="G263">
        <v>0</v>
      </c>
      <c r="H263" t="str">
        <f t="shared" si="4"/>
        <v>No Night Usage</v>
      </c>
      <c r="I263">
        <v>4.2</v>
      </c>
      <c r="J263" s="3">
        <v>5</v>
      </c>
      <c r="K263">
        <v>10.4</v>
      </c>
      <c r="L263" t="s">
        <v>20</v>
      </c>
      <c r="M263">
        <v>6</v>
      </c>
      <c r="N263">
        <v>4</v>
      </c>
      <c r="O263">
        <v>1</v>
      </c>
      <c r="P263">
        <v>1</v>
      </c>
      <c r="Q263">
        <v>0</v>
      </c>
      <c r="R263">
        <v>0</v>
      </c>
      <c r="S263">
        <v>1</v>
      </c>
      <c r="T263" t="str">
        <f>IF(mental_health[Sleep_Hours]&lt;5,"Low",IF(mental_health[Sleep_Hours]&lt;7,"Medium","Good"))</f>
        <v>Low</v>
      </c>
      <c r="U263" t="str">
        <f>IF(mental_health[Stress_Level]&lt;=3,"Low",IF(mental_health[Stress_Level]&lt;=7,"Medium","High"))</f>
        <v>Medium</v>
      </c>
      <c r="V263" t="str">
        <f>IF(mental_health[Daily_Screen_Time]&lt;=4,"Low",IF(mental_health[Daily_Screen_Time]&lt;=8,"Medium","High"))</f>
        <v>Medium</v>
      </c>
    </row>
    <row r="264" spans="1:22" x14ac:dyDescent="0.3">
      <c r="A264">
        <v>263</v>
      </c>
      <c r="B264">
        <v>50</v>
      </c>
      <c r="C264" t="s">
        <v>23</v>
      </c>
      <c r="D264" t="s">
        <v>19</v>
      </c>
      <c r="E264">
        <v>8.9</v>
      </c>
      <c r="F264">
        <v>4.0999999999999996</v>
      </c>
      <c r="G264">
        <v>0</v>
      </c>
      <c r="H264" t="str">
        <f t="shared" si="4"/>
        <v>No Night Usage</v>
      </c>
      <c r="I264">
        <v>5</v>
      </c>
      <c r="J264" s="3">
        <v>2</v>
      </c>
      <c r="K264">
        <v>11.2</v>
      </c>
      <c r="L264" t="s">
        <v>25</v>
      </c>
      <c r="M264">
        <v>6</v>
      </c>
      <c r="N264">
        <v>4</v>
      </c>
      <c r="O264">
        <v>0</v>
      </c>
      <c r="P264">
        <v>1</v>
      </c>
      <c r="Q264">
        <v>0</v>
      </c>
      <c r="R264">
        <v>1</v>
      </c>
      <c r="S264">
        <v>0</v>
      </c>
      <c r="T264" t="str">
        <f>IF(mental_health[Sleep_Hours]&lt;5,"Low",IF(mental_health[Sleep_Hours]&lt;7,"Medium","Good"))</f>
        <v>Medium</v>
      </c>
      <c r="U264" t="str">
        <f>IF(mental_health[Stress_Level]&lt;=3,"Low",IF(mental_health[Stress_Level]&lt;=7,"Medium","High"))</f>
        <v>Low</v>
      </c>
      <c r="V264" t="str">
        <f>IF(mental_health[Daily_Screen_Time]&lt;=4,"Low",IF(mental_health[Daily_Screen_Time]&lt;=8,"Medium","High"))</f>
        <v>High</v>
      </c>
    </row>
    <row r="265" spans="1:22" x14ac:dyDescent="0.3">
      <c r="A265">
        <v>264</v>
      </c>
      <c r="B265">
        <v>34</v>
      </c>
      <c r="C265" t="s">
        <v>23</v>
      </c>
      <c r="D265" t="s">
        <v>19</v>
      </c>
      <c r="E265">
        <v>4.3</v>
      </c>
      <c r="F265">
        <v>7.8</v>
      </c>
      <c r="G265">
        <v>1</v>
      </c>
      <c r="H265" t="str">
        <f t="shared" si="4"/>
        <v>Night Usage</v>
      </c>
      <c r="I265">
        <v>5.8</v>
      </c>
      <c r="J265" s="3">
        <v>4</v>
      </c>
      <c r="K265">
        <v>7.1</v>
      </c>
      <c r="L265" t="s">
        <v>20</v>
      </c>
      <c r="M265">
        <v>5</v>
      </c>
      <c r="N265">
        <v>0</v>
      </c>
      <c r="O265">
        <v>0</v>
      </c>
      <c r="P265">
        <v>1</v>
      </c>
      <c r="Q265">
        <v>1</v>
      </c>
      <c r="R265">
        <v>1</v>
      </c>
      <c r="S265">
        <v>0</v>
      </c>
      <c r="T265" t="str">
        <f>IF(mental_health[Sleep_Hours]&lt;5,"Low",IF(mental_health[Sleep_Hours]&lt;7,"Medium","Good"))</f>
        <v>Medium</v>
      </c>
      <c r="U265" t="str">
        <f>IF(mental_health[Stress_Level]&lt;=3,"Low",IF(mental_health[Stress_Level]&lt;=7,"Medium","High"))</f>
        <v>Medium</v>
      </c>
      <c r="V265" t="str">
        <f>IF(mental_health[Daily_Screen_Time]&lt;=4,"Low",IF(mental_health[Daily_Screen_Time]&lt;=8,"Medium","High"))</f>
        <v>Medium</v>
      </c>
    </row>
    <row r="266" spans="1:22" x14ac:dyDescent="0.3">
      <c r="A266">
        <v>265</v>
      </c>
      <c r="B266">
        <v>31</v>
      </c>
      <c r="C266" t="s">
        <v>23</v>
      </c>
      <c r="D266" t="s">
        <v>22</v>
      </c>
      <c r="E266">
        <v>8.3000000000000007</v>
      </c>
      <c r="F266">
        <v>3.6</v>
      </c>
      <c r="G266">
        <v>1</v>
      </c>
      <c r="H266" t="str">
        <f t="shared" si="4"/>
        <v>Night Usage</v>
      </c>
      <c r="I266">
        <v>5</v>
      </c>
      <c r="J266" s="3">
        <v>1</v>
      </c>
      <c r="K266">
        <v>4.5</v>
      </c>
      <c r="L266" t="s">
        <v>25</v>
      </c>
      <c r="M266">
        <v>7</v>
      </c>
      <c r="N266">
        <v>0</v>
      </c>
      <c r="O266">
        <v>1</v>
      </c>
      <c r="P266">
        <v>1</v>
      </c>
      <c r="Q266">
        <v>1</v>
      </c>
      <c r="R266">
        <v>0</v>
      </c>
      <c r="S266">
        <v>0</v>
      </c>
      <c r="T266" t="str">
        <f>IF(mental_health[Sleep_Hours]&lt;5,"Low",IF(mental_health[Sleep_Hours]&lt;7,"Medium","Good"))</f>
        <v>Medium</v>
      </c>
      <c r="U266" t="str">
        <f>IF(mental_health[Stress_Level]&lt;=3,"Low",IF(mental_health[Stress_Level]&lt;=7,"Medium","High"))</f>
        <v>Low</v>
      </c>
      <c r="V266" t="str">
        <f>IF(mental_health[Daily_Screen_Time]&lt;=4,"Low",IF(mental_health[Daily_Screen_Time]&lt;=8,"Medium","High"))</f>
        <v>High</v>
      </c>
    </row>
    <row r="267" spans="1:22" x14ac:dyDescent="0.3">
      <c r="A267">
        <v>266</v>
      </c>
      <c r="B267">
        <v>18</v>
      </c>
      <c r="C267" t="s">
        <v>18</v>
      </c>
      <c r="D267" t="s">
        <v>19</v>
      </c>
      <c r="E267">
        <v>9.5</v>
      </c>
      <c r="F267">
        <v>2.8</v>
      </c>
      <c r="G267">
        <v>0</v>
      </c>
      <c r="H267" t="str">
        <f t="shared" si="4"/>
        <v>No Night Usage</v>
      </c>
      <c r="I267">
        <v>7.5</v>
      </c>
      <c r="J267" s="3">
        <v>9</v>
      </c>
      <c r="K267">
        <v>6</v>
      </c>
      <c r="L267" t="s">
        <v>20</v>
      </c>
      <c r="M267">
        <v>5</v>
      </c>
      <c r="N267">
        <v>2</v>
      </c>
      <c r="O267">
        <v>1</v>
      </c>
      <c r="P267">
        <v>1</v>
      </c>
      <c r="Q267">
        <v>1</v>
      </c>
      <c r="R267">
        <v>1</v>
      </c>
      <c r="S267">
        <v>0</v>
      </c>
      <c r="T267" t="str">
        <f>IF(mental_health[Sleep_Hours]&lt;5,"Low",IF(mental_health[Sleep_Hours]&lt;7,"Medium","Good"))</f>
        <v>Good</v>
      </c>
      <c r="U267" t="str">
        <f>IF(mental_health[Stress_Level]&lt;=3,"Low",IF(mental_health[Stress_Level]&lt;=7,"Medium","High"))</f>
        <v>High</v>
      </c>
      <c r="V267" t="str">
        <f>IF(mental_health[Daily_Screen_Time]&lt;=4,"Low",IF(mental_health[Daily_Screen_Time]&lt;=8,"Medium","High"))</f>
        <v>High</v>
      </c>
    </row>
    <row r="268" spans="1:22" x14ac:dyDescent="0.3">
      <c r="A268">
        <v>267</v>
      </c>
      <c r="B268">
        <v>35</v>
      </c>
      <c r="C268" t="s">
        <v>23</v>
      </c>
      <c r="D268" t="s">
        <v>19</v>
      </c>
      <c r="E268">
        <v>4.2</v>
      </c>
      <c r="F268">
        <v>2.7</v>
      </c>
      <c r="G268">
        <v>0</v>
      </c>
      <c r="H268" t="str">
        <f t="shared" si="4"/>
        <v>No Night Usage</v>
      </c>
      <c r="I268">
        <v>5</v>
      </c>
      <c r="J268" s="3">
        <v>1</v>
      </c>
      <c r="K268">
        <v>9.1999999999999993</v>
      </c>
      <c r="L268" t="s">
        <v>25</v>
      </c>
      <c r="M268">
        <v>1</v>
      </c>
      <c r="N268">
        <v>4</v>
      </c>
      <c r="O268">
        <v>0</v>
      </c>
      <c r="P268">
        <v>0</v>
      </c>
      <c r="Q268">
        <v>0</v>
      </c>
      <c r="R268">
        <v>0</v>
      </c>
      <c r="S268">
        <v>0</v>
      </c>
      <c r="T268" t="str">
        <f>IF(mental_health[Sleep_Hours]&lt;5,"Low",IF(mental_health[Sleep_Hours]&lt;7,"Medium","Good"))</f>
        <v>Medium</v>
      </c>
      <c r="U268" t="str">
        <f>IF(mental_health[Stress_Level]&lt;=3,"Low",IF(mental_health[Stress_Level]&lt;=7,"Medium","High"))</f>
        <v>Low</v>
      </c>
      <c r="V268" t="str">
        <f>IF(mental_health[Daily_Screen_Time]&lt;=4,"Low",IF(mental_health[Daily_Screen_Time]&lt;=8,"Medium","High"))</f>
        <v>Medium</v>
      </c>
    </row>
    <row r="269" spans="1:22" x14ac:dyDescent="0.3">
      <c r="A269">
        <v>268</v>
      </c>
      <c r="B269">
        <v>39</v>
      </c>
      <c r="C269" t="s">
        <v>23</v>
      </c>
      <c r="D269" t="s">
        <v>24</v>
      </c>
      <c r="E269">
        <v>2.6</v>
      </c>
      <c r="F269">
        <v>4.2</v>
      </c>
      <c r="G269">
        <v>1</v>
      </c>
      <c r="H269" t="str">
        <f t="shared" si="4"/>
        <v>Night Usage</v>
      </c>
      <c r="I269">
        <v>3.8</v>
      </c>
      <c r="J269" s="3">
        <v>6</v>
      </c>
      <c r="K269">
        <v>10.8</v>
      </c>
      <c r="L269" t="s">
        <v>21</v>
      </c>
      <c r="M269">
        <v>9</v>
      </c>
      <c r="N269">
        <v>4</v>
      </c>
      <c r="O269">
        <v>0</v>
      </c>
      <c r="P269">
        <v>0</v>
      </c>
      <c r="Q269">
        <v>0</v>
      </c>
      <c r="R269">
        <v>0</v>
      </c>
      <c r="S269">
        <v>1</v>
      </c>
      <c r="T269" t="str">
        <f>IF(mental_health[Sleep_Hours]&lt;5,"Low",IF(mental_health[Sleep_Hours]&lt;7,"Medium","Good"))</f>
        <v>Low</v>
      </c>
      <c r="U269" t="str">
        <f>IF(mental_health[Stress_Level]&lt;=3,"Low",IF(mental_health[Stress_Level]&lt;=7,"Medium","High"))</f>
        <v>Medium</v>
      </c>
      <c r="V269" t="str">
        <f>IF(mental_health[Daily_Screen_Time]&lt;=4,"Low",IF(mental_health[Daily_Screen_Time]&lt;=8,"Medium","High"))</f>
        <v>Low</v>
      </c>
    </row>
    <row r="270" spans="1:22" x14ac:dyDescent="0.3">
      <c r="A270">
        <v>269</v>
      </c>
      <c r="B270">
        <v>48</v>
      </c>
      <c r="C270" t="s">
        <v>18</v>
      </c>
      <c r="D270" t="s">
        <v>22</v>
      </c>
      <c r="E270">
        <v>3.3</v>
      </c>
      <c r="F270">
        <v>6.3</v>
      </c>
      <c r="G270">
        <v>0</v>
      </c>
      <c r="H270" t="str">
        <f t="shared" si="4"/>
        <v>No Night Usage</v>
      </c>
      <c r="I270">
        <v>5.4</v>
      </c>
      <c r="J270" s="3">
        <v>7</v>
      </c>
      <c r="K270">
        <v>6.4</v>
      </c>
      <c r="L270" t="s">
        <v>25</v>
      </c>
      <c r="M270">
        <v>3</v>
      </c>
      <c r="N270">
        <v>1</v>
      </c>
      <c r="O270">
        <v>0</v>
      </c>
      <c r="P270">
        <v>1</v>
      </c>
      <c r="Q270">
        <v>1</v>
      </c>
      <c r="R270">
        <v>0</v>
      </c>
      <c r="S270">
        <v>1</v>
      </c>
      <c r="T270" t="str">
        <f>IF(mental_health[Sleep_Hours]&lt;5,"Low",IF(mental_health[Sleep_Hours]&lt;7,"Medium","Good"))</f>
        <v>Medium</v>
      </c>
      <c r="U270" t="str">
        <f>IF(mental_health[Stress_Level]&lt;=3,"Low",IF(mental_health[Stress_Level]&lt;=7,"Medium","High"))</f>
        <v>Medium</v>
      </c>
      <c r="V270" t="str">
        <f>IF(mental_health[Daily_Screen_Time]&lt;=4,"Low",IF(mental_health[Daily_Screen_Time]&lt;=8,"Medium","High"))</f>
        <v>Low</v>
      </c>
    </row>
    <row r="271" spans="1:22" x14ac:dyDescent="0.3">
      <c r="A271">
        <v>270</v>
      </c>
      <c r="B271">
        <v>39</v>
      </c>
      <c r="C271" t="s">
        <v>23</v>
      </c>
      <c r="D271" t="s">
        <v>19</v>
      </c>
      <c r="E271">
        <v>8.1</v>
      </c>
      <c r="F271">
        <v>2.4</v>
      </c>
      <c r="G271">
        <v>0</v>
      </c>
      <c r="H271" t="str">
        <f t="shared" si="4"/>
        <v>No Night Usage</v>
      </c>
      <c r="I271">
        <v>8.9</v>
      </c>
      <c r="J271" s="3">
        <v>3</v>
      </c>
      <c r="K271">
        <v>7.4</v>
      </c>
      <c r="L271" t="s">
        <v>21</v>
      </c>
      <c r="M271">
        <v>2</v>
      </c>
      <c r="N271">
        <v>1</v>
      </c>
      <c r="O271">
        <v>0</v>
      </c>
      <c r="P271">
        <v>1</v>
      </c>
      <c r="Q271">
        <v>0</v>
      </c>
      <c r="R271">
        <v>0</v>
      </c>
      <c r="S271">
        <v>1</v>
      </c>
      <c r="T271" t="str">
        <f>IF(mental_health[Sleep_Hours]&lt;5,"Low",IF(mental_health[Sleep_Hours]&lt;7,"Medium","Good"))</f>
        <v>Good</v>
      </c>
      <c r="U271" t="str">
        <f>IF(mental_health[Stress_Level]&lt;=3,"Low",IF(mental_health[Stress_Level]&lt;=7,"Medium","High"))</f>
        <v>Low</v>
      </c>
      <c r="V271" t="str">
        <f>IF(mental_health[Daily_Screen_Time]&lt;=4,"Low",IF(mental_health[Daily_Screen_Time]&lt;=8,"Medium","High"))</f>
        <v>High</v>
      </c>
    </row>
    <row r="272" spans="1:22" x14ac:dyDescent="0.3">
      <c r="A272">
        <v>271</v>
      </c>
      <c r="B272">
        <v>26</v>
      </c>
      <c r="C272" t="s">
        <v>18</v>
      </c>
      <c r="D272" t="s">
        <v>19</v>
      </c>
      <c r="E272">
        <v>10.5</v>
      </c>
      <c r="F272">
        <v>6</v>
      </c>
      <c r="G272">
        <v>1</v>
      </c>
      <c r="H272" t="str">
        <f t="shared" si="4"/>
        <v>Night Usage</v>
      </c>
      <c r="I272">
        <v>4.4000000000000004</v>
      </c>
      <c r="J272" s="3">
        <v>1</v>
      </c>
      <c r="K272">
        <v>11.3</v>
      </c>
      <c r="L272" t="s">
        <v>21</v>
      </c>
      <c r="M272">
        <v>10</v>
      </c>
      <c r="N272">
        <v>4</v>
      </c>
      <c r="O272">
        <v>1</v>
      </c>
      <c r="P272">
        <v>1</v>
      </c>
      <c r="Q272">
        <v>0</v>
      </c>
      <c r="R272">
        <v>1</v>
      </c>
      <c r="S272">
        <v>1</v>
      </c>
      <c r="T272" t="str">
        <f>IF(mental_health[Sleep_Hours]&lt;5,"Low",IF(mental_health[Sleep_Hours]&lt;7,"Medium","Good"))</f>
        <v>Low</v>
      </c>
      <c r="U272" t="str">
        <f>IF(mental_health[Stress_Level]&lt;=3,"Low",IF(mental_health[Stress_Level]&lt;=7,"Medium","High"))</f>
        <v>Low</v>
      </c>
      <c r="V272" t="str">
        <f>IF(mental_health[Daily_Screen_Time]&lt;=4,"Low",IF(mental_health[Daily_Screen_Time]&lt;=8,"Medium","High"))</f>
        <v>High</v>
      </c>
    </row>
    <row r="273" spans="1:22" x14ac:dyDescent="0.3">
      <c r="A273">
        <v>272</v>
      </c>
      <c r="B273">
        <v>23</v>
      </c>
      <c r="C273" t="s">
        <v>23</v>
      </c>
      <c r="D273" t="s">
        <v>22</v>
      </c>
      <c r="E273">
        <v>2.4</v>
      </c>
      <c r="F273">
        <v>1.1000000000000001</v>
      </c>
      <c r="G273">
        <v>1</v>
      </c>
      <c r="H273" t="str">
        <f t="shared" si="4"/>
        <v>Night Usage</v>
      </c>
      <c r="I273">
        <v>6.7</v>
      </c>
      <c r="J273" s="3">
        <v>7</v>
      </c>
      <c r="K273">
        <v>3.1</v>
      </c>
      <c r="L273" t="s">
        <v>20</v>
      </c>
      <c r="M273">
        <v>6</v>
      </c>
      <c r="N273">
        <v>1</v>
      </c>
      <c r="O273">
        <v>1</v>
      </c>
      <c r="P273">
        <v>1</v>
      </c>
      <c r="Q273">
        <v>0</v>
      </c>
      <c r="R273">
        <v>0</v>
      </c>
      <c r="S273">
        <v>1</v>
      </c>
      <c r="T273" t="str">
        <f>IF(mental_health[Sleep_Hours]&lt;5,"Low",IF(mental_health[Sleep_Hours]&lt;7,"Medium","Good"))</f>
        <v>Medium</v>
      </c>
      <c r="U273" t="str">
        <f>IF(mental_health[Stress_Level]&lt;=3,"Low",IF(mental_health[Stress_Level]&lt;=7,"Medium","High"))</f>
        <v>Medium</v>
      </c>
      <c r="V273" t="str">
        <f>IF(mental_health[Daily_Screen_Time]&lt;=4,"Low",IF(mental_health[Daily_Screen_Time]&lt;=8,"Medium","High"))</f>
        <v>Low</v>
      </c>
    </row>
    <row r="274" spans="1:22" x14ac:dyDescent="0.3">
      <c r="A274">
        <v>273</v>
      </c>
      <c r="B274">
        <v>51</v>
      </c>
      <c r="C274" t="s">
        <v>23</v>
      </c>
      <c r="D274" t="s">
        <v>24</v>
      </c>
      <c r="E274">
        <v>9.3000000000000007</v>
      </c>
      <c r="F274">
        <v>3.9</v>
      </c>
      <c r="G274">
        <v>0</v>
      </c>
      <c r="H274" t="str">
        <f t="shared" si="4"/>
        <v>No Night Usage</v>
      </c>
      <c r="I274">
        <v>5.6</v>
      </c>
      <c r="J274" s="3">
        <v>3</v>
      </c>
      <c r="K274">
        <v>10.6</v>
      </c>
      <c r="L274" t="s">
        <v>20</v>
      </c>
      <c r="M274">
        <v>8</v>
      </c>
      <c r="N274">
        <v>4</v>
      </c>
      <c r="O274">
        <v>1</v>
      </c>
      <c r="P274">
        <v>1</v>
      </c>
      <c r="Q274">
        <v>0</v>
      </c>
      <c r="R274">
        <v>1</v>
      </c>
      <c r="S274">
        <v>0</v>
      </c>
      <c r="T274" t="str">
        <f>IF(mental_health[Sleep_Hours]&lt;5,"Low",IF(mental_health[Sleep_Hours]&lt;7,"Medium","Good"))</f>
        <v>Medium</v>
      </c>
      <c r="U274" t="str">
        <f>IF(mental_health[Stress_Level]&lt;=3,"Low",IF(mental_health[Stress_Level]&lt;=7,"Medium","High"))</f>
        <v>Low</v>
      </c>
      <c r="V274" t="str">
        <f>IF(mental_health[Daily_Screen_Time]&lt;=4,"Low",IF(mental_health[Daily_Screen_Time]&lt;=8,"Medium","High"))</f>
        <v>High</v>
      </c>
    </row>
    <row r="275" spans="1:22" x14ac:dyDescent="0.3">
      <c r="A275">
        <v>274</v>
      </c>
      <c r="B275">
        <v>53</v>
      </c>
      <c r="C275" t="s">
        <v>23</v>
      </c>
      <c r="D275" t="s">
        <v>22</v>
      </c>
      <c r="E275">
        <v>5.4</v>
      </c>
      <c r="F275">
        <v>6.4</v>
      </c>
      <c r="G275">
        <v>1</v>
      </c>
      <c r="H275" t="str">
        <f t="shared" si="4"/>
        <v>Night Usage</v>
      </c>
      <c r="I275">
        <v>3.4</v>
      </c>
      <c r="J275" s="3">
        <v>10</v>
      </c>
      <c r="K275">
        <v>3.6</v>
      </c>
      <c r="L275" t="s">
        <v>21</v>
      </c>
      <c r="M275">
        <v>2</v>
      </c>
      <c r="N275">
        <v>3</v>
      </c>
      <c r="O275">
        <v>0</v>
      </c>
      <c r="P275">
        <v>0</v>
      </c>
      <c r="Q275">
        <v>1</v>
      </c>
      <c r="R275">
        <v>1</v>
      </c>
      <c r="S275">
        <v>1</v>
      </c>
      <c r="T275" t="str">
        <f>IF(mental_health[Sleep_Hours]&lt;5,"Low",IF(mental_health[Sleep_Hours]&lt;7,"Medium","Good"))</f>
        <v>Low</v>
      </c>
      <c r="U275" t="str">
        <f>IF(mental_health[Stress_Level]&lt;=3,"Low",IF(mental_health[Stress_Level]&lt;=7,"Medium","High"))</f>
        <v>High</v>
      </c>
      <c r="V275" t="str">
        <f>IF(mental_health[Daily_Screen_Time]&lt;=4,"Low",IF(mental_health[Daily_Screen_Time]&lt;=8,"Medium","High"))</f>
        <v>Medium</v>
      </c>
    </row>
    <row r="276" spans="1:22" x14ac:dyDescent="0.3">
      <c r="A276">
        <v>275</v>
      </c>
      <c r="B276">
        <v>55</v>
      </c>
      <c r="C276" t="s">
        <v>18</v>
      </c>
      <c r="D276" t="s">
        <v>22</v>
      </c>
      <c r="E276">
        <v>6.8</v>
      </c>
      <c r="F276">
        <v>3.4</v>
      </c>
      <c r="G276">
        <v>0</v>
      </c>
      <c r="H276" t="str">
        <f t="shared" si="4"/>
        <v>No Night Usage</v>
      </c>
      <c r="I276">
        <v>5.9</v>
      </c>
      <c r="J276" s="3">
        <v>6</v>
      </c>
      <c r="K276">
        <v>6.8</v>
      </c>
      <c r="L276" t="s">
        <v>25</v>
      </c>
      <c r="M276">
        <v>4</v>
      </c>
      <c r="N276">
        <v>2</v>
      </c>
      <c r="O276">
        <v>1</v>
      </c>
      <c r="P276">
        <v>0</v>
      </c>
      <c r="Q276">
        <v>1</v>
      </c>
      <c r="R276">
        <v>0</v>
      </c>
      <c r="S276">
        <v>0</v>
      </c>
      <c r="T276" t="str">
        <f>IF(mental_health[Sleep_Hours]&lt;5,"Low",IF(mental_health[Sleep_Hours]&lt;7,"Medium","Good"))</f>
        <v>Medium</v>
      </c>
      <c r="U276" t="str">
        <f>IF(mental_health[Stress_Level]&lt;=3,"Low",IF(mental_health[Stress_Level]&lt;=7,"Medium","High"))</f>
        <v>Medium</v>
      </c>
      <c r="V276" t="str">
        <f>IF(mental_health[Daily_Screen_Time]&lt;=4,"Low",IF(mental_health[Daily_Screen_Time]&lt;=8,"Medium","High"))</f>
        <v>Medium</v>
      </c>
    </row>
    <row r="277" spans="1:22" x14ac:dyDescent="0.3">
      <c r="A277">
        <v>276</v>
      </c>
      <c r="B277">
        <v>35</v>
      </c>
      <c r="C277" t="s">
        <v>23</v>
      </c>
      <c r="D277" t="s">
        <v>19</v>
      </c>
      <c r="E277">
        <v>11.3</v>
      </c>
      <c r="F277">
        <v>4.9000000000000004</v>
      </c>
      <c r="G277">
        <v>1</v>
      </c>
      <c r="H277" t="str">
        <f t="shared" si="4"/>
        <v>Night Usage</v>
      </c>
      <c r="I277">
        <v>7.2</v>
      </c>
      <c r="J277" s="3">
        <v>6</v>
      </c>
      <c r="K277">
        <v>4.2</v>
      </c>
      <c r="L277" t="s">
        <v>25</v>
      </c>
      <c r="M277">
        <v>2</v>
      </c>
      <c r="N277">
        <v>1</v>
      </c>
      <c r="O277">
        <v>0</v>
      </c>
      <c r="P277">
        <v>1</v>
      </c>
      <c r="Q277">
        <v>0</v>
      </c>
      <c r="R277">
        <v>1</v>
      </c>
      <c r="S277">
        <v>1</v>
      </c>
      <c r="T277" t="str">
        <f>IF(mental_health[Sleep_Hours]&lt;5,"Low",IF(mental_health[Sleep_Hours]&lt;7,"Medium","Good"))</f>
        <v>Good</v>
      </c>
      <c r="U277" t="str">
        <f>IF(mental_health[Stress_Level]&lt;=3,"Low",IF(mental_health[Stress_Level]&lt;=7,"Medium","High"))</f>
        <v>Medium</v>
      </c>
      <c r="V277" t="str">
        <f>IF(mental_health[Daily_Screen_Time]&lt;=4,"Low",IF(mental_health[Daily_Screen_Time]&lt;=8,"Medium","High"))</f>
        <v>High</v>
      </c>
    </row>
    <row r="278" spans="1:22" x14ac:dyDescent="0.3">
      <c r="A278">
        <v>277</v>
      </c>
      <c r="B278">
        <v>50</v>
      </c>
      <c r="C278" t="s">
        <v>23</v>
      </c>
      <c r="D278" t="s">
        <v>19</v>
      </c>
      <c r="E278">
        <v>5.3</v>
      </c>
      <c r="F278">
        <v>2.4</v>
      </c>
      <c r="G278">
        <v>1</v>
      </c>
      <c r="H278" t="str">
        <f t="shared" si="4"/>
        <v>Night Usage</v>
      </c>
      <c r="I278">
        <v>6.1</v>
      </c>
      <c r="J278" s="3">
        <v>4</v>
      </c>
      <c r="K278">
        <v>8</v>
      </c>
      <c r="L278" t="s">
        <v>20</v>
      </c>
      <c r="M278">
        <v>9</v>
      </c>
      <c r="N278">
        <v>4</v>
      </c>
      <c r="O278">
        <v>0</v>
      </c>
      <c r="P278">
        <v>0</v>
      </c>
      <c r="Q278">
        <v>1</v>
      </c>
      <c r="R278">
        <v>0</v>
      </c>
      <c r="S278">
        <v>0</v>
      </c>
      <c r="T278" t="str">
        <f>IF(mental_health[Sleep_Hours]&lt;5,"Low",IF(mental_health[Sleep_Hours]&lt;7,"Medium","Good"))</f>
        <v>Medium</v>
      </c>
      <c r="U278" t="str">
        <f>IF(mental_health[Stress_Level]&lt;=3,"Low",IF(mental_health[Stress_Level]&lt;=7,"Medium","High"))</f>
        <v>Medium</v>
      </c>
      <c r="V278" t="str">
        <f>IF(mental_health[Daily_Screen_Time]&lt;=4,"Low",IF(mental_health[Daily_Screen_Time]&lt;=8,"Medium","High"))</f>
        <v>Medium</v>
      </c>
    </row>
    <row r="279" spans="1:22" x14ac:dyDescent="0.3">
      <c r="A279">
        <v>278</v>
      </c>
      <c r="B279">
        <v>40</v>
      </c>
      <c r="C279" t="s">
        <v>23</v>
      </c>
      <c r="D279" t="s">
        <v>24</v>
      </c>
      <c r="E279">
        <v>6.7</v>
      </c>
      <c r="F279">
        <v>6.2</v>
      </c>
      <c r="G279">
        <v>0</v>
      </c>
      <c r="H279" t="str">
        <f t="shared" si="4"/>
        <v>No Night Usage</v>
      </c>
      <c r="I279">
        <v>8.1999999999999993</v>
      </c>
      <c r="J279" s="3">
        <v>6</v>
      </c>
      <c r="K279">
        <v>7.6</v>
      </c>
      <c r="L279" t="s">
        <v>25</v>
      </c>
      <c r="M279">
        <v>10</v>
      </c>
      <c r="N279">
        <v>1</v>
      </c>
      <c r="O279">
        <v>1</v>
      </c>
      <c r="P279">
        <v>1</v>
      </c>
      <c r="Q279">
        <v>0</v>
      </c>
      <c r="R279">
        <v>0</v>
      </c>
      <c r="S279">
        <v>0</v>
      </c>
      <c r="T279" t="str">
        <f>IF(mental_health[Sleep_Hours]&lt;5,"Low",IF(mental_health[Sleep_Hours]&lt;7,"Medium","Good"))</f>
        <v>Good</v>
      </c>
      <c r="U279" t="str">
        <f>IF(mental_health[Stress_Level]&lt;=3,"Low",IF(mental_health[Stress_Level]&lt;=7,"Medium","High"))</f>
        <v>Medium</v>
      </c>
      <c r="V279" t="str">
        <f>IF(mental_health[Daily_Screen_Time]&lt;=4,"Low",IF(mental_health[Daily_Screen_Time]&lt;=8,"Medium","High"))</f>
        <v>Medium</v>
      </c>
    </row>
    <row r="280" spans="1:22" x14ac:dyDescent="0.3">
      <c r="A280">
        <v>279</v>
      </c>
      <c r="B280">
        <v>50</v>
      </c>
      <c r="C280" t="s">
        <v>18</v>
      </c>
      <c r="D280" t="s">
        <v>19</v>
      </c>
      <c r="E280">
        <v>2.1</v>
      </c>
      <c r="F280">
        <v>1.4</v>
      </c>
      <c r="G280">
        <v>1</v>
      </c>
      <c r="H280" t="str">
        <f t="shared" si="4"/>
        <v>Night Usage</v>
      </c>
      <c r="I280">
        <v>4.7</v>
      </c>
      <c r="J280" s="3">
        <v>10</v>
      </c>
      <c r="K280">
        <v>5.8</v>
      </c>
      <c r="L280" t="s">
        <v>25</v>
      </c>
      <c r="M280">
        <v>2</v>
      </c>
      <c r="N280">
        <v>2</v>
      </c>
      <c r="O280">
        <v>1</v>
      </c>
      <c r="P280">
        <v>1</v>
      </c>
      <c r="Q280">
        <v>1</v>
      </c>
      <c r="R280">
        <v>0</v>
      </c>
      <c r="S280">
        <v>0</v>
      </c>
      <c r="T280" t="str">
        <f>IF(mental_health[Sleep_Hours]&lt;5,"Low",IF(mental_health[Sleep_Hours]&lt;7,"Medium","Good"))</f>
        <v>Low</v>
      </c>
      <c r="U280" t="str">
        <f>IF(mental_health[Stress_Level]&lt;=3,"Low",IF(mental_health[Stress_Level]&lt;=7,"Medium","High"))</f>
        <v>High</v>
      </c>
      <c r="V280" t="str">
        <f>IF(mental_health[Daily_Screen_Time]&lt;=4,"Low",IF(mental_health[Daily_Screen_Time]&lt;=8,"Medium","High"))</f>
        <v>Low</v>
      </c>
    </row>
    <row r="281" spans="1:22" x14ac:dyDescent="0.3">
      <c r="A281">
        <v>280</v>
      </c>
      <c r="B281">
        <v>40</v>
      </c>
      <c r="C281" t="s">
        <v>18</v>
      </c>
      <c r="D281" t="s">
        <v>19</v>
      </c>
      <c r="E281">
        <v>2.8</v>
      </c>
      <c r="F281">
        <v>7</v>
      </c>
      <c r="G281">
        <v>0</v>
      </c>
      <c r="H281" t="str">
        <f t="shared" si="4"/>
        <v>No Night Usage</v>
      </c>
      <c r="I281">
        <v>3.5</v>
      </c>
      <c r="J281" s="3">
        <v>4</v>
      </c>
      <c r="K281">
        <v>10.6</v>
      </c>
      <c r="L281" t="s">
        <v>25</v>
      </c>
      <c r="M281">
        <v>10</v>
      </c>
      <c r="N281">
        <v>3</v>
      </c>
      <c r="O281">
        <v>0</v>
      </c>
      <c r="P281">
        <v>0</v>
      </c>
      <c r="Q281">
        <v>0</v>
      </c>
      <c r="R281">
        <v>0</v>
      </c>
      <c r="S281">
        <v>1</v>
      </c>
      <c r="T281" t="str">
        <f>IF(mental_health[Sleep_Hours]&lt;5,"Low",IF(mental_health[Sleep_Hours]&lt;7,"Medium","Good"))</f>
        <v>Low</v>
      </c>
      <c r="U281" t="str">
        <f>IF(mental_health[Stress_Level]&lt;=3,"Low",IF(mental_health[Stress_Level]&lt;=7,"Medium","High"))</f>
        <v>Medium</v>
      </c>
      <c r="V281" t="str">
        <f>IF(mental_health[Daily_Screen_Time]&lt;=4,"Low",IF(mental_health[Daily_Screen_Time]&lt;=8,"Medium","High"))</f>
        <v>Low</v>
      </c>
    </row>
    <row r="282" spans="1:22" x14ac:dyDescent="0.3">
      <c r="A282">
        <v>281</v>
      </c>
      <c r="B282">
        <v>44</v>
      </c>
      <c r="C282" t="s">
        <v>23</v>
      </c>
      <c r="D282" t="s">
        <v>22</v>
      </c>
      <c r="E282">
        <v>4.5999999999999996</v>
      </c>
      <c r="F282">
        <v>2.4</v>
      </c>
      <c r="G282">
        <v>1</v>
      </c>
      <c r="H282" t="str">
        <f t="shared" si="4"/>
        <v>Night Usage</v>
      </c>
      <c r="I282">
        <v>8.6</v>
      </c>
      <c r="J282" s="3">
        <v>8</v>
      </c>
      <c r="K282">
        <v>8.6</v>
      </c>
      <c r="L282" t="s">
        <v>21</v>
      </c>
      <c r="M282">
        <v>2</v>
      </c>
      <c r="N282">
        <v>0</v>
      </c>
      <c r="O282">
        <v>0</v>
      </c>
      <c r="P282">
        <v>0</v>
      </c>
      <c r="Q282">
        <v>0</v>
      </c>
      <c r="R282">
        <v>1</v>
      </c>
      <c r="S282">
        <v>1</v>
      </c>
      <c r="T282" t="str">
        <f>IF(mental_health[Sleep_Hours]&lt;5,"Low",IF(mental_health[Sleep_Hours]&lt;7,"Medium","Good"))</f>
        <v>Good</v>
      </c>
      <c r="U282" t="str">
        <f>IF(mental_health[Stress_Level]&lt;=3,"Low",IF(mental_health[Stress_Level]&lt;=7,"Medium","High"))</f>
        <v>High</v>
      </c>
      <c r="V282" t="str">
        <f>IF(mental_health[Daily_Screen_Time]&lt;=4,"Low",IF(mental_health[Daily_Screen_Time]&lt;=8,"Medium","High"))</f>
        <v>Medium</v>
      </c>
    </row>
    <row r="283" spans="1:22" x14ac:dyDescent="0.3">
      <c r="A283">
        <v>282</v>
      </c>
      <c r="B283">
        <v>33</v>
      </c>
      <c r="C283" t="s">
        <v>18</v>
      </c>
      <c r="D283" t="s">
        <v>19</v>
      </c>
      <c r="E283">
        <v>2.2999999999999998</v>
      </c>
      <c r="F283">
        <v>7.1</v>
      </c>
      <c r="G283">
        <v>0</v>
      </c>
      <c r="H283" t="str">
        <f t="shared" si="4"/>
        <v>No Night Usage</v>
      </c>
      <c r="I283">
        <v>5.3</v>
      </c>
      <c r="J283" s="3">
        <v>9</v>
      </c>
      <c r="K283">
        <v>9.1999999999999993</v>
      </c>
      <c r="L283" t="s">
        <v>21</v>
      </c>
      <c r="M283">
        <v>5</v>
      </c>
      <c r="N283">
        <v>0</v>
      </c>
      <c r="O283">
        <v>1</v>
      </c>
      <c r="P283">
        <v>0</v>
      </c>
      <c r="Q283">
        <v>0</v>
      </c>
      <c r="R283">
        <v>1</v>
      </c>
      <c r="S283">
        <v>1</v>
      </c>
      <c r="T283" t="str">
        <f>IF(mental_health[Sleep_Hours]&lt;5,"Low",IF(mental_health[Sleep_Hours]&lt;7,"Medium","Good"))</f>
        <v>Medium</v>
      </c>
      <c r="U283" t="str">
        <f>IF(mental_health[Stress_Level]&lt;=3,"Low",IF(mental_health[Stress_Level]&lt;=7,"Medium","High"))</f>
        <v>High</v>
      </c>
      <c r="V283" t="str">
        <f>IF(mental_health[Daily_Screen_Time]&lt;=4,"Low",IF(mental_health[Daily_Screen_Time]&lt;=8,"Medium","High"))</f>
        <v>Low</v>
      </c>
    </row>
    <row r="284" spans="1:22" x14ac:dyDescent="0.3">
      <c r="A284">
        <v>283</v>
      </c>
      <c r="B284">
        <v>33</v>
      </c>
      <c r="C284" t="s">
        <v>23</v>
      </c>
      <c r="D284" t="s">
        <v>24</v>
      </c>
      <c r="E284">
        <v>8.3000000000000007</v>
      </c>
      <c r="F284">
        <v>3.5</v>
      </c>
      <c r="G284">
        <v>1</v>
      </c>
      <c r="H284" t="str">
        <f t="shared" si="4"/>
        <v>Night Usage</v>
      </c>
      <c r="I284">
        <v>6.5</v>
      </c>
      <c r="J284" s="3">
        <v>2</v>
      </c>
      <c r="K284">
        <v>3.5</v>
      </c>
      <c r="L284" t="s">
        <v>25</v>
      </c>
      <c r="M284">
        <v>5</v>
      </c>
      <c r="N284">
        <v>1</v>
      </c>
      <c r="O284">
        <v>0</v>
      </c>
      <c r="P284">
        <v>0</v>
      </c>
      <c r="Q284">
        <v>0</v>
      </c>
      <c r="R284">
        <v>1</v>
      </c>
      <c r="S284">
        <v>1</v>
      </c>
      <c r="T284" t="str">
        <f>IF(mental_health[Sleep_Hours]&lt;5,"Low",IF(mental_health[Sleep_Hours]&lt;7,"Medium","Good"))</f>
        <v>Medium</v>
      </c>
      <c r="U284" t="str">
        <f>IF(mental_health[Stress_Level]&lt;=3,"Low",IF(mental_health[Stress_Level]&lt;=7,"Medium","High"))</f>
        <v>Low</v>
      </c>
      <c r="V284" t="str">
        <f>IF(mental_health[Daily_Screen_Time]&lt;=4,"Low",IF(mental_health[Daily_Screen_Time]&lt;=8,"Medium","High"))</f>
        <v>High</v>
      </c>
    </row>
    <row r="285" spans="1:22" x14ac:dyDescent="0.3">
      <c r="A285">
        <v>284</v>
      </c>
      <c r="B285">
        <v>17</v>
      </c>
      <c r="C285" t="s">
        <v>23</v>
      </c>
      <c r="D285" t="s">
        <v>22</v>
      </c>
      <c r="E285">
        <v>6.3</v>
      </c>
      <c r="F285">
        <v>6.1</v>
      </c>
      <c r="G285">
        <v>1</v>
      </c>
      <c r="H285" t="str">
        <f t="shared" si="4"/>
        <v>Night Usage</v>
      </c>
      <c r="I285">
        <v>7.8</v>
      </c>
      <c r="J285" s="3">
        <v>7</v>
      </c>
      <c r="K285">
        <v>10.8</v>
      </c>
      <c r="L285" t="s">
        <v>20</v>
      </c>
      <c r="M285">
        <v>7</v>
      </c>
      <c r="N285">
        <v>4</v>
      </c>
      <c r="O285">
        <v>1</v>
      </c>
      <c r="P285">
        <v>1</v>
      </c>
      <c r="Q285">
        <v>1</v>
      </c>
      <c r="R285">
        <v>1</v>
      </c>
      <c r="S285">
        <v>1</v>
      </c>
      <c r="T285" t="str">
        <f>IF(mental_health[Sleep_Hours]&lt;5,"Low",IF(mental_health[Sleep_Hours]&lt;7,"Medium","Good"))</f>
        <v>Good</v>
      </c>
      <c r="U285" t="str">
        <f>IF(mental_health[Stress_Level]&lt;=3,"Low",IF(mental_health[Stress_Level]&lt;=7,"Medium","High"))</f>
        <v>Medium</v>
      </c>
      <c r="V285" t="str">
        <f>IF(mental_health[Daily_Screen_Time]&lt;=4,"Low",IF(mental_health[Daily_Screen_Time]&lt;=8,"Medium","High"))</f>
        <v>Medium</v>
      </c>
    </row>
    <row r="286" spans="1:22" x14ac:dyDescent="0.3">
      <c r="A286">
        <v>285</v>
      </c>
      <c r="B286">
        <v>50</v>
      </c>
      <c r="C286" t="s">
        <v>23</v>
      </c>
      <c r="D286" t="s">
        <v>24</v>
      </c>
      <c r="E286">
        <v>7.5</v>
      </c>
      <c r="F286">
        <v>3.2</v>
      </c>
      <c r="G286">
        <v>0</v>
      </c>
      <c r="H286" t="str">
        <f t="shared" si="4"/>
        <v>No Night Usage</v>
      </c>
      <c r="I286">
        <v>4.9000000000000004</v>
      </c>
      <c r="J286" s="3">
        <v>9</v>
      </c>
      <c r="K286">
        <v>3.7</v>
      </c>
      <c r="L286" t="s">
        <v>25</v>
      </c>
      <c r="M286">
        <v>1</v>
      </c>
      <c r="N286">
        <v>2</v>
      </c>
      <c r="O286">
        <v>1</v>
      </c>
      <c r="P286">
        <v>0</v>
      </c>
      <c r="Q286">
        <v>0</v>
      </c>
      <c r="R286">
        <v>0</v>
      </c>
      <c r="S286">
        <v>1</v>
      </c>
      <c r="T286" t="str">
        <f>IF(mental_health[Sleep_Hours]&lt;5,"Low",IF(mental_health[Sleep_Hours]&lt;7,"Medium","Good"))</f>
        <v>Low</v>
      </c>
      <c r="U286" t="str">
        <f>IF(mental_health[Stress_Level]&lt;=3,"Low",IF(mental_health[Stress_Level]&lt;=7,"Medium","High"))</f>
        <v>High</v>
      </c>
      <c r="V286" t="str">
        <f>IF(mental_health[Daily_Screen_Time]&lt;=4,"Low",IF(mental_health[Daily_Screen_Time]&lt;=8,"Medium","High"))</f>
        <v>Medium</v>
      </c>
    </row>
    <row r="287" spans="1:22" x14ac:dyDescent="0.3">
      <c r="A287">
        <v>286</v>
      </c>
      <c r="B287">
        <v>31</v>
      </c>
      <c r="C287" t="s">
        <v>23</v>
      </c>
      <c r="D287" t="s">
        <v>22</v>
      </c>
      <c r="E287">
        <v>3.7</v>
      </c>
      <c r="F287">
        <v>7.3</v>
      </c>
      <c r="G287">
        <v>1</v>
      </c>
      <c r="H287" t="str">
        <f t="shared" si="4"/>
        <v>Night Usage</v>
      </c>
      <c r="I287">
        <v>7.3</v>
      </c>
      <c r="J287" s="3">
        <v>9</v>
      </c>
      <c r="K287">
        <v>4.2</v>
      </c>
      <c r="L287" t="s">
        <v>20</v>
      </c>
      <c r="M287">
        <v>2</v>
      </c>
      <c r="N287">
        <v>3</v>
      </c>
      <c r="O287">
        <v>0</v>
      </c>
      <c r="P287">
        <v>0</v>
      </c>
      <c r="Q287">
        <v>0</v>
      </c>
      <c r="R287">
        <v>0</v>
      </c>
      <c r="S287">
        <v>1</v>
      </c>
      <c r="T287" t="str">
        <f>IF(mental_health[Sleep_Hours]&lt;5,"Low",IF(mental_health[Sleep_Hours]&lt;7,"Medium","Good"))</f>
        <v>Good</v>
      </c>
      <c r="U287" t="str">
        <f>IF(mental_health[Stress_Level]&lt;=3,"Low",IF(mental_health[Stress_Level]&lt;=7,"Medium","High"))</f>
        <v>High</v>
      </c>
      <c r="V287" t="str">
        <f>IF(mental_health[Daily_Screen_Time]&lt;=4,"Low",IF(mental_health[Daily_Screen_Time]&lt;=8,"Medium","High"))</f>
        <v>Low</v>
      </c>
    </row>
    <row r="288" spans="1:22" x14ac:dyDescent="0.3">
      <c r="A288">
        <v>287</v>
      </c>
      <c r="B288">
        <v>56</v>
      </c>
      <c r="C288" t="s">
        <v>23</v>
      </c>
      <c r="D288" t="s">
        <v>19</v>
      </c>
      <c r="E288">
        <v>5</v>
      </c>
      <c r="F288">
        <v>1.9</v>
      </c>
      <c r="G288">
        <v>0</v>
      </c>
      <c r="H288" t="str">
        <f t="shared" si="4"/>
        <v>No Night Usage</v>
      </c>
      <c r="I288">
        <v>3.8</v>
      </c>
      <c r="J288" s="3">
        <v>5</v>
      </c>
      <c r="K288">
        <v>3.3</v>
      </c>
      <c r="L288" t="s">
        <v>21</v>
      </c>
      <c r="M288">
        <v>6</v>
      </c>
      <c r="N288">
        <v>3</v>
      </c>
      <c r="O288">
        <v>0</v>
      </c>
      <c r="P288">
        <v>0</v>
      </c>
      <c r="Q288">
        <v>0</v>
      </c>
      <c r="R288">
        <v>1</v>
      </c>
      <c r="S288">
        <v>0</v>
      </c>
      <c r="T288" t="str">
        <f>IF(mental_health[Sleep_Hours]&lt;5,"Low",IF(mental_health[Sleep_Hours]&lt;7,"Medium","Good"))</f>
        <v>Low</v>
      </c>
      <c r="U288" t="str">
        <f>IF(mental_health[Stress_Level]&lt;=3,"Low",IF(mental_health[Stress_Level]&lt;=7,"Medium","High"))</f>
        <v>Medium</v>
      </c>
      <c r="V288" t="str">
        <f>IF(mental_health[Daily_Screen_Time]&lt;=4,"Low",IF(mental_health[Daily_Screen_Time]&lt;=8,"Medium","High"))</f>
        <v>Medium</v>
      </c>
    </row>
    <row r="289" spans="1:22" x14ac:dyDescent="0.3">
      <c r="A289">
        <v>288</v>
      </c>
      <c r="B289">
        <v>51</v>
      </c>
      <c r="C289" t="s">
        <v>23</v>
      </c>
      <c r="D289" t="s">
        <v>22</v>
      </c>
      <c r="E289">
        <v>8.6</v>
      </c>
      <c r="F289">
        <v>2.2000000000000002</v>
      </c>
      <c r="G289">
        <v>1</v>
      </c>
      <c r="H289" t="str">
        <f t="shared" si="4"/>
        <v>Night Usage</v>
      </c>
      <c r="I289">
        <v>4.7</v>
      </c>
      <c r="J289" s="3">
        <v>1</v>
      </c>
      <c r="K289">
        <v>6.4</v>
      </c>
      <c r="L289" t="s">
        <v>25</v>
      </c>
      <c r="M289">
        <v>2</v>
      </c>
      <c r="N289">
        <v>3</v>
      </c>
      <c r="O289">
        <v>0</v>
      </c>
      <c r="P289">
        <v>1</v>
      </c>
      <c r="Q289">
        <v>0</v>
      </c>
      <c r="R289">
        <v>0</v>
      </c>
      <c r="S289">
        <v>1</v>
      </c>
      <c r="T289" t="str">
        <f>IF(mental_health[Sleep_Hours]&lt;5,"Low",IF(mental_health[Sleep_Hours]&lt;7,"Medium","Good"))</f>
        <v>Low</v>
      </c>
      <c r="U289" t="str">
        <f>IF(mental_health[Stress_Level]&lt;=3,"Low",IF(mental_health[Stress_Level]&lt;=7,"Medium","High"))</f>
        <v>Low</v>
      </c>
      <c r="V289" t="str">
        <f>IF(mental_health[Daily_Screen_Time]&lt;=4,"Low",IF(mental_health[Daily_Screen_Time]&lt;=8,"Medium","High"))</f>
        <v>High</v>
      </c>
    </row>
    <row r="290" spans="1:22" x14ac:dyDescent="0.3">
      <c r="A290">
        <v>289</v>
      </c>
      <c r="B290">
        <v>48</v>
      </c>
      <c r="C290" t="s">
        <v>23</v>
      </c>
      <c r="D290" t="s">
        <v>22</v>
      </c>
      <c r="E290">
        <v>11.7</v>
      </c>
      <c r="F290">
        <v>4.5</v>
      </c>
      <c r="G290">
        <v>1</v>
      </c>
      <c r="H290" t="str">
        <f t="shared" si="4"/>
        <v>Night Usage</v>
      </c>
      <c r="I290">
        <v>3.9</v>
      </c>
      <c r="J290" s="3">
        <v>6</v>
      </c>
      <c r="K290">
        <v>10.9</v>
      </c>
      <c r="L290" t="s">
        <v>25</v>
      </c>
      <c r="M290">
        <v>4</v>
      </c>
      <c r="N290">
        <v>0</v>
      </c>
      <c r="O290">
        <v>0</v>
      </c>
      <c r="P290">
        <v>1</v>
      </c>
      <c r="Q290">
        <v>1</v>
      </c>
      <c r="R290">
        <v>1</v>
      </c>
      <c r="S290">
        <v>0</v>
      </c>
      <c r="T290" t="str">
        <f>IF(mental_health[Sleep_Hours]&lt;5,"Low",IF(mental_health[Sleep_Hours]&lt;7,"Medium","Good"))</f>
        <v>Low</v>
      </c>
      <c r="U290" t="str">
        <f>IF(mental_health[Stress_Level]&lt;=3,"Low",IF(mental_health[Stress_Level]&lt;=7,"Medium","High"))</f>
        <v>Medium</v>
      </c>
      <c r="V290" t="str">
        <f>IF(mental_health[Daily_Screen_Time]&lt;=4,"Low",IF(mental_health[Daily_Screen_Time]&lt;=8,"Medium","High"))</f>
        <v>High</v>
      </c>
    </row>
    <row r="291" spans="1:22" x14ac:dyDescent="0.3">
      <c r="A291">
        <v>290</v>
      </c>
      <c r="B291">
        <v>19</v>
      </c>
      <c r="C291" t="s">
        <v>18</v>
      </c>
      <c r="D291" t="s">
        <v>19</v>
      </c>
      <c r="E291">
        <v>2.5</v>
      </c>
      <c r="F291">
        <v>1.6</v>
      </c>
      <c r="G291">
        <v>0</v>
      </c>
      <c r="H291" t="str">
        <f t="shared" si="4"/>
        <v>No Night Usage</v>
      </c>
      <c r="I291">
        <v>7.9</v>
      </c>
      <c r="J291" s="3">
        <v>8</v>
      </c>
      <c r="K291">
        <v>4.5</v>
      </c>
      <c r="L291" t="s">
        <v>20</v>
      </c>
      <c r="M291">
        <v>10</v>
      </c>
      <c r="N291">
        <v>2</v>
      </c>
      <c r="O291">
        <v>0</v>
      </c>
      <c r="P291">
        <v>1</v>
      </c>
      <c r="Q291">
        <v>1</v>
      </c>
      <c r="R291">
        <v>0</v>
      </c>
      <c r="S291">
        <v>1</v>
      </c>
      <c r="T291" t="str">
        <f>IF(mental_health[Sleep_Hours]&lt;5,"Low",IF(mental_health[Sleep_Hours]&lt;7,"Medium","Good"))</f>
        <v>Good</v>
      </c>
      <c r="U291" t="str">
        <f>IF(mental_health[Stress_Level]&lt;=3,"Low",IF(mental_health[Stress_Level]&lt;=7,"Medium","High"))</f>
        <v>High</v>
      </c>
      <c r="V291" t="str">
        <f>IF(mental_health[Daily_Screen_Time]&lt;=4,"Low",IF(mental_health[Daily_Screen_Time]&lt;=8,"Medium","High"))</f>
        <v>Low</v>
      </c>
    </row>
    <row r="292" spans="1:22" x14ac:dyDescent="0.3">
      <c r="A292">
        <v>291</v>
      </c>
      <c r="B292">
        <v>48</v>
      </c>
      <c r="C292" t="s">
        <v>18</v>
      </c>
      <c r="D292" t="s">
        <v>19</v>
      </c>
      <c r="E292">
        <v>10.9</v>
      </c>
      <c r="F292">
        <v>2.4</v>
      </c>
      <c r="G292">
        <v>1</v>
      </c>
      <c r="H292" t="str">
        <f t="shared" si="4"/>
        <v>Night Usage</v>
      </c>
      <c r="I292">
        <v>4.3</v>
      </c>
      <c r="J292" s="3">
        <v>1</v>
      </c>
      <c r="K292">
        <v>5.7</v>
      </c>
      <c r="L292" t="s">
        <v>20</v>
      </c>
      <c r="M292">
        <v>6</v>
      </c>
      <c r="N292">
        <v>0</v>
      </c>
      <c r="O292">
        <v>1</v>
      </c>
      <c r="P292">
        <v>0</v>
      </c>
      <c r="Q292">
        <v>0</v>
      </c>
      <c r="R292">
        <v>0</v>
      </c>
      <c r="S292">
        <v>1</v>
      </c>
      <c r="T292" t="str">
        <f>IF(mental_health[Sleep_Hours]&lt;5,"Low",IF(mental_health[Sleep_Hours]&lt;7,"Medium","Good"))</f>
        <v>Low</v>
      </c>
      <c r="U292" t="str">
        <f>IF(mental_health[Stress_Level]&lt;=3,"Low",IF(mental_health[Stress_Level]&lt;=7,"Medium","High"))</f>
        <v>Low</v>
      </c>
      <c r="V292" t="str">
        <f>IF(mental_health[Daily_Screen_Time]&lt;=4,"Low",IF(mental_health[Daily_Screen_Time]&lt;=8,"Medium","High"))</f>
        <v>High</v>
      </c>
    </row>
    <row r="293" spans="1:22" x14ac:dyDescent="0.3">
      <c r="A293">
        <v>292</v>
      </c>
      <c r="B293">
        <v>29</v>
      </c>
      <c r="C293" t="s">
        <v>18</v>
      </c>
      <c r="D293" t="s">
        <v>24</v>
      </c>
      <c r="E293">
        <v>7.8</v>
      </c>
      <c r="F293">
        <v>7.6</v>
      </c>
      <c r="G293">
        <v>1</v>
      </c>
      <c r="H293" t="str">
        <f t="shared" si="4"/>
        <v>Night Usage</v>
      </c>
      <c r="I293">
        <v>7.3</v>
      </c>
      <c r="J293" s="3">
        <v>2</v>
      </c>
      <c r="K293">
        <v>10.5</v>
      </c>
      <c r="L293" t="s">
        <v>25</v>
      </c>
      <c r="M293">
        <v>7</v>
      </c>
      <c r="N293">
        <v>1</v>
      </c>
      <c r="O293">
        <v>1</v>
      </c>
      <c r="P293">
        <v>0</v>
      </c>
      <c r="Q293">
        <v>1</v>
      </c>
      <c r="R293">
        <v>1</v>
      </c>
      <c r="S293">
        <v>0</v>
      </c>
      <c r="T293" t="str">
        <f>IF(mental_health[Sleep_Hours]&lt;5,"Low",IF(mental_health[Sleep_Hours]&lt;7,"Medium","Good"))</f>
        <v>Good</v>
      </c>
      <c r="U293" t="str">
        <f>IF(mental_health[Stress_Level]&lt;=3,"Low",IF(mental_health[Stress_Level]&lt;=7,"Medium","High"))</f>
        <v>Low</v>
      </c>
      <c r="V293" t="str">
        <f>IF(mental_health[Daily_Screen_Time]&lt;=4,"Low",IF(mental_health[Daily_Screen_Time]&lt;=8,"Medium","High"))</f>
        <v>Medium</v>
      </c>
    </row>
    <row r="294" spans="1:22" x14ac:dyDescent="0.3">
      <c r="A294">
        <v>293</v>
      </c>
      <c r="B294">
        <v>36</v>
      </c>
      <c r="C294" t="s">
        <v>18</v>
      </c>
      <c r="D294" t="s">
        <v>24</v>
      </c>
      <c r="E294">
        <v>7.6</v>
      </c>
      <c r="F294">
        <v>7.8</v>
      </c>
      <c r="G294">
        <v>0</v>
      </c>
      <c r="H294" t="str">
        <f t="shared" si="4"/>
        <v>No Night Usage</v>
      </c>
      <c r="I294">
        <v>8.6999999999999993</v>
      </c>
      <c r="J294" s="3">
        <v>1</v>
      </c>
      <c r="K294">
        <v>8.1999999999999993</v>
      </c>
      <c r="L294" t="s">
        <v>25</v>
      </c>
      <c r="M294">
        <v>10</v>
      </c>
      <c r="N294">
        <v>3</v>
      </c>
      <c r="O294">
        <v>1</v>
      </c>
      <c r="P294">
        <v>0</v>
      </c>
      <c r="Q294">
        <v>0</v>
      </c>
      <c r="R294">
        <v>1</v>
      </c>
      <c r="S294">
        <v>0</v>
      </c>
      <c r="T294" t="str">
        <f>IF(mental_health[Sleep_Hours]&lt;5,"Low",IF(mental_health[Sleep_Hours]&lt;7,"Medium","Good"))</f>
        <v>Good</v>
      </c>
      <c r="U294" t="str">
        <f>IF(mental_health[Stress_Level]&lt;=3,"Low",IF(mental_health[Stress_Level]&lt;=7,"Medium","High"))</f>
        <v>Low</v>
      </c>
      <c r="V294" t="str">
        <f>IF(mental_health[Daily_Screen_Time]&lt;=4,"Low",IF(mental_health[Daily_Screen_Time]&lt;=8,"Medium","High"))</f>
        <v>Medium</v>
      </c>
    </row>
    <row r="295" spans="1:22" x14ac:dyDescent="0.3">
      <c r="A295">
        <v>294</v>
      </c>
      <c r="B295">
        <v>35</v>
      </c>
      <c r="C295" t="s">
        <v>18</v>
      </c>
      <c r="D295" t="s">
        <v>19</v>
      </c>
      <c r="E295">
        <v>7</v>
      </c>
      <c r="F295">
        <v>3.6</v>
      </c>
      <c r="G295">
        <v>1</v>
      </c>
      <c r="H295" t="str">
        <f t="shared" si="4"/>
        <v>Night Usage</v>
      </c>
      <c r="I295">
        <v>6.2</v>
      </c>
      <c r="J295" s="3">
        <v>5</v>
      </c>
      <c r="K295">
        <v>9.5</v>
      </c>
      <c r="L295" t="s">
        <v>20</v>
      </c>
      <c r="M295">
        <v>5</v>
      </c>
      <c r="N295">
        <v>2</v>
      </c>
      <c r="O295">
        <v>1</v>
      </c>
      <c r="P295">
        <v>1</v>
      </c>
      <c r="Q295">
        <v>1</v>
      </c>
      <c r="R295">
        <v>1</v>
      </c>
      <c r="S295">
        <v>0</v>
      </c>
      <c r="T295" t="str">
        <f>IF(mental_health[Sleep_Hours]&lt;5,"Low",IF(mental_health[Sleep_Hours]&lt;7,"Medium","Good"))</f>
        <v>Medium</v>
      </c>
      <c r="U295" t="str">
        <f>IF(mental_health[Stress_Level]&lt;=3,"Low",IF(mental_health[Stress_Level]&lt;=7,"Medium","High"))</f>
        <v>Medium</v>
      </c>
      <c r="V295" t="str">
        <f>IF(mental_health[Daily_Screen_Time]&lt;=4,"Low",IF(mental_health[Daily_Screen_Time]&lt;=8,"Medium","High"))</f>
        <v>Medium</v>
      </c>
    </row>
    <row r="296" spans="1:22" x14ac:dyDescent="0.3">
      <c r="A296">
        <v>295</v>
      </c>
      <c r="B296">
        <v>23</v>
      </c>
      <c r="C296" t="s">
        <v>18</v>
      </c>
      <c r="D296" t="s">
        <v>19</v>
      </c>
      <c r="E296">
        <v>2.7</v>
      </c>
      <c r="F296">
        <v>7.5</v>
      </c>
      <c r="G296">
        <v>0</v>
      </c>
      <c r="H296" t="str">
        <f t="shared" si="4"/>
        <v>No Night Usage</v>
      </c>
      <c r="I296">
        <v>6.2</v>
      </c>
      <c r="J296" s="3">
        <v>2</v>
      </c>
      <c r="K296">
        <v>4.0999999999999996</v>
      </c>
      <c r="L296" t="s">
        <v>21</v>
      </c>
      <c r="M296">
        <v>8</v>
      </c>
      <c r="N296">
        <v>3</v>
      </c>
      <c r="O296">
        <v>0</v>
      </c>
      <c r="P296">
        <v>0</v>
      </c>
      <c r="Q296">
        <v>1</v>
      </c>
      <c r="R296">
        <v>1</v>
      </c>
      <c r="S296">
        <v>0</v>
      </c>
      <c r="T296" t="str">
        <f>IF(mental_health[Sleep_Hours]&lt;5,"Low",IF(mental_health[Sleep_Hours]&lt;7,"Medium","Good"))</f>
        <v>Medium</v>
      </c>
      <c r="U296" t="str">
        <f>IF(mental_health[Stress_Level]&lt;=3,"Low",IF(mental_health[Stress_Level]&lt;=7,"Medium","High"))</f>
        <v>Low</v>
      </c>
      <c r="V296" t="str">
        <f>IF(mental_health[Daily_Screen_Time]&lt;=4,"Low",IF(mental_health[Daily_Screen_Time]&lt;=8,"Medium","High"))</f>
        <v>Low</v>
      </c>
    </row>
    <row r="297" spans="1:22" x14ac:dyDescent="0.3">
      <c r="A297">
        <v>296</v>
      </c>
      <c r="B297">
        <v>22</v>
      </c>
      <c r="C297" t="s">
        <v>18</v>
      </c>
      <c r="D297" t="s">
        <v>19</v>
      </c>
      <c r="E297">
        <v>2.9</v>
      </c>
      <c r="F297">
        <v>4.8</v>
      </c>
      <c r="G297">
        <v>0</v>
      </c>
      <c r="H297" t="str">
        <f t="shared" si="4"/>
        <v>No Night Usage</v>
      </c>
      <c r="I297">
        <v>5.8</v>
      </c>
      <c r="J297" s="3">
        <v>10</v>
      </c>
      <c r="K297">
        <v>9.1999999999999993</v>
      </c>
      <c r="L297" t="s">
        <v>20</v>
      </c>
      <c r="M297">
        <v>6</v>
      </c>
      <c r="N297">
        <v>0</v>
      </c>
      <c r="O297">
        <v>1</v>
      </c>
      <c r="P297">
        <v>0</v>
      </c>
      <c r="Q297">
        <v>1</v>
      </c>
      <c r="R297">
        <v>1</v>
      </c>
      <c r="S297">
        <v>1</v>
      </c>
      <c r="T297" t="str">
        <f>IF(mental_health[Sleep_Hours]&lt;5,"Low",IF(mental_health[Sleep_Hours]&lt;7,"Medium","Good"))</f>
        <v>Medium</v>
      </c>
      <c r="U297" t="str">
        <f>IF(mental_health[Stress_Level]&lt;=3,"Low",IF(mental_health[Stress_Level]&lt;=7,"Medium","High"))</f>
        <v>High</v>
      </c>
      <c r="V297" t="str">
        <f>IF(mental_health[Daily_Screen_Time]&lt;=4,"Low",IF(mental_health[Daily_Screen_Time]&lt;=8,"Medium","High"))</f>
        <v>Low</v>
      </c>
    </row>
    <row r="298" spans="1:22" x14ac:dyDescent="0.3">
      <c r="A298">
        <v>297</v>
      </c>
      <c r="B298">
        <v>18</v>
      </c>
      <c r="C298" t="s">
        <v>23</v>
      </c>
      <c r="D298" t="s">
        <v>22</v>
      </c>
      <c r="E298">
        <v>8</v>
      </c>
      <c r="F298">
        <v>2.9</v>
      </c>
      <c r="G298">
        <v>0</v>
      </c>
      <c r="H298" t="str">
        <f t="shared" si="4"/>
        <v>No Night Usage</v>
      </c>
      <c r="I298">
        <v>5</v>
      </c>
      <c r="J298" s="3">
        <v>10</v>
      </c>
      <c r="K298">
        <v>4.3</v>
      </c>
      <c r="L298" t="s">
        <v>25</v>
      </c>
      <c r="M298">
        <v>5</v>
      </c>
      <c r="N298">
        <v>0</v>
      </c>
      <c r="O298">
        <v>0</v>
      </c>
      <c r="P298">
        <v>1</v>
      </c>
      <c r="Q298">
        <v>1</v>
      </c>
      <c r="R298">
        <v>1</v>
      </c>
      <c r="S298">
        <v>1</v>
      </c>
      <c r="T298" t="str">
        <f>IF(mental_health[Sleep_Hours]&lt;5,"Low",IF(mental_health[Sleep_Hours]&lt;7,"Medium","Good"))</f>
        <v>Medium</v>
      </c>
      <c r="U298" t="str">
        <f>IF(mental_health[Stress_Level]&lt;=3,"Low",IF(mental_health[Stress_Level]&lt;=7,"Medium","High"))</f>
        <v>High</v>
      </c>
      <c r="V298" t="str">
        <f>IF(mental_health[Daily_Screen_Time]&lt;=4,"Low",IF(mental_health[Daily_Screen_Time]&lt;=8,"Medium","High"))</f>
        <v>Medium</v>
      </c>
    </row>
    <row r="299" spans="1:22" x14ac:dyDescent="0.3">
      <c r="A299">
        <v>298</v>
      </c>
      <c r="B299">
        <v>32</v>
      </c>
      <c r="C299" t="s">
        <v>23</v>
      </c>
      <c r="D299" t="s">
        <v>22</v>
      </c>
      <c r="E299">
        <v>5.4</v>
      </c>
      <c r="F299">
        <v>5.9</v>
      </c>
      <c r="G299">
        <v>1</v>
      </c>
      <c r="H299" t="str">
        <f t="shared" si="4"/>
        <v>Night Usage</v>
      </c>
      <c r="I299">
        <v>5.9</v>
      </c>
      <c r="J299" s="3">
        <v>4</v>
      </c>
      <c r="K299">
        <v>11.9</v>
      </c>
      <c r="L299" t="s">
        <v>21</v>
      </c>
      <c r="M299">
        <v>4</v>
      </c>
      <c r="N299">
        <v>0</v>
      </c>
      <c r="O299">
        <v>0</v>
      </c>
      <c r="P299">
        <v>0</v>
      </c>
      <c r="Q299">
        <v>1</v>
      </c>
      <c r="R299">
        <v>1</v>
      </c>
      <c r="S299">
        <v>1</v>
      </c>
      <c r="T299" t="str">
        <f>IF(mental_health[Sleep_Hours]&lt;5,"Low",IF(mental_health[Sleep_Hours]&lt;7,"Medium","Good"))</f>
        <v>Medium</v>
      </c>
      <c r="U299" t="str">
        <f>IF(mental_health[Stress_Level]&lt;=3,"Low",IF(mental_health[Stress_Level]&lt;=7,"Medium","High"))</f>
        <v>Medium</v>
      </c>
      <c r="V299" t="str">
        <f>IF(mental_health[Daily_Screen_Time]&lt;=4,"Low",IF(mental_health[Daily_Screen_Time]&lt;=8,"Medium","High"))</f>
        <v>Medium</v>
      </c>
    </row>
    <row r="300" spans="1:22" x14ac:dyDescent="0.3">
      <c r="A300">
        <v>299</v>
      </c>
      <c r="B300">
        <v>48</v>
      </c>
      <c r="C300" t="s">
        <v>23</v>
      </c>
      <c r="D300" t="s">
        <v>22</v>
      </c>
      <c r="E300">
        <v>11.2</v>
      </c>
      <c r="F300">
        <v>5.6</v>
      </c>
      <c r="G300">
        <v>1</v>
      </c>
      <c r="H300" t="str">
        <f t="shared" si="4"/>
        <v>Night Usage</v>
      </c>
      <c r="I300">
        <v>6.6</v>
      </c>
      <c r="J300" s="3">
        <v>1</v>
      </c>
      <c r="K300">
        <v>7.6</v>
      </c>
      <c r="L300" t="s">
        <v>21</v>
      </c>
      <c r="M300">
        <v>6</v>
      </c>
      <c r="N300">
        <v>3</v>
      </c>
      <c r="O300">
        <v>0</v>
      </c>
      <c r="P300">
        <v>0</v>
      </c>
      <c r="Q300">
        <v>1</v>
      </c>
      <c r="R300">
        <v>1</v>
      </c>
      <c r="S300">
        <v>1</v>
      </c>
      <c r="T300" t="str">
        <f>IF(mental_health[Sleep_Hours]&lt;5,"Low",IF(mental_health[Sleep_Hours]&lt;7,"Medium","Good"))</f>
        <v>Medium</v>
      </c>
      <c r="U300" t="str">
        <f>IF(mental_health[Stress_Level]&lt;=3,"Low",IF(mental_health[Stress_Level]&lt;=7,"Medium","High"))</f>
        <v>Low</v>
      </c>
      <c r="V300" t="str">
        <f>IF(mental_health[Daily_Screen_Time]&lt;=4,"Low",IF(mental_health[Daily_Screen_Time]&lt;=8,"Medium","High"))</f>
        <v>High</v>
      </c>
    </row>
    <row r="301" spans="1:22" x14ac:dyDescent="0.3">
      <c r="A301">
        <v>300</v>
      </c>
      <c r="B301">
        <v>27</v>
      </c>
      <c r="C301" t="s">
        <v>23</v>
      </c>
      <c r="D301" t="s">
        <v>19</v>
      </c>
      <c r="E301">
        <v>6.1</v>
      </c>
      <c r="F301">
        <v>7.9</v>
      </c>
      <c r="G301">
        <v>0</v>
      </c>
      <c r="H301" t="str">
        <f t="shared" si="4"/>
        <v>No Night Usage</v>
      </c>
      <c r="I301">
        <v>8.9</v>
      </c>
      <c r="J301" s="3">
        <v>7</v>
      </c>
      <c r="K301">
        <v>9</v>
      </c>
      <c r="L301" t="s">
        <v>21</v>
      </c>
      <c r="M301">
        <v>6</v>
      </c>
      <c r="N301">
        <v>2</v>
      </c>
      <c r="O301">
        <v>0</v>
      </c>
      <c r="P301">
        <v>0</v>
      </c>
      <c r="Q301">
        <v>1</v>
      </c>
      <c r="R301">
        <v>0</v>
      </c>
      <c r="S301">
        <v>0</v>
      </c>
      <c r="T301" t="str">
        <f>IF(mental_health[Sleep_Hours]&lt;5,"Low",IF(mental_health[Sleep_Hours]&lt;7,"Medium","Good"))</f>
        <v>Good</v>
      </c>
      <c r="U301" t="str">
        <f>IF(mental_health[Stress_Level]&lt;=3,"Low",IF(mental_health[Stress_Level]&lt;=7,"Medium","High"))</f>
        <v>Medium</v>
      </c>
      <c r="V301" t="str">
        <f>IF(mental_health[Daily_Screen_Time]&lt;=4,"Low",IF(mental_health[Daily_Screen_Time]&lt;=8,"Medium","High"))</f>
        <v>Medium</v>
      </c>
    </row>
    <row r="302" spans="1:22" x14ac:dyDescent="0.3">
      <c r="A302">
        <v>301</v>
      </c>
      <c r="B302">
        <v>37</v>
      </c>
      <c r="C302" t="s">
        <v>18</v>
      </c>
      <c r="D302" t="s">
        <v>24</v>
      </c>
      <c r="E302">
        <v>3.4</v>
      </c>
      <c r="F302">
        <v>2.9</v>
      </c>
      <c r="G302">
        <v>1</v>
      </c>
      <c r="H302" t="str">
        <f t="shared" si="4"/>
        <v>Night Usage</v>
      </c>
      <c r="I302">
        <v>8.6</v>
      </c>
      <c r="J302" s="3">
        <v>8</v>
      </c>
      <c r="K302">
        <v>3.2</v>
      </c>
      <c r="L302" t="s">
        <v>21</v>
      </c>
      <c r="M302">
        <v>6</v>
      </c>
      <c r="N302">
        <v>2</v>
      </c>
      <c r="O302">
        <v>0</v>
      </c>
      <c r="P302">
        <v>0</v>
      </c>
      <c r="Q302">
        <v>0</v>
      </c>
      <c r="R302">
        <v>0</v>
      </c>
      <c r="S302">
        <v>0</v>
      </c>
      <c r="T302" t="str">
        <f>IF(mental_health[Sleep_Hours]&lt;5,"Low",IF(mental_health[Sleep_Hours]&lt;7,"Medium","Good"))</f>
        <v>Good</v>
      </c>
      <c r="U302" t="str">
        <f>IF(mental_health[Stress_Level]&lt;=3,"Low",IF(mental_health[Stress_Level]&lt;=7,"Medium","High"))</f>
        <v>High</v>
      </c>
      <c r="V302" t="str">
        <f>IF(mental_health[Daily_Screen_Time]&lt;=4,"Low",IF(mental_health[Daily_Screen_Time]&lt;=8,"Medium","High"))</f>
        <v>Low</v>
      </c>
    </row>
    <row r="303" spans="1:22" x14ac:dyDescent="0.3">
      <c r="A303">
        <v>302</v>
      </c>
      <c r="B303">
        <v>37</v>
      </c>
      <c r="C303" t="s">
        <v>18</v>
      </c>
      <c r="D303" t="s">
        <v>19</v>
      </c>
      <c r="E303">
        <v>9.1</v>
      </c>
      <c r="F303">
        <v>5.7</v>
      </c>
      <c r="G303">
        <v>0</v>
      </c>
      <c r="H303" t="str">
        <f t="shared" si="4"/>
        <v>No Night Usage</v>
      </c>
      <c r="I303">
        <v>8.1999999999999993</v>
      </c>
      <c r="J303" s="3">
        <v>5</v>
      </c>
      <c r="K303">
        <v>4.5</v>
      </c>
      <c r="L303" t="s">
        <v>25</v>
      </c>
      <c r="M303">
        <v>1</v>
      </c>
      <c r="N303">
        <v>1</v>
      </c>
      <c r="O303">
        <v>1</v>
      </c>
      <c r="P303">
        <v>1</v>
      </c>
      <c r="Q303">
        <v>0</v>
      </c>
      <c r="R303">
        <v>1</v>
      </c>
      <c r="S303">
        <v>1</v>
      </c>
      <c r="T303" t="str">
        <f>IF(mental_health[Sleep_Hours]&lt;5,"Low",IF(mental_health[Sleep_Hours]&lt;7,"Medium","Good"))</f>
        <v>Good</v>
      </c>
      <c r="U303" t="str">
        <f>IF(mental_health[Stress_Level]&lt;=3,"Low",IF(mental_health[Stress_Level]&lt;=7,"Medium","High"))</f>
        <v>Medium</v>
      </c>
      <c r="V303" t="str">
        <f>IF(mental_health[Daily_Screen_Time]&lt;=4,"Low",IF(mental_health[Daily_Screen_Time]&lt;=8,"Medium","High"))</f>
        <v>High</v>
      </c>
    </row>
    <row r="304" spans="1:22" x14ac:dyDescent="0.3">
      <c r="A304">
        <v>303</v>
      </c>
      <c r="B304">
        <v>45</v>
      </c>
      <c r="C304" t="s">
        <v>23</v>
      </c>
      <c r="D304" t="s">
        <v>22</v>
      </c>
      <c r="E304">
        <v>4.9000000000000004</v>
      </c>
      <c r="F304">
        <v>1.4</v>
      </c>
      <c r="G304">
        <v>1</v>
      </c>
      <c r="H304" t="str">
        <f t="shared" si="4"/>
        <v>Night Usage</v>
      </c>
      <c r="I304">
        <v>8.3000000000000007</v>
      </c>
      <c r="J304" s="3">
        <v>2</v>
      </c>
      <c r="K304">
        <v>3.4</v>
      </c>
      <c r="L304" t="s">
        <v>21</v>
      </c>
      <c r="M304">
        <v>6</v>
      </c>
      <c r="N304">
        <v>3</v>
      </c>
      <c r="O304">
        <v>0</v>
      </c>
      <c r="P304">
        <v>1</v>
      </c>
      <c r="Q304">
        <v>1</v>
      </c>
      <c r="R304">
        <v>1</v>
      </c>
      <c r="S304">
        <v>0</v>
      </c>
      <c r="T304" t="str">
        <f>IF(mental_health[Sleep_Hours]&lt;5,"Low",IF(mental_health[Sleep_Hours]&lt;7,"Medium","Good"))</f>
        <v>Good</v>
      </c>
      <c r="U304" t="str">
        <f>IF(mental_health[Stress_Level]&lt;=3,"Low",IF(mental_health[Stress_Level]&lt;=7,"Medium","High"))</f>
        <v>Low</v>
      </c>
      <c r="V304" t="str">
        <f>IF(mental_health[Daily_Screen_Time]&lt;=4,"Low",IF(mental_health[Daily_Screen_Time]&lt;=8,"Medium","High"))</f>
        <v>Medium</v>
      </c>
    </row>
    <row r="305" spans="1:22" x14ac:dyDescent="0.3">
      <c r="A305">
        <v>304</v>
      </c>
      <c r="B305">
        <v>53</v>
      </c>
      <c r="C305" t="s">
        <v>23</v>
      </c>
      <c r="D305" t="s">
        <v>22</v>
      </c>
      <c r="E305">
        <v>7.3</v>
      </c>
      <c r="F305">
        <v>1.8</v>
      </c>
      <c r="G305">
        <v>0</v>
      </c>
      <c r="H305" t="str">
        <f t="shared" si="4"/>
        <v>No Night Usage</v>
      </c>
      <c r="I305">
        <v>5.8</v>
      </c>
      <c r="J305" s="3">
        <v>8</v>
      </c>
      <c r="K305">
        <v>5.9</v>
      </c>
      <c r="L305" t="s">
        <v>20</v>
      </c>
      <c r="M305">
        <v>1</v>
      </c>
      <c r="N305">
        <v>1</v>
      </c>
      <c r="O305">
        <v>0</v>
      </c>
      <c r="P305">
        <v>1</v>
      </c>
      <c r="Q305">
        <v>1</v>
      </c>
      <c r="R305">
        <v>0</v>
      </c>
      <c r="S305">
        <v>0</v>
      </c>
      <c r="T305" t="str">
        <f>IF(mental_health[Sleep_Hours]&lt;5,"Low",IF(mental_health[Sleep_Hours]&lt;7,"Medium","Good"))</f>
        <v>Medium</v>
      </c>
      <c r="U305" t="str">
        <f>IF(mental_health[Stress_Level]&lt;=3,"Low",IF(mental_health[Stress_Level]&lt;=7,"Medium","High"))</f>
        <v>High</v>
      </c>
      <c r="V305" t="str">
        <f>IF(mental_health[Daily_Screen_Time]&lt;=4,"Low",IF(mental_health[Daily_Screen_Time]&lt;=8,"Medium","High"))</f>
        <v>Medium</v>
      </c>
    </row>
    <row r="306" spans="1:22" x14ac:dyDescent="0.3">
      <c r="A306">
        <v>305</v>
      </c>
      <c r="B306">
        <v>53</v>
      </c>
      <c r="C306" t="s">
        <v>18</v>
      </c>
      <c r="D306" t="s">
        <v>19</v>
      </c>
      <c r="E306">
        <v>9</v>
      </c>
      <c r="F306">
        <v>1</v>
      </c>
      <c r="G306">
        <v>0</v>
      </c>
      <c r="H306" t="str">
        <f t="shared" si="4"/>
        <v>No Night Usage</v>
      </c>
      <c r="I306">
        <v>6.9</v>
      </c>
      <c r="J306" s="3">
        <v>1</v>
      </c>
      <c r="K306">
        <v>4.8</v>
      </c>
      <c r="L306" t="s">
        <v>20</v>
      </c>
      <c r="M306">
        <v>5</v>
      </c>
      <c r="N306">
        <v>1</v>
      </c>
      <c r="O306">
        <v>1</v>
      </c>
      <c r="P306">
        <v>0</v>
      </c>
      <c r="Q306">
        <v>1</v>
      </c>
      <c r="R306">
        <v>1</v>
      </c>
      <c r="S306">
        <v>1</v>
      </c>
      <c r="T306" t="str">
        <f>IF(mental_health[Sleep_Hours]&lt;5,"Low",IF(mental_health[Sleep_Hours]&lt;7,"Medium","Good"))</f>
        <v>Medium</v>
      </c>
      <c r="U306" t="str">
        <f>IF(mental_health[Stress_Level]&lt;=3,"Low",IF(mental_health[Stress_Level]&lt;=7,"Medium","High"))</f>
        <v>Low</v>
      </c>
      <c r="V306" t="str">
        <f>IF(mental_health[Daily_Screen_Time]&lt;=4,"Low",IF(mental_health[Daily_Screen_Time]&lt;=8,"Medium","High"))</f>
        <v>High</v>
      </c>
    </row>
    <row r="307" spans="1:22" x14ac:dyDescent="0.3">
      <c r="A307">
        <v>306</v>
      </c>
      <c r="B307">
        <v>23</v>
      </c>
      <c r="C307" t="s">
        <v>23</v>
      </c>
      <c r="D307" t="s">
        <v>19</v>
      </c>
      <c r="E307">
        <v>11</v>
      </c>
      <c r="F307">
        <v>8</v>
      </c>
      <c r="G307">
        <v>1</v>
      </c>
      <c r="H307" t="str">
        <f t="shared" si="4"/>
        <v>Night Usage</v>
      </c>
      <c r="I307">
        <v>8.4</v>
      </c>
      <c r="J307" s="3">
        <v>7</v>
      </c>
      <c r="K307">
        <v>9.3000000000000007</v>
      </c>
      <c r="L307" t="s">
        <v>20</v>
      </c>
      <c r="M307">
        <v>7</v>
      </c>
      <c r="N307">
        <v>1</v>
      </c>
      <c r="O307">
        <v>1</v>
      </c>
      <c r="P307">
        <v>0</v>
      </c>
      <c r="Q307">
        <v>1</v>
      </c>
      <c r="R307">
        <v>0</v>
      </c>
      <c r="S307">
        <v>1</v>
      </c>
      <c r="T307" t="str">
        <f>IF(mental_health[Sleep_Hours]&lt;5,"Low",IF(mental_health[Sleep_Hours]&lt;7,"Medium","Good"))</f>
        <v>Good</v>
      </c>
      <c r="U307" t="str">
        <f>IF(mental_health[Stress_Level]&lt;=3,"Low",IF(mental_health[Stress_Level]&lt;=7,"Medium","High"))</f>
        <v>Medium</v>
      </c>
      <c r="V307" t="str">
        <f>IF(mental_health[Daily_Screen_Time]&lt;=4,"Low",IF(mental_health[Daily_Screen_Time]&lt;=8,"Medium","High"))</f>
        <v>High</v>
      </c>
    </row>
    <row r="308" spans="1:22" x14ac:dyDescent="0.3">
      <c r="A308">
        <v>307</v>
      </c>
      <c r="B308">
        <v>42</v>
      </c>
      <c r="C308" t="s">
        <v>23</v>
      </c>
      <c r="D308" t="s">
        <v>22</v>
      </c>
      <c r="E308">
        <v>9.9</v>
      </c>
      <c r="F308">
        <v>6.6</v>
      </c>
      <c r="G308">
        <v>0</v>
      </c>
      <c r="H308" t="str">
        <f t="shared" si="4"/>
        <v>No Night Usage</v>
      </c>
      <c r="I308">
        <v>5.4</v>
      </c>
      <c r="J308" s="3">
        <v>1</v>
      </c>
      <c r="K308">
        <v>3.1</v>
      </c>
      <c r="L308" t="s">
        <v>25</v>
      </c>
      <c r="M308">
        <v>1</v>
      </c>
      <c r="N308">
        <v>1</v>
      </c>
      <c r="O308">
        <v>1</v>
      </c>
      <c r="P308">
        <v>1</v>
      </c>
      <c r="Q308">
        <v>0</v>
      </c>
      <c r="R308">
        <v>1</v>
      </c>
      <c r="S308">
        <v>0</v>
      </c>
      <c r="T308" t="str">
        <f>IF(mental_health[Sleep_Hours]&lt;5,"Low",IF(mental_health[Sleep_Hours]&lt;7,"Medium","Good"))</f>
        <v>Medium</v>
      </c>
      <c r="U308" t="str">
        <f>IF(mental_health[Stress_Level]&lt;=3,"Low",IF(mental_health[Stress_Level]&lt;=7,"Medium","High"))</f>
        <v>Low</v>
      </c>
      <c r="V308" t="str">
        <f>IF(mental_health[Daily_Screen_Time]&lt;=4,"Low",IF(mental_health[Daily_Screen_Time]&lt;=8,"Medium","High"))</f>
        <v>High</v>
      </c>
    </row>
    <row r="309" spans="1:22" x14ac:dyDescent="0.3">
      <c r="A309">
        <v>308</v>
      </c>
      <c r="B309">
        <v>42</v>
      </c>
      <c r="C309" t="s">
        <v>23</v>
      </c>
      <c r="D309" t="s">
        <v>22</v>
      </c>
      <c r="E309">
        <v>8.8000000000000007</v>
      </c>
      <c r="F309">
        <v>6.5</v>
      </c>
      <c r="G309">
        <v>0</v>
      </c>
      <c r="H309" t="str">
        <f t="shared" si="4"/>
        <v>No Night Usage</v>
      </c>
      <c r="I309">
        <v>8.8000000000000007</v>
      </c>
      <c r="J309" s="3">
        <v>6</v>
      </c>
      <c r="K309">
        <v>9.5</v>
      </c>
      <c r="L309" t="s">
        <v>21</v>
      </c>
      <c r="M309">
        <v>1</v>
      </c>
      <c r="N309">
        <v>0</v>
      </c>
      <c r="O309">
        <v>0</v>
      </c>
      <c r="P309">
        <v>0</v>
      </c>
      <c r="Q309">
        <v>1</v>
      </c>
      <c r="R309">
        <v>1</v>
      </c>
      <c r="S309">
        <v>0</v>
      </c>
      <c r="T309" t="str">
        <f>IF(mental_health[Sleep_Hours]&lt;5,"Low",IF(mental_health[Sleep_Hours]&lt;7,"Medium","Good"))</f>
        <v>Good</v>
      </c>
      <c r="U309" t="str">
        <f>IF(mental_health[Stress_Level]&lt;=3,"Low",IF(mental_health[Stress_Level]&lt;=7,"Medium","High"))</f>
        <v>Medium</v>
      </c>
      <c r="V309" t="str">
        <f>IF(mental_health[Daily_Screen_Time]&lt;=4,"Low",IF(mental_health[Daily_Screen_Time]&lt;=8,"Medium","High"))</f>
        <v>High</v>
      </c>
    </row>
    <row r="310" spans="1:22" x14ac:dyDescent="0.3">
      <c r="A310">
        <v>309</v>
      </c>
      <c r="B310">
        <v>49</v>
      </c>
      <c r="C310" t="s">
        <v>23</v>
      </c>
      <c r="D310" t="s">
        <v>22</v>
      </c>
      <c r="E310">
        <v>8.8000000000000007</v>
      </c>
      <c r="F310">
        <v>4.5999999999999996</v>
      </c>
      <c r="G310">
        <v>1</v>
      </c>
      <c r="H310" t="str">
        <f t="shared" si="4"/>
        <v>Night Usage</v>
      </c>
      <c r="I310">
        <v>5.5</v>
      </c>
      <c r="J310" s="3">
        <v>6</v>
      </c>
      <c r="K310">
        <v>2.5</v>
      </c>
      <c r="L310" t="s">
        <v>20</v>
      </c>
      <c r="M310">
        <v>6</v>
      </c>
      <c r="N310">
        <v>1</v>
      </c>
      <c r="O310">
        <v>0</v>
      </c>
      <c r="P310">
        <v>1</v>
      </c>
      <c r="Q310">
        <v>1</v>
      </c>
      <c r="R310">
        <v>1</v>
      </c>
      <c r="S310">
        <v>1</v>
      </c>
      <c r="T310" t="str">
        <f>IF(mental_health[Sleep_Hours]&lt;5,"Low",IF(mental_health[Sleep_Hours]&lt;7,"Medium","Good"))</f>
        <v>Medium</v>
      </c>
      <c r="U310" t="str">
        <f>IF(mental_health[Stress_Level]&lt;=3,"Low",IF(mental_health[Stress_Level]&lt;=7,"Medium","High"))</f>
        <v>Medium</v>
      </c>
      <c r="V310" t="str">
        <f>IF(mental_health[Daily_Screen_Time]&lt;=4,"Low",IF(mental_health[Daily_Screen_Time]&lt;=8,"Medium","High"))</f>
        <v>High</v>
      </c>
    </row>
    <row r="311" spans="1:22" x14ac:dyDescent="0.3">
      <c r="A311">
        <v>310</v>
      </c>
      <c r="B311">
        <v>36</v>
      </c>
      <c r="C311" t="s">
        <v>18</v>
      </c>
      <c r="D311" t="s">
        <v>19</v>
      </c>
      <c r="E311">
        <v>11.5</v>
      </c>
      <c r="F311">
        <v>3.1</v>
      </c>
      <c r="G311">
        <v>0</v>
      </c>
      <c r="H311" t="str">
        <f t="shared" si="4"/>
        <v>No Night Usage</v>
      </c>
      <c r="I311">
        <v>6.6</v>
      </c>
      <c r="J311" s="3">
        <v>5</v>
      </c>
      <c r="K311">
        <v>4</v>
      </c>
      <c r="L311" t="s">
        <v>20</v>
      </c>
      <c r="M311">
        <v>7</v>
      </c>
      <c r="N311">
        <v>2</v>
      </c>
      <c r="O311">
        <v>0</v>
      </c>
      <c r="P311">
        <v>1</v>
      </c>
      <c r="Q311">
        <v>1</v>
      </c>
      <c r="R311">
        <v>1</v>
      </c>
      <c r="S311">
        <v>0</v>
      </c>
      <c r="T311" t="str">
        <f>IF(mental_health[Sleep_Hours]&lt;5,"Low",IF(mental_health[Sleep_Hours]&lt;7,"Medium","Good"))</f>
        <v>Medium</v>
      </c>
      <c r="U311" t="str">
        <f>IF(mental_health[Stress_Level]&lt;=3,"Low",IF(mental_health[Stress_Level]&lt;=7,"Medium","High"))</f>
        <v>Medium</v>
      </c>
      <c r="V311" t="str">
        <f>IF(mental_health[Daily_Screen_Time]&lt;=4,"Low",IF(mental_health[Daily_Screen_Time]&lt;=8,"Medium","High"))</f>
        <v>High</v>
      </c>
    </row>
    <row r="312" spans="1:22" x14ac:dyDescent="0.3">
      <c r="A312">
        <v>311</v>
      </c>
      <c r="B312">
        <v>45</v>
      </c>
      <c r="C312" t="s">
        <v>23</v>
      </c>
      <c r="D312" t="s">
        <v>22</v>
      </c>
      <c r="E312">
        <v>5</v>
      </c>
      <c r="F312">
        <v>2.1</v>
      </c>
      <c r="G312">
        <v>0</v>
      </c>
      <c r="H312" t="str">
        <f t="shared" si="4"/>
        <v>No Night Usage</v>
      </c>
      <c r="I312">
        <v>7.3</v>
      </c>
      <c r="J312" s="3">
        <v>2</v>
      </c>
      <c r="K312">
        <v>9.9</v>
      </c>
      <c r="L312" t="s">
        <v>20</v>
      </c>
      <c r="M312">
        <v>6</v>
      </c>
      <c r="N312">
        <v>1</v>
      </c>
      <c r="O312">
        <v>0</v>
      </c>
      <c r="P312">
        <v>0</v>
      </c>
      <c r="Q312">
        <v>0</v>
      </c>
      <c r="R312">
        <v>0</v>
      </c>
      <c r="S312">
        <v>0</v>
      </c>
      <c r="T312" t="str">
        <f>IF(mental_health[Sleep_Hours]&lt;5,"Low",IF(mental_health[Sleep_Hours]&lt;7,"Medium","Good"))</f>
        <v>Good</v>
      </c>
      <c r="U312" t="str">
        <f>IF(mental_health[Stress_Level]&lt;=3,"Low",IF(mental_health[Stress_Level]&lt;=7,"Medium","High"))</f>
        <v>Low</v>
      </c>
      <c r="V312" t="str">
        <f>IF(mental_health[Daily_Screen_Time]&lt;=4,"Low",IF(mental_health[Daily_Screen_Time]&lt;=8,"Medium","High"))</f>
        <v>Medium</v>
      </c>
    </row>
    <row r="313" spans="1:22" x14ac:dyDescent="0.3">
      <c r="A313">
        <v>312</v>
      </c>
      <c r="B313">
        <v>48</v>
      </c>
      <c r="C313" t="s">
        <v>23</v>
      </c>
      <c r="D313" t="s">
        <v>22</v>
      </c>
      <c r="E313">
        <v>2</v>
      </c>
      <c r="F313">
        <v>3</v>
      </c>
      <c r="G313">
        <v>1</v>
      </c>
      <c r="H313" t="str">
        <f t="shared" si="4"/>
        <v>Night Usage</v>
      </c>
      <c r="I313">
        <v>8.6999999999999993</v>
      </c>
      <c r="J313" s="3">
        <v>2</v>
      </c>
      <c r="K313">
        <v>9.4</v>
      </c>
      <c r="L313" t="s">
        <v>21</v>
      </c>
      <c r="M313">
        <v>5</v>
      </c>
      <c r="N313">
        <v>0</v>
      </c>
      <c r="O313">
        <v>1</v>
      </c>
      <c r="P313">
        <v>1</v>
      </c>
      <c r="Q313">
        <v>0</v>
      </c>
      <c r="R313">
        <v>1</v>
      </c>
      <c r="S313">
        <v>1</v>
      </c>
      <c r="T313" t="str">
        <f>IF(mental_health[Sleep_Hours]&lt;5,"Low",IF(mental_health[Sleep_Hours]&lt;7,"Medium","Good"))</f>
        <v>Good</v>
      </c>
      <c r="U313" t="str">
        <f>IF(mental_health[Stress_Level]&lt;=3,"Low",IF(mental_health[Stress_Level]&lt;=7,"Medium","High"))</f>
        <v>Low</v>
      </c>
      <c r="V313" t="str">
        <f>IF(mental_health[Daily_Screen_Time]&lt;=4,"Low",IF(mental_health[Daily_Screen_Time]&lt;=8,"Medium","High"))</f>
        <v>Low</v>
      </c>
    </row>
    <row r="314" spans="1:22" x14ac:dyDescent="0.3">
      <c r="A314">
        <v>313</v>
      </c>
      <c r="B314">
        <v>43</v>
      </c>
      <c r="C314" t="s">
        <v>18</v>
      </c>
      <c r="D314" t="s">
        <v>24</v>
      </c>
      <c r="E314">
        <v>4.7</v>
      </c>
      <c r="F314">
        <v>3.6</v>
      </c>
      <c r="G314">
        <v>0</v>
      </c>
      <c r="H314" t="str">
        <f t="shared" si="4"/>
        <v>No Night Usage</v>
      </c>
      <c r="I314">
        <v>4.5</v>
      </c>
      <c r="J314" s="3">
        <v>9</v>
      </c>
      <c r="K314">
        <v>6.8</v>
      </c>
      <c r="L314" t="s">
        <v>20</v>
      </c>
      <c r="M314">
        <v>6</v>
      </c>
      <c r="N314">
        <v>4</v>
      </c>
      <c r="O314">
        <v>1</v>
      </c>
      <c r="P314">
        <v>1</v>
      </c>
      <c r="Q314">
        <v>1</v>
      </c>
      <c r="R314">
        <v>0</v>
      </c>
      <c r="S314">
        <v>1</v>
      </c>
      <c r="T314" t="str">
        <f>IF(mental_health[Sleep_Hours]&lt;5,"Low",IF(mental_health[Sleep_Hours]&lt;7,"Medium","Good"))</f>
        <v>Low</v>
      </c>
      <c r="U314" t="str">
        <f>IF(mental_health[Stress_Level]&lt;=3,"Low",IF(mental_health[Stress_Level]&lt;=7,"Medium","High"))</f>
        <v>High</v>
      </c>
      <c r="V314" t="str">
        <f>IF(mental_health[Daily_Screen_Time]&lt;=4,"Low",IF(mental_health[Daily_Screen_Time]&lt;=8,"Medium","High"))</f>
        <v>Medium</v>
      </c>
    </row>
    <row r="315" spans="1:22" x14ac:dyDescent="0.3">
      <c r="A315">
        <v>314</v>
      </c>
      <c r="B315">
        <v>48</v>
      </c>
      <c r="C315" t="s">
        <v>18</v>
      </c>
      <c r="D315" t="s">
        <v>19</v>
      </c>
      <c r="E315">
        <v>4.2</v>
      </c>
      <c r="F315">
        <v>6.3</v>
      </c>
      <c r="G315">
        <v>0</v>
      </c>
      <c r="H315" t="str">
        <f t="shared" si="4"/>
        <v>No Night Usage</v>
      </c>
      <c r="I315">
        <v>7.5</v>
      </c>
      <c r="J315" s="3">
        <v>5</v>
      </c>
      <c r="K315">
        <v>2.5</v>
      </c>
      <c r="L315" t="s">
        <v>21</v>
      </c>
      <c r="M315">
        <v>3</v>
      </c>
      <c r="N315">
        <v>4</v>
      </c>
      <c r="O315">
        <v>1</v>
      </c>
      <c r="P315">
        <v>1</v>
      </c>
      <c r="Q315">
        <v>0</v>
      </c>
      <c r="R315">
        <v>1</v>
      </c>
      <c r="S315">
        <v>0</v>
      </c>
      <c r="T315" t="str">
        <f>IF(mental_health[Sleep_Hours]&lt;5,"Low",IF(mental_health[Sleep_Hours]&lt;7,"Medium","Good"))</f>
        <v>Good</v>
      </c>
      <c r="U315" t="str">
        <f>IF(mental_health[Stress_Level]&lt;=3,"Low",IF(mental_health[Stress_Level]&lt;=7,"Medium","High"))</f>
        <v>Medium</v>
      </c>
      <c r="V315" t="str">
        <f>IF(mental_health[Daily_Screen_Time]&lt;=4,"Low",IF(mental_health[Daily_Screen_Time]&lt;=8,"Medium","High"))</f>
        <v>Medium</v>
      </c>
    </row>
    <row r="316" spans="1:22" x14ac:dyDescent="0.3">
      <c r="A316">
        <v>315</v>
      </c>
      <c r="B316">
        <v>20</v>
      </c>
      <c r="C316" t="s">
        <v>23</v>
      </c>
      <c r="D316" t="s">
        <v>24</v>
      </c>
      <c r="E316">
        <v>8.6</v>
      </c>
      <c r="F316">
        <v>4.8</v>
      </c>
      <c r="G316">
        <v>0</v>
      </c>
      <c r="H316" t="str">
        <f t="shared" si="4"/>
        <v>No Night Usage</v>
      </c>
      <c r="I316">
        <v>6.1</v>
      </c>
      <c r="J316" s="3">
        <v>5</v>
      </c>
      <c r="K316">
        <v>8.1</v>
      </c>
      <c r="L316" t="s">
        <v>21</v>
      </c>
      <c r="M316">
        <v>9</v>
      </c>
      <c r="N316">
        <v>4</v>
      </c>
      <c r="O316">
        <v>1</v>
      </c>
      <c r="P316">
        <v>1</v>
      </c>
      <c r="Q316">
        <v>1</v>
      </c>
      <c r="R316">
        <v>0</v>
      </c>
      <c r="S316">
        <v>0</v>
      </c>
      <c r="T316" t="str">
        <f>IF(mental_health[Sleep_Hours]&lt;5,"Low",IF(mental_health[Sleep_Hours]&lt;7,"Medium","Good"))</f>
        <v>Medium</v>
      </c>
      <c r="U316" t="str">
        <f>IF(mental_health[Stress_Level]&lt;=3,"Low",IF(mental_health[Stress_Level]&lt;=7,"Medium","High"))</f>
        <v>Medium</v>
      </c>
      <c r="V316" t="str">
        <f>IF(mental_health[Daily_Screen_Time]&lt;=4,"Low",IF(mental_health[Daily_Screen_Time]&lt;=8,"Medium","High"))</f>
        <v>High</v>
      </c>
    </row>
    <row r="317" spans="1:22" x14ac:dyDescent="0.3">
      <c r="A317">
        <v>316</v>
      </c>
      <c r="B317">
        <v>34</v>
      </c>
      <c r="C317" t="s">
        <v>18</v>
      </c>
      <c r="D317" t="s">
        <v>24</v>
      </c>
      <c r="E317">
        <v>8.3000000000000007</v>
      </c>
      <c r="F317">
        <v>1.5</v>
      </c>
      <c r="G317">
        <v>0</v>
      </c>
      <c r="H317" t="str">
        <f t="shared" si="4"/>
        <v>No Night Usage</v>
      </c>
      <c r="I317">
        <v>4.5999999999999996</v>
      </c>
      <c r="J317" s="3">
        <v>7</v>
      </c>
      <c r="K317">
        <v>6.1</v>
      </c>
      <c r="L317" t="s">
        <v>21</v>
      </c>
      <c r="M317">
        <v>5</v>
      </c>
      <c r="N317">
        <v>3</v>
      </c>
      <c r="O317">
        <v>1</v>
      </c>
      <c r="P317">
        <v>1</v>
      </c>
      <c r="Q317">
        <v>0</v>
      </c>
      <c r="R317">
        <v>1</v>
      </c>
      <c r="S317">
        <v>0</v>
      </c>
      <c r="T317" t="str">
        <f>IF(mental_health[Sleep_Hours]&lt;5,"Low",IF(mental_health[Sleep_Hours]&lt;7,"Medium","Good"))</f>
        <v>Low</v>
      </c>
      <c r="U317" t="str">
        <f>IF(mental_health[Stress_Level]&lt;=3,"Low",IF(mental_health[Stress_Level]&lt;=7,"Medium","High"))</f>
        <v>Medium</v>
      </c>
      <c r="V317" t="str">
        <f>IF(mental_health[Daily_Screen_Time]&lt;=4,"Low",IF(mental_health[Daily_Screen_Time]&lt;=8,"Medium","High"))</f>
        <v>High</v>
      </c>
    </row>
    <row r="318" spans="1:22" x14ac:dyDescent="0.3">
      <c r="A318">
        <v>317</v>
      </c>
      <c r="B318">
        <v>19</v>
      </c>
      <c r="C318" t="s">
        <v>23</v>
      </c>
      <c r="D318" t="s">
        <v>22</v>
      </c>
      <c r="E318">
        <v>7.9</v>
      </c>
      <c r="F318">
        <v>1.1000000000000001</v>
      </c>
      <c r="G318">
        <v>0</v>
      </c>
      <c r="H318" t="str">
        <f t="shared" si="4"/>
        <v>No Night Usage</v>
      </c>
      <c r="I318">
        <v>7.7</v>
      </c>
      <c r="J318" s="3">
        <v>6</v>
      </c>
      <c r="K318">
        <v>5.2</v>
      </c>
      <c r="L318" t="s">
        <v>25</v>
      </c>
      <c r="M318">
        <v>2</v>
      </c>
      <c r="N318">
        <v>2</v>
      </c>
      <c r="O318">
        <v>1</v>
      </c>
      <c r="P318">
        <v>1</v>
      </c>
      <c r="Q318">
        <v>1</v>
      </c>
      <c r="R318">
        <v>1</v>
      </c>
      <c r="S318">
        <v>1</v>
      </c>
      <c r="T318" t="str">
        <f>IF(mental_health[Sleep_Hours]&lt;5,"Low",IF(mental_health[Sleep_Hours]&lt;7,"Medium","Good"))</f>
        <v>Good</v>
      </c>
      <c r="U318" t="str">
        <f>IF(mental_health[Stress_Level]&lt;=3,"Low",IF(mental_health[Stress_Level]&lt;=7,"Medium","High"))</f>
        <v>Medium</v>
      </c>
      <c r="V318" t="str">
        <f>IF(mental_health[Daily_Screen_Time]&lt;=4,"Low",IF(mental_health[Daily_Screen_Time]&lt;=8,"Medium","High"))</f>
        <v>Medium</v>
      </c>
    </row>
    <row r="319" spans="1:22" x14ac:dyDescent="0.3">
      <c r="A319">
        <v>318</v>
      </c>
      <c r="B319">
        <v>50</v>
      </c>
      <c r="C319" t="s">
        <v>23</v>
      </c>
      <c r="D319" t="s">
        <v>19</v>
      </c>
      <c r="E319">
        <v>2.2000000000000002</v>
      </c>
      <c r="F319">
        <v>1.7</v>
      </c>
      <c r="G319">
        <v>0</v>
      </c>
      <c r="H319" t="str">
        <f t="shared" si="4"/>
        <v>No Night Usage</v>
      </c>
      <c r="I319">
        <v>6.3</v>
      </c>
      <c r="J319" s="3">
        <v>2</v>
      </c>
      <c r="K319">
        <v>8.4</v>
      </c>
      <c r="L319" t="s">
        <v>25</v>
      </c>
      <c r="M319">
        <v>10</v>
      </c>
      <c r="N319">
        <v>0</v>
      </c>
      <c r="O319">
        <v>0</v>
      </c>
      <c r="P319">
        <v>0</v>
      </c>
      <c r="Q319">
        <v>0</v>
      </c>
      <c r="R319">
        <v>0</v>
      </c>
      <c r="S319">
        <v>1</v>
      </c>
      <c r="T319" t="str">
        <f>IF(mental_health[Sleep_Hours]&lt;5,"Low",IF(mental_health[Sleep_Hours]&lt;7,"Medium","Good"))</f>
        <v>Medium</v>
      </c>
      <c r="U319" t="str">
        <f>IF(mental_health[Stress_Level]&lt;=3,"Low",IF(mental_health[Stress_Level]&lt;=7,"Medium","High"))</f>
        <v>Low</v>
      </c>
      <c r="V319" t="str">
        <f>IF(mental_health[Daily_Screen_Time]&lt;=4,"Low",IF(mental_health[Daily_Screen_Time]&lt;=8,"Medium","High"))</f>
        <v>Low</v>
      </c>
    </row>
    <row r="320" spans="1:22" x14ac:dyDescent="0.3">
      <c r="A320">
        <v>319</v>
      </c>
      <c r="B320">
        <v>32</v>
      </c>
      <c r="C320" t="s">
        <v>18</v>
      </c>
      <c r="D320" t="s">
        <v>22</v>
      </c>
      <c r="E320">
        <v>9.3000000000000007</v>
      </c>
      <c r="F320">
        <v>3.9</v>
      </c>
      <c r="G320">
        <v>0</v>
      </c>
      <c r="H320" t="str">
        <f t="shared" si="4"/>
        <v>No Night Usage</v>
      </c>
      <c r="I320">
        <v>7</v>
      </c>
      <c r="J320" s="3">
        <v>1</v>
      </c>
      <c r="K320">
        <v>6.4</v>
      </c>
      <c r="L320" t="s">
        <v>21</v>
      </c>
      <c r="M320">
        <v>10</v>
      </c>
      <c r="N320">
        <v>4</v>
      </c>
      <c r="O320">
        <v>0</v>
      </c>
      <c r="P320">
        <v>1</v>
      </c>
      <c r="Q320">
        <v>0</v>
      </c>
      <c r="R320">
        <v>1</v>
      </c>
      <c r="S320">
        <v>0</v>
      </c>
      <c r="T320" t="str">
        <f>IF(mental_health[Sleep_Hours]&lt;5,"Low",IF(mental_health[Sleep_Hours]&lt;7,"Medium","Good"))</f>
        <v>Good</v>
      </c>
      <c r="U320" t="str">
        <f>IF(mental_health[Stress_Level]&lt;=3,"Low",IF(mental_health[Stress_Level]&lt;=7,"Medium","High"))</f>
        <v>Low</v>
      </c>
      <c r="V320" t="str">
        <f>IF(mental_health[Daily_Screen_Time]&lt;=4,"Low",IF(mental_health[Daily_Screen_Time]&lt;=8,"Medium","High"))</f>
        <v>High</v>
      </c>
    </row>
    <row r="321" spans="1:22" x14ac:dyDescent="0.3">
      <c r="A321">
        <v>320</v>
      </c>
      <c r="B321">
        <v>59</v>
      </c>
      <c r="C321" t="s">
        <v>23</v>
      </c>
      <c r="D321" t="s">
        <v>19</v>
      </c>
      <c r="E321">
        <v>5.2</v>
      </c>
      <c r="F321">
        <v>7.5</v>
      </c>
      <c r="G321">
        <v>0</v>
      </c>
      <c r="H321" t="str">
        <f t="shared" si="4"/>
        <v>No Night Usage</v>
      </c>
      <c r="I321">
        <v>4.9000000000000004</v>
      </c>
      <c r="J321" s="3">
        <v>5</v>
      </c>
      <c r="K321">
        <v>2.9</v>
      </c>
      <c r="L321" t="s">
        <v>21</v>
      </c>
      <c r="M321">
        <v>7</v>
      </c>
      <c r="N321">
        <v>0</v>
      </c>
      <c r="O321">
        <v>1</v>
      </c>
      <c r="P321">
        <v>1</v>
      </c>
      <c r="Q321">
        <v>1</v>
      </c>
      <c r="R321">
        <v>0</v>
      </c>
      <c r="S321">
        <v>1</v>
      </c>
      <c r="T321" t="str">
        <f>IF(mental_health[Sleep_Hours]&lt;5,"Low",IF(mental_health[Sleep_Hours]&lt;7,"Medium","Good"))</f>
        <v>Low</v>
      </c>
      <c r="U321" t="str">
        <f>IF(mental_health[Stress_Level]&lt;=3,"Low",IF(mental_health[Stress_Level]&lt;=7,"Medium","High"))</f>
        <v>Medium</v>
      </c>
      <c r="V321" t="str">
        <f>IF(mental_health[Daily_Screen_Time]&lt;=4,"Low",IF(mental_health[Daily_Screen_Time]&lt;=8,"Medium","High"))</f>
        <v>Medium</v>
      </c>
    </row>
    <row r="322" spans="1:22" x14ac:dyDescent="0.3">
      <c r="A322">
        <v>321</v>
      </c>
      <c r="B322">
        <v>43</v>
      </c>
      <c r="C322" t="s">
        <v>23</v>
      </c>
      <c r="D322" t="s">
        <v>24</v>
      </c>
      <c r="E322">
        <v>8.6999999999999993</v>
      </c>
      <c r="F322">
        <v>5.5</v>
      </c>
      <c r="G322">
        <v>1</v>
      </c>
      <c r="H322" t="str">
        <f t="shared" ref="H322:H385" si="5">IF(G322=1,"Night Usage","No Night Usage")</f>
        <v>Night Usage</v>
      </c>
      <c r="I322">
        <v>5.9</v>
      </c>
      <c r="J322" s="3">
        <v>4</v>
      </c>
      <c r="K322">
        <v>11.2</v>
      </c>
      <c r="L322" t="s">
        <v>25</v>
      </c>
      <c r="M322">
        <v>3</v>
      </c>
      <c r="N322">
        <v>0</v>
      </c>
      <c r="O322">
        <v>1</v>
      </c>
      <c r="P322">
        <v>0</v>
      </c>
      <c r="Q322">
        <v>1</v>
      </c>
      <c r="R322">
        <v>1</v>
      </c>
      <c r="S322">
        <v>0</v>
      </c>
      <c r="T322" t="str">
        <f>IF(mental_health[Sleep_Hours]&lt;5,"Low",IF(mental_health[Sleep_Hours]&lt;7,"Medium","Good"))</f>
        <v>Medium</v>
      </c>
      <c r="U322" t="str">
        <f>IF(mental_health[Stress_Level]&lt;=3,"Low",IF(mental_health[Stress_Level]&lt;=7,"Medium","High"))</f>
        <v>Medium</v>
      </c>
      <c r="V322" t="str">
        <f>IF(mental_health[Daily_Screen_Time]&lt;=4,"Low",IF(mental_health[Daily_Screen_Time]&lt;=8,"Medium","High"))</f>
        <v>High</v>
      </c>
    </row>
    <row r="323" spans="1:22" x14ac:dyDescent="0.3">
      <c r="A323">
        <v>322</v>
      </c>
      <c r="B323">
        <v>45</v>
      </c>
      <c r="C323" t="s">
        <v>23</v>
      </c>
      <c r="D323" t="s">
        <v>19</v>
      </c>
      <c r="E323">
        <v>7.6</v>
      </c>
      <c r="F323">
        <v>6.6</v>
      </c>
      <c r="G323">
        <v>0</v>
      </c>
      <c r="H323" t="str">
        <f t="shared" si="5"/>
        <v>No Night Usage</v>
      </c>
      <c r="I323">
        <v>6.7</v>
      </c>
      <c r="J323" s="3">
        <v>3</v>
      </c>
      <c r="K323">
        <v>9.8000000000000007</v>
      </c>
      <c r="L323" t="s">
        <v>25</v>
      </c>
      <c r="M323">
        <v>1</v>
      </c>
      <c r="N323">
        <v>3</v>
      </c>
      <c r="O323">
        <v>1</v>
      </c>
      <c r="P323">
        <v>0</v>
      </c>
      <c r="Q323">
        <v>0</v>
      </c>
      <c r="R323">
        <v>0</v>
      </c>
      <c r="S323">
        <v>1</v>
      </c>
      <c r="T323" t="str">
        <f>IF(mental_health[Sleep_Hours]&lt;5,"Low",IF(mental_health[Sleep_Hours]&lt;7,"Medium","Good"))</f>
        <v>Medium</v>
      </c>
      <c r="U323" t="str">
        <f>IF(mental_health[Stress_Level]&lt;=3,"Low",IF(mental_health[Stress_Level]&lt;=7,"Medium","High"))</f>
        <v>Low</v>
      </c>
      <c r="V323" t="str">
        <f>IF(mental_health[Daily_Screen_Time]&lt;=4,"Low",IF(mental_health[Daily_Screen_Time]&lt;=8,"Medium","High"))</f>
        <v>Medium</v>
      </c>
    </row>
    <row r="324" spans="1:22" x14ac:dyDescent="0.3">
      <c r="A324">
        <v>323</v>
      </c>
      <c r="B324">
        <v>44</v>
      </c>
      <c r="C324" t="s">
        <v>23</v>
      </c>
      <c r="D324" t="s">
        <v>22</v>
      </c>
      <c r="E324">
        <v>5.4</v>
      </c>
      <c r="F324">
        <v>4.3</v>
      </c>
      <c r="G324">
        <v>0</v>
      </c>
      <c r="H324" t="str">
        <f t="shared" si="5"/>
        <v>No Night Usage</v>
      </c>
      <c r="I324">
        <v>5.4</v>
      </c>
      <c r="J324" s="3">
        <v>2</v>
      </c>
      <c r="K324">
        <v>2.6</v>
      </c>
      <c r="L324" t="s">
        <v>21</v>
      </c>
      <c r="M324">
        <v>3</v>
      </c>
      <c r="N324">
        <v>4</v>
      </c>
      <c r="O324">
        <v>1</v>
      </c>
      <c r="P324">
        <v>1</v>
      </c>
      <c r="Q324">
        <v>1</v>
      </c>
      <c r="R324">
        <v>1</v>
      </c>
      <c r="S324">
        <v>0</v>
      </c>
      <c r="T324" t="str">
        <f>IF(mental_health[Sleep_Hours]&lt;5,"Low",IF(mental_health[Sleep_Hours]&lt;7,"Medium","Good"))</f>
        <v>Medium</v>
      </c>
      <c r="U324" t="str">
        <f>IF(mental_health[Stress_Level]&lt;=3,"Low",IF(mental_health[Stress_Level]&lt;=7,"Medium","High"))</f>
        <v>Low</v>
      </c>
      <c r="V324" t="str">
        <f>IF(mental_health[Daily_Screen_Time]&lt;=4,"Low",IF(mental_health[Daily_Screen_Time]&lt;=8,"Medium","High"))</f>
        <v>Medium</v>
      </c>
    </row>
    <row r="325" spans="1:22" x14ac:dyDescent="0.3">
      <c r="A325">
        <v>324</v>
      </c>
      <c r="B325">
        <v>21</v>
      </c>
      <c r="C325" t="s">
        <v>18</v>
      </c>
      <c r="D325" t="s">
        <v>22</v>
      </c>
      <c r="E325">
        <v>3.3</v>
      </c>
      <c r="F325">
        <v>3.5</v>
      </c>
      <c r="G325">
        <v>1</v>
      </c>
      <c r="H325" t="str">
        <f t="shared" si="5"/>
        <v>Night Usage</v>
      </c>
      <c r="I325">
        <v>4.2</v>
      </c>
      <c r="J325" s="3">
        <v>10</v>
      </c>
      <c r="K325">
        <v>7.3</v>
      </c>
      <c r="L325" t="s">
        <v>25</v>
      </c>
      <c r="M325">
        <v>9</v>
      </c>
      <c r="N325">
        <v>1</v>
      </c>
      <c r="O325">
        <v>0</v>
      </c>
      <c r="P325">
        <v>0</v>
      </c>
      <c r="Q325">
        <v>1</v>
      </c>
      <c r="R325">
        <v>1</v>
      </c>
      <c r="S325">
        <v>1</v>
      </c>
      <c r="T325" t="str">
        <f>IF(mental_health[Sleep_Hours]&lt;5,"Low",IF(mental_health[Sleep_Hours]&lt;7,"Medium","Good"))</f>
        <v>Low</v>
      </c>
      <c r="U325" t="str">
        <f>IF(mental_health[Stress_Level]&lt;=3,"Low",IF(mental_health[Stress_Level]&lt;=7,"Medium","High"))</f>
        <v>High</v>
      </c>
      <c r="V325" t="str">
        <f>IF(mental_health[Daily_Screen_Time]&lt;=4,"Low",IF(mental_health[Daily_Screen_Time]&lt;=8,"Medium","High"))</f>
        <v>Low</v>
      </c>
    </row>
    <row r="326" spans="1:22" x14ac:dyDescent="0.3">
      <c r="A326">
        <v>325</v>
      </c>
      <c r="B326">
        <v>50</v>
      </c>
      <c r="C326" t="s">
        <v>18</v>
      </c>
      <c r="D326" t="s">
        <v>22</v>
      </c>
      <c r="E326">
        <v>2.9</v>
      </c>
      <c r="F326">
        <v>1.8</v>
      </c>
      <c r="G326">
        <v>0</v>
      </c>
      <c r="H326" t="str">
        <f t="shared" si="5"/>
        <v>No Night Usage</v>
      </c>
      <c r="I326">
        <v>8.8000000000000007</v>
      </c>
      <c r="J326" s="3">
        <v>2</v>
      </c>
      <c r="K326">
        <v>2.8</v>
      </c>
      <c r="L326" t="s">
        <v>20</v>
      </c>
      <c r="M326">
        <v>5</v>
      </c>
      <c r="N326">
        <v>0</v>
      </c>
      <c r="O326">
        <v>0</v>
      </c>
      <c r="P326">
        <v>0</v>
      </c>
      <c r="Q326">
        <v>1</v>
      </c>
      <c r="R326">
        <v>0</v>
      </c>
      <c r="S326">
        <v>0</v>
      </c>
      <c r="T326" t="str">
        <f>IF(mental_health[Sleep_Hours]&lt;5,"Low",IF(mental_health[Sleep_Hours]&lt;7,"Medium","Good"))</f>
        <v>Good</v>
      </c>
      <c r="U326" t="str">
        <f>IF(mental_health[Stress_Level]&lt;=3,"Low",IF(mental_health[Stress_Level]&lt;=7,"Medium","High"))</f>
        <v>Low</v>
      </c>
      <c r="V326" t="str">
        <f>IF(mental_health[Daily_Screen_Time]&lt;=4,"Low",IF(mental_health[Daily_Screen_Time]&lt;=8,"Medium","High"))</f>
        <v>Low</v>
      </c>
    </row>
    <row r="327" spans="1:22" x14ac:dyDescent="0.3">
      <c r="A327">
        <v>326</v>
      </c>
      <c r="B327">
        <v>56</v>
      </c>
      <c r="C327" t="s">
        <v>23</v>
      </c>
      <c r="D327" t="s">
        <v>19</v>
      </c>
      <c r="E327">
        <v>10.3</v>
      </c>
      <c r="F327">
        <v>7.1</v>
      </c>
      <c r="G327">
        <v>0</v>
      </c>
      <c r="H327" t="str">
        <f t="shared" si="5"/>
        <v>No Night Usage</v>
      </c>
      <c r="I327">
        <v>6.1</v>
      </c>
      <c r="J327" s="3">
        <v>4</v>
      </c>
      <c r="K327">
        <v>10.4</v>
      </c>
      <c r="L327" t="s">
        <v>21</v>
      </c>
      <c r="M327">
        <v>7</v>
      </c>
      <c r="N327">
        <v>4</v>
      </c>
      <c r="O327">
        <v>0</v>
      </c>
      <c r="P327">
        <v>1</v>
      </c>
      <c r="Q327">
        <v>0</v>
      </c>
      <c r="R327">
        <v>0</v>
      </c>
      <c r="S327">
        <v>0</v>
      </c>
      <c r="T327" t="str">
        <f>IF(mental_health[Sleep_Hours]&lt;5,"Low",IF(mental_health[Sleep_Hours]&lt;7,"Medium","Good"))</f>
        <v>Medium</v>
      </c>
      <c r="U327" t="str">
        <f>IF(mental_health[Stress_Level]&lt;=3,"Low",IF(mental_health[Stress_Level]&lt;=7,"Medium","High"))</f>
        <v>Medium</v>
      </c>
      <c r="V327" t="str">
        <f>IF(mental_health[Daily_Screen_Time]&lt;=4,"Low",IF(mental_health[Daily_Screen_Time]&lt;=8,"Medium","High"))</f>
        <v>High</v>
      </c>
    </row>
    <row r="328" spans="1:22" x14ac:dyDescent="0.3">
      <c r="A328">
        <v>327</v>
      </c>
      <c r="B328">
        <v>52</v>
      </c>
      <c r="C328" t="s">
        <v>18</v>
      </c>
      <c r="D328" t="s">
        <v>24</v>
      </c>
      <c r="E328">
        <v>11.2</v>
      </c>
      <c r="F328">
        <v>6.5</v>
      </c>
      <c r="G328">
        <v>0</v>
      </c>
      <c r="H328" t="str">
        <f t="shared" si="5"/>
        <v>No Night Usage</v>
      </c>
      <c r="I328">
        <v>7.4</v>
      </c>
      <c r="J328" s="3">
        <v>2</v>
      </c>
      <c r="K328">
        <v>8.1</v>
      </c>
      <c r="L328" t="s">
        <v>21</v>
      </c>
      <c r="M328">
        <v>3</v>
      </c>
      <c r="N328">
        <v>0</v>
      </c>
      <c r="O328">
        <v>1</v>
      </c>
      <c r="P328">
        <v>0</v>
      </c>
      <c r="Q328">
        <v>0</v>
      </c>
      <c r="R328">
        <v>0</v>
      </c>
      <c r="S328">
        <v>0</v>
      </c>
      <c r="T328" t="str">
        <f>IF(mental_health[Sleep_Hours]&lt;5,"Low",IF(mental_health[Sleep_Hours]&lt;7,"Medium","Good"))</f>
        <v>Good</v>
      </c>
      <c r="U328" t="str">
        <f>IF(mental_health[Stress_Level]&lt;=3,"Low",IF(mental_health[Stress_Level]&lt;=7,"Medium","High"))</f>
        <v>Low</v>
      </c>
      <c r="V328" t="str">
        <f>IF(mental_health[Daily_Screen_Time]&lt;=4,"Low",IF(mental_health[Daily_Screen_Time]&lt;=8,"Medium","High"))</f>
        <v>High</v>
      </c>
    </row>
    <row r="329" spans="1:22" x14ac:dyDescent="0.3">
      <c r="A329">
        <v>328</v>
      </c>
      <c r="B329">
        <v>39</v>
      </c>
      <c r="C329" t="s">
        <v>23</v>
      </c>
      <c r="D329" t="s">
        <v>24</v>
      </c>
      <c r="E329">
        <v>8.5</v>
      </c>
      <c r="F329">
        <v>2.2000000000000002</v>
      </c>
      <c r="G329">
        <v>0</v>
      </c>
      <c r="H329" t="str">
        <f t="shared" si="5"/>
        <v>No Night Usage</v>
      </c>
      <c r="I329">
        <v>5.5</v>
      </c>
      <c r="J329" s="3">
        <v>4</v>
      </c>
      <c r="K329">
        <v>3.7</v>
      </c>
      <c r="L329" t="s">
        <v>25</v>
      </c>
      <c r="M329">
        <v>4</v>
      </c>
      <c r="N329">
        <v>3</v>
      </c>
      <c r="O329">
        <v>1</v>
      </c>
      <c r="P329">
        <v>1</v>
      </c>
      <c r="Q329">
        <v>0</v>
      </c>
      <c r="R329">
        <v>0</v>
      </c>
      <c r="S329">
        <v>0</v>
      </c>
      <c r="T329" t="str">
        <f>IF(mental_health[Sleep_Hours]&lt;5,"Low",IF(mental_health[Sleep_Hours]&lt;7,"Medium","Good"))</f>
        <v>Medium</v>
      </c>
      <c r="U329" t="str">
        <f>IF(mental_health[Stress_Level]&lt;=3,"Low",IF(mental_health[Stress_Level]&lt;=7,"Medium","High"))</f>
        <v>Medium</v>
      </c>
      <c r="V329" t="str">
        <f>IF(mental_health[Daily_Screen_Time]&lt;=4,"Low",IF(mental_health[Daily_Screen_Time]&lt;=8,"Medium","High"))</f>
        <v>High</v>
      </c>
    </row>
    <row r="330" spans="1:22" x14ac:dyDescent="0.3">
      <c r="A330">
        <v>329</v>
      </c>
      <c r="B330">
        <v>44</v>
      </c>
      <c r="C330" t="s">
        <v>23</v>
      </c>
      <c r="D330" t="s">
        <v>19</v>
      </c>
      <c r="E330">
        <v>3</v>
      </c>
      <c r="F330">
        <v>4.5999999999999996</v>
      </c>
      <c r="G330">
        <v>0</v>
      </c>
      <c r="H330" t="str">
        <f t="shared" si="5"/>
        <v>No Night Usage</v>
      </c>
      <c r="I330">
        <v>5.0999999999999996</v>
      </c>
      <c r="J330" s="3">
        <v>3</v>
      </c>
      <c r="K330">
        <v>2.2000000000000002</v>
      </c>
      <c r="L330" t="s">
        <v>20</v>
      </c>
      <c r="M330">
        <v>1</v>
      </c>
      <c r="N330">
        <v>3</v>
      </c>
      <c r="O330">
        <v>1</v>
      </c>
      <c r="P330">
        <v>1</v>
      </c>
      <c r="Q330">
        <v>0</v>
      </c>
      <c r="R330">
        <v>0</v>
      </c>
      <c r="S330">
        <v>0</v>
      </c>
      <c r="T330" t="str">
        <f>IF(mental_health[Sleep_Hours]&lt;5,"Low",IF(mental_health[Sleep_Hours]&lt;7,"Medium","Good"))</f>
        <v>Medium</v>
      </c>
      <c r="U330" t="str">
        <f>IF(mental_health[Stress_Level]&lt;=3,"Low",IF(mental_health[Stress_Level]&lt;=7,"Medium","High"))</f>
        <v>Low</v>
      </c>
      <c r="V330" t="str">
        <f>IF(mental_health[Daily_Screen_Time]&lt;=4,"Low",IF(mental_health[Daily_Screen_Time]&lt;=8,"Medium","High"))</f>
        <v>Low</v>
      </c>
    </row>
    <row r="331" spans="1:22" x14ac:dyDescent="0.3">
      <c r="A331">
        <v>330</v>
      </c>
      <c r="B331">
        <v>46</v>
      </c>
      <c r="C331" t="s">
        <v>23</v>
      </c>
      <c r="D331" t="s">
        <v>22</v>
      </c>
      <c r="E331">
        <v>6</v>
      </c>
      <c r="F331">
        <v>4.4000000000000004</v>
      </c>
      <c r="G331">
        <v>0</v>
      </c>
      <c r="H331" t="str">
        <f t="shared" si="5"/>
        <v>No Night Usage</v>
      </c>
      <c r="I331">
        <v>5.4</v>
      </c>
      <c r="J331" s="3">
        <v>9</v>
      </c>
      <c r="K331">
        <v>2.2999999999999998</v>
      </c>
      <c r="L331" t="s">
        <v>25</v>
      </c>
      <c r="M331">
        <v>3</v>
      </c>
      <c r="N331">
        <v>1</v>
      </c>
      <c r="O331">
        <v>0</v>
      </c>
      <c r="P331">
        <v>1</v>
      </c>
      <c r="Q331">
        <v>1</v>
      </c>
      <c r="R331">
        <v>0</v>
      </c>
      <c r="S331">
        <v>1</v>
      </c>
      <c r="T331" t="str">
        <f>IF(mental_health[Sleep_Hours]&lt;5,"Low",IF(mental_health[Sleep_Hours]&lt;7,"Medium","Good"))</f>
        <v>Medium</v>
      </c>
      <c r="U331" t="str">
        <f>IF(mental_health[Stress_Level]&lt;=3,"Low",IF(mental_health[Stress_Level]&lt;=7,"Medium","High"))</f>
        <v>High</v>
      </c>
      <c r="V331" t="str">
        <f>IF(mental_health[Daily_Screen_Time]&lt;=4,"Low",IF(mental_health[Daily_Screen_Time]&lt;=8,"Medium","High"))</f>
        <v>Medium</v>
      </c>
    </row>
    <row r="332" spans="1:22" x14ac:dyDescent="0.3">
      <c r="A332">
        <v>331</v>
      </c>
      <c r="B332">
        <v>50</v>
      </c>
      <c r="C332" t="s">
        <v>23</v>
      </c>
      <c r="D332" t="s">
        <v>24</v>
      </c>
      <c r="E332">
        <v>9.3000000000000007</v>
      </c>
      <c r="F332">
        <v>5.4</v>
      </c>
      <c r="G332">
        <v>1</v>
      </c>
      <c r="H332" t="str">
        <f t="shared" si="5"/>
        <v>Night Usage</v>
      </c>
      <c r="I332">
        <v>5.5</v>
      </c>
      <c r="J332" s="3">
        <v>7</v>
      </c>
      <c r="K332">
        <v>7.1</v>
      </c>
      <c r="L332" t="s">
        <v>20</v>
      </c>
      <c r="M332">
        <v>7</v>
      </c>
      <c r="N332">
        <v>3</v>
      </c>
      <c r="O332">
        <v>0</v>
      </c>
      <c r="P332">
        <v>1</v>
      </c>
      <c r="Q332">
        <v>1</v>
      </c>
      <c r="R332">
        <v>1</v>
      </c>
      <c r="S332">
        <v>0</v>
      </c>
      <c r="T332" t="str">
        <f>IF(mental_health[Sleep_Hours]&lt;5,"Low",IF(mental_health[Sleep_Hours]&lt;7,"Medium","Good"))</f>
        <v>Medium</v>
      </c>
      <c r="U332" t="str">
        <f>IF(mental_health[Stress_Level]&lt;=3,"Low",IF(mental_health[Stress_Level]&lt;=7,"Medium","High"))</f>
        <v>Medium</v>
      </c>
      <c r="V332" t="str">
        <f>IF(mental_health[Daily_Screen_Time]&lt;=4,"Low",IF(mental_health[Daily_Screen_Time]&lt;=8,"Medium","High"))</f>
        <v>High</v>
      </c>
    </row>
    <row r="333" spans="1:22" x14ac:dyDescent="0.3">
      <c r="A333">
        <v>332</v>
      </c>
      <c r="B333">
        <v>48</v>
      </c>
      <c r="C333" t="s">
        <v>23</v>
      </c>
      <c r="D333" t="s">
        <v>22</v>
      </c>
      <c r="E333">
        <v>9.8000000000000007</v>
      </c>
      <c r="F333">
        <v>7.6</v>
      </c>
      <c r="G333">
        <v>1</v>
      </c>
      <c r="H333" t="str">
        <f t="shared" si="5"/>
        <v>Night Usage</v>
      </c>
      <c r="I333">
        <v>6.3</v>
      </c>
      <c r="J333" s="3">
        <v>3</v>
      </c>
      <c r="K333">
        <v>9.3000000000000007</v>
      </c>
      <c r="L333" t="s">
        <v>20</v>
      </c>
      <c r="M333">
        <v>4</v>
      </c>
      <c r="N333">
        <v>4</v>
      </c>
      <c r="O333">
        <v>0</v>
      </c>
      <c r="P333">
        <v>0</v>
      </c>
      <c r="Q333">
        <v>1</v>
      </c>
      <c r="R333">
        <v>1</v>
      </c>
      <c r="S333">
        <v>1</v>
      </c>
      <c r="T333" t="str">
        <f>IF(mental_health[Sleep_Hours]&lt;5,"Low",IF(mental_health[Sleep_Hours]&lt;7,"Medium","Good"))</f>
        <v>Medium</v>
      </c>
      <c r="U333" t="str">
        <f>IF(mental_health[Stress_Level]&lt;=3,"Low",IF(mental_health[Stress_Level]&lt;=7,"Medium","High"))</f>
        <v>Low</v>
      </c>
      <c r="V333" t="str">
        <f>IF(mental_health[Daily_Screen_Time]&lt;=4,"Low",IF(mental_health[Daily_Screen_Time]&lt;=8,"Medium","High"))</f>
        <v>High</v>
      </c>
    </row>
    <row r="334" spans="1:22" x14ac:dyDescent="0.3">
      <c r="A334">
        <v>333</v>
      </c>
      <c r="B334">
        <v>36</v>
      </c>
      <c r="C334" t="s">
        <v>18</v>
      </c>
      <c r="D334" t="s">
        <v>19</v>
      </c>
      <c r="E334">
        <v>3.2</v>
      </c>
      <c r="F334">
        <v>5.0999999999999996</v>
      </c>
      <c r="G334">
        <v>1</v>
      </c>
      <c r="H334" t="str">
        <f t="shared" si="5"/>
        <v>Night Usage</v>
      </c>
      <c r="I334">
        <v>6.3</v>
      </c>
      <c r="J334" s="3">
        <v>8</v>
      </c>
      <c r="K334">
        <v>3.2</v>
      </c>
      <c r="L334" t="s">
        <v>21</v>
      </c>
      <c r="M334">
        <v>2</v>
      </c>
      <c r="N334">
        <v>3</v>
      </c>
      <c r="O334">
        <v>1</v>
      </c>
      <c r="P334">
        <v>1</v>
      </c>
      <c r="Q334">
        <v>0</v>
      </c>
      <c r="R334">
        <v>1</v>
      </c>
      <c r="S334">
        <v>0</v>
      </c>
      <c r="T334" t="str">
        <f>IF(mental_health[Sleep_Hours]&lt;5,"Low",IF(mental_health[Sleep_Hours]&lt;7,"Medium","Good"))</f>
        <v>Medium</v>
      </c>
      <c r="U334" t="str">
        <f>IF(mental_health[Stress_Level]&lt;=3,"Low",IF(mental_health[Stress_Level]&lt;=7,"Medium","High"))</f>
        <v>High</v>
      </c>
      <c r="V334" t="str">
        <f>IF(mental_health[Daily_Screen_Time]&lt;=4,"Low",IF(mental_health[Daily_Screen_Time]&lt;=8,"Medium","High"))</f>
        <v>Low</v>
      </c>
    </row>
    <row r="335" spans="1:22" x14ac:dyDescent="0.3">
      <c r="A335">
        <v>334</v>
      </c>
      <c r="B335">
        <v>47</v>
      </c>
      <c r="C335" t="s">
        <v>23</v>
      </c>
      <c r="D335" t="s">
        <v>22</v>
      </c>
      <c r="E335">
        <v>2</v>
      </c>
      <c r="F335">
        <v>4.8</v>
      </c>
      <c r="G335">
        <v>1</v>
      </c>
      <c r="H335" t="str">
        <f t="shared" si="5"/>
        <v>Night Usage</v>
      </c>
      <c r="I335">
        <v>6</v>
      </c>
      <c r="J335" s="3">
        <v>9</v>
      </c>
      <c r="K335">
        <v>4.2</v>
      </c>
      <c r="L335" t="s">
        <v>20</v>
      </c>
      <c r="M335">
        <v>5</v>
      </c>
      <c r="N335">
        <v>1</v>
      </c>
      <c r="O335">
        <v>0</v>
      </c>
      <c r="P335">
        <v>0</v>
      </c>
      <c r="Q335">
        <v>0</v>
      </c>
      <c r="R335">
        <v>0</v>
      </c>
      <c r="S335">
        <v>0</v>
      </c>
      <c r="T335" t="str">
        <f>IF(mental_health[Sleep_Hours]&lt;5,"Low",IF(mental_health[Sleep_Hours]&lt;7,"Medium","Good"))</f>
        <v>Medium</v>
      </c>
      <c r="U335" t="str">
        <f>IF(mental_health[Stress_Level]&lt;=3,"Low",IF(mental_health[Stress_Level]&lt;=7,"Medium","High"))</f>
        <v>High</v>
      </c>
      <c r="V335" t="str">
        <f>IF(mental_health[Daily_Screen_Time]&lt;=4,"Low",IF(mental_health[Daily_Screen_Time]&lt;=8,"Medium","High"))</f>
        <v>Low</v>
      </c>
    </row>
    <row r="336" spans="1:22" x14ac:dyDescent="0.3">
      <c r="A336">
        <v>335</v>
      </c>
      <c r="B336">
        <v>38</v>
      </c>
      <c r="C336" t="s">
        <v>18</v>
      </c>
      <c r="D336" t="s">
        <v>24</v>
      </c>
      <c r="E336">
        <v>9.1</v>
      </c>
      <c r="F336">
        <v>1.4</v>
      </c>
      <c r="G336">
        <v>1</v>
      </c>
      <c r="H336" t="str">
        <f t="shared" si="5"/>
        <v>Night Usage</v>
      </c>
      <c r="I336">
        <v>3.8</v>
      </c>
      <c r="J336" s="3">
        <v>7</v>
      </c>
      <c r="K336">
        <v>5.3</v>
      </c>
      <c r="L336" t="s">
        <v>21</v>
      </c>
      <c r="M336">
        <v>5</v>
      </c>
      <c r="N336">
        <v>2</v>
      </c>
      <c r="O336">
        <v>0</v>
      </c>
      <c r="P336">
        <v>0</v>
      </c>
      <c r="Q336">
        <v>0</v>
      </c>
      <c r="R336">
        <v>0</v>
      </c>
      <c r="S336">
        <v>0</v>
      </c>
      <c r="T336" t="str">
        <f>IF(mental_health[Sleep_Hours]&lt;5,"Low",IF(mental_health[Sleep_Hours]&lt;7,"Medium","Good"))</f>
        <v>Low</v>
      </c>
      <c r="U336" t="str">
        <f>IF(mental_health[Stress_Level]&lt;=3,"Low",IF(mental_health[Stress_Level]&lt;=7,"Medium","High"))</f>
        <v>Medium</v>
      </c>
      <c r="V336" t="str">
        <f>IF(mental_health[Daily_Screen_Time]&lt;=4,"Low",IF(mental_health[Daily_Screen_Time]&lt;=8,"Medium","High"))</f>
        <v>High</v>
      </c>
    </row>
    <row r="337" spans="1:22" x14ac:dyDescent="0.3">
      <c r="A337">
        <v>336</v>
      </c>
      <c r="B337">
        <v>48</v>
      </c>
      <c r="C337" t="s">
        <v>18</v>
      </c>
      <c r="D337" t="s">
        <v>24</v>
      </c>
      <c r="E337">
        <v>5.6</v>
      </c>
      <c r="F337">
        <v>1.4</v>
      </c>
      <c r="G337">
        <v>0</v>
      </c>
      <c r="H337" t="str">
        <f t="shared" si="5"/>
        <v>No Night Usage</v>
      </c>
      <c r="I337">
        <v>6</v>
      </c>
      <c r="J337" s="3">
        <v>6</v>
      </c>
      <c r="K337">
        <v>4.2</v>
      </c>
      <c r="L337" t="s">
        <v>20</v>
      </c>
      <c r="M337">
        <v>2</v>
      </c>
      <c r="N337">
        <v>0</v>
      </c>
      <c r="O337">
        <v>1</v>
      </c>
      <c r="P337">
        <v>1</v>
      </c>
      <c r="Q337">
        <v>1</v>
      </c>
      <c r="R337">
        <v>1</v>
      </c>
      <c r="S337">
        <v>1</v>
      </c>
      <c r="T337" t="str">
        <f>IF(mental_health[Sleep_Hours]&lt;5,"Low",IF(mental_health[Sleep_Hours]&lt;7,"Medium","Good"))</f>
        <v>Medium</v>
      </c>
      <c r="U337" t="str">
        <f>IF(mental_health[Stress_Level]&lt;=3,"Low",IF(mental_health[Stress_Level]&lt;=7,"Medium","High"))</f>
        <v>Medium</v>
      </c>
      <c r="V337" t="str">
        <f>IF(mental_health[Daily_Screen_Time]&lt;=4,"Low",IF(mental_health[Daily_Screen_Time]&lt;=8,"Medium","High"))</f>
        <v>Medium</v>
      </c>
    </row>
    <row r="338" spans="1:22" x14ac:dyDescent="0.3">
      <c r="A338">
        <v>337</v>
      </c>
      <c r="B338">
        <v>18</v>
      </c>
      <c r="C338" t="s">
        <v>23</v>
      </c>
      <c r="D338" t="s">
        <v>22</v>
      </c>
      <c r="E338">
        <v>4.5</v>
      </c>
      <c r="F338">
        <v>2.2999999999999998</v>
      </c>
      <c r="G338">
        <v>0</v>
      </c>
      <c r="H338" t="str">
        <f t="shared" si="5"/>
        <v>No Night Usage</v>
      </c>
      <c r="I338">
        <v>4</v>
      </c>
      <c r="J338" s="3">
        <v>4</v>
      </c>
      <c r="K338">
        <v>5.9</v>
      </c>
      <c r="L338" t="s">
        <v>21</v>
      </c>
      <c r="M338">
        <v>6</v>
      </c>
      <c r="N338">
        <v>0</v>
      </c>
      <c r="O338">
        <v>0</v>
      </c>
      <c r="P338">
        <v>1</v>
      </c>
      <c r="Q338">
        <v>0</v>
      </c>
      <c r="R338">
        <v>0</v>
      </c>
      <c r="S338">
        <v>0</v>
      </c>
      <c r="T338" t="str">
        <f>IF(mental_health[Sleep_Hours]&lt;5,"Low",IF(mental_health[Sleep_Hours]&lt;7,"Medium","Good"))</f>
        <v>Low</v>
      </c>
      <c r="U338" t="str">
        <f>IF(mental_health[Stress_Level]&lt;=3,"Low",IF(mental_health[Stress_Level]&lt;=7,"Medium","High"))</f>
        <v>Medium</v>
      </c>
      <c r="V338" t="str">
        <f>IF(mental_health[Daily_Screen_Time]&lt;=4,"Low",IF(mental_health[Daily_Screen_Time]&lt;=8,"Medium","High"))</f>
        <v>Medium</v>
      </c>
    </row>
    <row r="339" spans="1:22" x14ac:dyDescent="0.3">
      <c r="A339">
        <v>338</v>
      </c>
      <c r="B339">
        <v>33</v>
      </c>
      <c r="C339" t="s">
        <v>23</v>
      </c>
      <c r="D339" t="s">
        <v>19</v>
      </c>
      <c r="E339">
        <v>2.1</v>
      </c>
      <c r="F339">
        <v>1.2</v>
      </c>
      <c r="G339">
        <v>0</v>
      </c>
      <c r="H339" t="str">
        <f t="shared" si="5"/>
        <v>No Night Usage</v>
      </c>
      <c r="I339">
        <v>3.8</v>
      </c>
      <c r="J339" s="3">
        <v>5</v>
      </c>
      <c r="K339">
        <v>7.6</v>
      </c>
      <c r="L339" t="s">
        <v>20</v>
      </c>
      <c r="M339">
        <v>10</v>
      </c>
      <c r="N339">
        <v>4</v>
      </c>
      <c r="O339">
        <v>1</v>
      </c>
      <c r="P339">
        <v>0</v>
      </c>
      <c r="Q339">
        <v>0</v>
      </c>
      <c r="R339">
        <v>0</v>
      </c>
      <c r="S339">
        <v>0</v>
      </c>
      <c r="T339" t="str">
        <f>IF(mental_health[Sleep_Hours]&lt;5,"Low",IF(mental_health[Sleep_Hours]&lt;7,"Medium","Good"))</f>
        <v>Low</v>
      </c>
      <c r="U339" t="str">
        <f>IF(mental_health[Stress_Level]&lt;=3,"Low",IF(mental_health[Stress_Level]&lt;=7,"Medium","High"))</f>
        <v>Medium</v>
      </c>
      <c r="V339" t="str">
        <f>IF(mental_health[Daily_Screen_Time]&lt;=4,"Low",IF(mental_health[Daily_Screen_Time]&lt;=8,"Medium","High"))</f>
        <v>Low</v>
      </c>
    </row>
    <row r="340" spans="1:22" x14ac:dyDescent="0.3">
      <c r="A340">
        <v>339</v>
      </c>
      <c r="B340">
        <v>40</v>
      </c>
      <c r="C340" t="s">
        <v>23</v>
      </c>
      <c r="D340" t="s">
        <v>22</v>
      </c>
      <c r="E340">
        <v>7.4</v>
      </c>
      <c r="F340">
        <v>6.2</v>
      </c>
      <c r="G340">
        <v>0</v>
      </c>
      <c r="H340" t="str">
        <f t="shared" si="5"/>
        <v>No Night Usage</v>
      </c>
      <c r="I340">
        <v>8.6</v>
      </c>
      <c r="J340" s="3">
        <v>8</v>
      </c>
      <c r="K340">
        <v>8.8000000000000007</v>
      </c>
      <c r="L340" t="s">
        <v>25</v>
      </c>
      <c r="M340">
        <v>4</v>
      </c>
      <c r="N340">
        <v>1</v>
      </c>
      <c r="O340">
        <v>1</v>
      </c>
      <c r="P340">
        <v>1</v>
      </c>
      <c r="Q340">
        <v>1</v>
      </c>
      <c r="R340">
        <v>1</v>
      </c>
      <c r="S340">
        <v>0</v>
      </c>
      <c r="T340" t="str">
        <f>IF(mental_health[Sleep_Hours]&lt;5,"Low",IF(mental_health[Sleep_Hours]&lt;7,"Medium","Good"))</f>
        <v>Good</v>
      </c>
      <c r="U340" t="str">
        <f>IF(mental_health[Stress_Level]&lt;=3,"Low",IF(mental_health[Stress_Level]&lt;=7,"Medium","High"))</f>
        <v>High</v>
      </c>
      <c r="V340" t="str">
        <f>IF(mental_health[Daily_Screen_Time]&lt;=4,"Low",IF(mental_health[Daily_Screen_Time]&lt;=8,"Medium","High"))</f>
        <v>Medium</v>
      </c>
    </row>
    <row r="341" spans="1:22" x14ac:dyDescent="0.3">
      <c r="A341">
        <v>340</v>
      </c>
      <c r="B341">
        <v>57</v>
      </c>
      <c r="C341" t="s">
        <v>23</v>
      </c>
      <c r="D341" t="s">
        <v>19</v>
      </c>
      <c r="E341">
        <v>10.5</v>
      </c>
      <c r="F341">
        <v>6.1</v>
      </c>
      <c r="G341">
        <v>0</v>
      </c>
      <c r="H341" t="str">
        <f t="shared" si="5"/>
        <v>No Night Usage</v>
      </c>
      <c r="I341">
        <v>6.6</v>
      </c>
      <c r="J341" s="3">
        <v>3</v>
      </c>
      <c r="K341">
        <v>11.6</v>
      </c>
      <c r="L341" t="s">
        <v>20</v>
      </c>
      <c r="M341">
        <v>1</v>
      </c>
      <c r="N341">
        <v>1</v>
      </c>
      <c r="O341">
        <v>1</v>
      </c>
      <c r="P341">
        <v>1</v>
      </c>
      <c r="Q341">
        <v>1</v>
      </c>
      <c r="R341">
        <v>1</v>
      </c>
      <c r="S341">
        <v>1</v>
      </c>
      <c r="T341" t="str">
        <f>IF(mental_health[Sleep_Hours]&lt;5,"Low",IF(mental_health[Sleep_Hours]&lt;7,"Medium","Good"))</f>
        <v>Medium</v>
      </c>
      <c r="U341" t="str">
        <f>IF(mental_health[Stress_Level]&lt;=3,"Low",IF(mental_health[Stress_Level]&lt;=7,"Medium","High"))</f>
        <v>Low</v>
      </c>
      <c r="V341" t="str">
        <f>IF(mental_health[Daily_Screen_Time]&lt;=4,"Low",IF(mental_health[Daily_Screen_Time]&lt;=8,"Medium","High"))</f>
        <v>High</v>
      </c>
    </row>
    <row r="342" spans="1:22" x14ac:dyDescent="0.3">
      <c r="A342">
        <v>341</v>
      </c>
      <c r="B342">
        <v>46</v>
      </c>
      <c r="C342" t="s">
        <v>23</v>
      </c>
      <c r="D342" t="s">
        <v>22</v>
      </c>
      <c r="E342">
        <v>11.6</v>
      </c>
      <c r="F342">
        <v>2</v>
      </c>
      <c r="G342">
        <v>1</v>
      </c>
      <c r="H342" t="str">
        <f t="shared" si="5"/>
        <v>Night Usage</v>
      </c>
      <c r="I342">
        <v>7</v>
      </c>
      <c r="J342" s="3">
        <v>2</v>
      </c>
      <c r="K342">
        <v>11.3</v>
      </c>
      <c r="L342" t="s">
        <v>25</v>
      </c>
      <c r="M342">
        <v>3</v>
      </c>
      <c r="N342">
        <v>1</v>
      </c>
      <c r="O342">
        <v>0</v>
      </c>
      <c r="P342">
        <v>1</v>
      </c>
      <c r="Q342">
        <v>0</v>
      </c>
      <c r="R342">
        <v>0</v>
      </c>
      <c r="S342">
        <v>1</v>
      </c>
      <c r="T342" t="str">
        <f>IF(mental_health[Sleep_Hours]&lt;5,"Low",IF(mental_health[Sleep_Hours]&lt;7,"Medium","Good"))</f>
        <v>Good</v>
      </c>
      <c r="U342" t="str">
        <f>IF(mental_health[Stress_Level]&lt;=3,"Low",IF(mental_health[Stress_Level]&lt;=7,"Medium","High"))</f>
        <v>Low</v>
      </c>
      <c r="V342" t="str">
        <f>IF(mental_health[Daily_Screen_Time]&lt;=4,"Low",IF(mental_health[Daily_Screen_Time]&lt;=8,"Medium","High"))</f>
        <v>High</v>
      </c>
    </row>
    <row r="343" spans="1:22" x14ac:dyDescent="0.3">
      <c r="A343">
        <v>342</v>
      </c>
      <c r="B343">
        <v>18</v>
      </c>
      <c r="C343" t="s">
        <v>18</v>
      </c>
      <c r="D343" t="s">
        <v>24</v>
      </c>
      <c r="E343">
        <v>7.7</v>
      </c>
      <c r="F343">
        <v>6.9</v>
      </c>
      <c r="G343">
        <v>1</v>
      </c>
      <c r="H343" t="str">
        <f t="shared" si="5"/>
        <v>Night Usage</v>
      </c>
      <c r="I343">
        <v>5.4</v>
      </c>
      <c r="J343" s="3">
        <v>3</v>
      </c>
      <c r="K343">
        <v>7.7</v>
      </c>
      <c r="L343" t="s">
        <v>20</v>
      </c>
      <c r="M343">
        <v>9</v>
      </c>
      <c r="N343">
        <v>0</v>
      </c>
      <c r="O343">
        <v>0</v>
      </c>
      <c r="P343">
        <v>0</v>
      </c>
      <c r="Q343">
        <v>1</v>
      </c>
      <c r="R343">
        <v>0</v>
      </c>
      <c r="S343">
        <v>1</v>
      </c>
      <c r="T343" t="str">
        <f>IF(mental_health[Sleep_Hours]&lt;5,"Low",IF(mental_health[Sleep_Hours]&lt;7,"Medium","Good"))</f>
        <v>Medium</v>
      </c>
      <c r="U343" t="str">
        <f>IF(mental_health[Stress_Level]&lt;=3,"Low",IF(mental_health[Stress_Level]&lt;=7,"Medium","High"))</f>
        <v>Low</v>
      </c>
      <c r="V343" t="str">
        <f>IF(mental_health[Daily_Screen_Time]&lt;=4,"Low",IF(mental_health[Daily_Screen_Time]&lt;=8,"Medium","High"))</f>
        <v>Medium</v>
      </c>
    </row>
    <row r="344" spans="1:22" x14ac:dyDescent="0.3">
      <c r="A344">
        <v>343</v>
      </c>
      <c r="B344">
        <v>55</v>
      </c>
      <c r="C344" t="s">
        <v>23</v>
      </c>
      <c r="D344" t="s">
        <v>19</v>
      </c>
      <c r="E344">
        <v>7.1</v>
      </c>
      <c r="F344">
        <v>2.1</v>
      </c>
      <c r="G344">
        <v>0</v>
      </c>
      <c r="H344" t="str">
        <f t="shared" si="5"/>
        <v>No Night Usage</v>
      </c>
      <c r="I344">
        <v>8.5</v>
      </c>
      <c r="J344" s="3">
        <v>7</v>
      </c>
      <c r="K344">
        <v>9.3000000000000007</v>
      </c>
      <c r="L344" t="s">
        <v>20</v>
      </c>
      <c r="M344">
        <v>10</v>
      </c>
      <c r="N344">
        <v>3</v>
      </c>
      <c r="O344">
        <v>1</v>
      </c>
      <c r="P344">
        <v>0</v>
      </c>
      <c r="Q344">
        <v>0</v>
      </c>
      <c r="R344">
        <v>0</v>
      </c>
      <c r="S344">
        <v>1</v>
      </c>
      <c r="T344" t="str">
        <f>IF(mental_health[Sleep_Hours]&lt;5,"Low",IF(mental_health[Sleep_Hours]&lt;7,"Medium","Good"))</f>
        <v>Good</v>
      </c>
      <c r="U344" t="str">
        <f>IF(mental_health[Stress_Level]&lt;=3,"Low",IF(mental_health[Stress_Level]&lt;=7,"Medium","High"))</f>
        <v>Medium</v>
      </c>
      <c r="V344" t="str">
        <f>IF(mental_health[Daily_Screen_Time]&lt;=4,"Low",IF(mental_health[Daily_Screen_Time]&lt;=8,"Medium","High"))</f>
        <v>Medium</v>
      </c>
    </row>
    <row r="345" spans="1:22" x14ac:dyDescent="0.3">
      <c r="A345">
        <v>344</v>
      </c>
      <c r="B345">
        <v>39</v>
      </c>
      <c r="C345" t="s">
        <v>23</v>
      </c>
      <c r="D345" t="s">
        <v>19</v>
      </c>
      <c r="E345">
        <v>2.9</v>
      </c>
      <c r="F345">
        <v>3.1</v>
      </c>
      <c r="G345">
        <v>0</v>
      </c>
      <c r="H345" t="str">
        <f t="shared" si="5"/>
        <v>No Night Usage</v>
      </c>
      <c r="I345">
        <v>6.8</v>
      </c>
      <c r="J345" s="3">
        <v>8</v>
      </c>
      <c r="K345">
        <v>11.5</v>
      </c>
      <c r="L345" t="s">
        <v>21</v>
      </c>
      <c r="M345">
        <v>7</v>
      </c>
      <c r="N345">
        <v>0</v>
      </c>
      <c r="O345">
        <v>0</v>
      </c>
      <c r="P345">
        <v>0</v>
      </c>
      <c r="Q345">
        <v>1</v>
      </c>
      <c r="R345">
        <v>1</v>
      </c>
      <c r="S345">
        <v>1</v>
      </c>
      <c r="T345" t="str">
        <f>IF(mental_health[Sleep_Hours]&lt;5,"Low",IF(mental_health[Sleep_Hours]&lt;7,"Medium","Good"))</f>
        <v>Medium</v>
      </c>
      <c r="U345" t="str">
        <f>IF(mental_health[Stress_Level]&lt;=3,"Low",IF(mental_health[Stress_Level]&lt;=7,"Medium","High"))</f>
        <v>High</v>
      </c>
      <c r="V345" t="str">
        <f>IF(mental_health[Daily_Screen_Time]&lt;=4,"Low",IF(mental_health[Daily_Screen_Time]&lt;=8,"Medium","High"))</f>
        <v>Low</v>
      </c>
    </row>
    <row r="346" spans="1:22" x14ac:dyDescent="0.3">
      <c r="A346">
        <v>345</v>
      </c>
      <c r="B346">
        <v>47</v>
      </c>
      <c r="C346" t="s">
        <v>18</v>
      </c>
      <c r="D346" t="s">
        <v>19</v>
      </c>
      <c r="E346">
        <v>7.5</v>
      </c>
      <c r="F346">
        <v>2.7</v>
      </c>
      <c r="G346">
        <v>0</v>
      </c>
      <c r="H346" t="str">
        <f t="shared" si="5"/>
        <v>No Night Usage</v>
      </c>
      <c r="I346">
        <v>7.6</v>
      </c>
      <c r="J346" s="3">
        <v>1</v>
      </c>
      <c r="K346">
        <v>2.8</v>
      </c>
      <c r="L346" t="s">
        <v>20</v>
      </c>
      <c r="M346">
        <v>6</v>
      </c>
      <c r="N346">
        <v>0</v>
      </c>
      <c r="O346">
        <v>1</v>
      </c>
      <c r="P346">
        <v>0</v>
      </c>
      <c r="Q346">
        <v>0</v>
      </c>
      <c r="R346">
        <v>0</v>
      </c>
      <c r="S346">
        <v>0</v>
      </c>
      <c r="T346" t="str">
        <f>IF(mental_health[Sleep_Hours]&lt;5,"Low",IF(mental_health[Sleep_Hours]&lt;7,"Medium","Good"))</f>
        <v>Good</v>
      </c>
      <c r="U346" t="str">
        <f>IF(mental_health[Stress_Level]&lt;=3,"Low",IF(mental_health[Stress_Level]&lt;=7,"Medium","High"))</f>
        <v>Low</v>
      </c>
      <c r="V346" t="str">
        <f>IF(mental_health[Daily_Screen_Time]&lt;=4,"Low",IF(mental_health[Daily_Screen_Time]&lt;=8,"Medium","High"))</f>
        <v>Medium</v>
      </c>
    </row>
    <row r="347" spans="1:22" x14ac:dyDescent="0.3">
      <c r="A347">
        <v>346</v>
      </c>
      <c r="B347">
        <v>37</v>
      </c>
      <c r="C347" t="s">
        <v>18</v>
      </c>
      <c r="D347" t="s">
        <v>24</v>
      </c>
      <c r="E347">
        <v>5.8</v>
      </c>
      <c r="F347">
        <v>3.6</v>
      </c>
      <c r="G347">
        <v>1</v>
      </c>
      <c r="H347" t="str">
        <f t="shared" si="5"/>
        <v>Night Usage</v>
      </c>
      <c r="I347">
        <v>5.2</v>
      </c>
      <c r="J347" s="3">
        <v>7</v>
      </c>
      <c r="K347">
        <v>2.1</v>
      </c>
      <c r="L347" t="s">
        <v>20</v>
      </c>
      <c r="M347">
        <v>1</v>
      </c>
      <c r="N347">
        <v>0</v>
      </c>
      <c r="O347">
        <v>0</v>
      </c>
      <c r="P347">
        <v>1</v>
      </c>
      <c r="Q347">
        <v>1</v>
      </c>
      <c r="R347">
        <v>0</v>
      </c>
      <c r="S347">
        <v>1</v>
      </c>
      <c r="T347" t="str">
        <f>IF(mental_health[Sleep_Hours]&lt;5,"Low",IF(mental_health[Sleep_Hours]&lt;7,"Medium","Good"))</f>
        <v>Medium</v>
      </c>
      <c r="U347" t="str">
        <f>IF(mental_health[Stress_Level]&lt;=3,"Low",IF(mental_health[Stress_Level]&lt;=7,"Medium","High"))</f>
        <v>Medium</v>
      </c>
      <c r="V347" t="str">
        <f>IF(mental_health[Daily_Screen_Time]&lt;=4,"Low",IF(mental_health[Daily_Screen_Time]&lt;=8,"Medium","High"))</f>
        <v>Medium</v>
      </c>
    </row>
    <row r="348" spans="1:22" x14ac:dyDescent="0.3">
      <c r="A348">
        <v>347</v>
      </c>
      <c r="B348">
        <v>38</v>
      </c>
      <c r="C348" t="s">
        <v>23</v>
      </c>
      <c r="D348" t="s">
        <v>22</v>
      </c>
      <c r="E348">
        <v>8.1</v>
      </c>
      <c r="F348">
        <v>2.8</v>
      </c>
      <c r="G348">
        <v>1</v>
      </c>
      <c r="H348" t="str">
        <f t="shared" si="5"/>
        <v>Night Usage</v>
      </c>
      <c r="I348">
        <v>8.8000000000000007</v>
      </c>
      <c r="J348" s="3">
        <v>9</v>
      </c>
      <c r="K348">
        <v>2.2999999999999998</v>
      </c>
      <c r="L348" t="s">
        <v>20</v>
      </c>
      <c r="M348">
        <v>9</v>
      </c>
      <c r="N348">
        <v>3</v>
      </c>
      <c r="O348">
        <v>1</v>
      </c>
      <c r="P348">
        <v>1</v>
      </c>
      <c r="Q348">
        <v>1</v>
      </c>
      <c r="R348">
        <v>1</v>
      </c>
      <c r="S348">
        <v>0</v>
      </c>
      <c r="T348" t="str">
        <f>IF(mental_health[Sleep_Hours]&lt;5,"Low",IF(mental_health[Sleep_Hours]&lt;7,"Medium","Good"))</f>
        <v>Good</v>
      </c>
      <c r="U348" t="str">
        <f>IF(mental_health[Stress_Level]&lt;=3,"Low",IF(mental_health[Stress_Level]&lt;=7,"Medium","High"))</f>
        <v>High</v>
      </c>
      <c r="V348" t="str">
        <f>IF(mental_health[Daily_Screen_Time]&lt;=4,"Low",IF(mental_health[Daily_Screen_Time]&lt;=8,"Medium","High"))</f>
        <v>High</v>
      </c>
    </row>
    <row r="349" spans="1:22" x14ac:dyDescent="0.3">
      <c r="A349">
        <v>348</v>
      </c>
      <c r="B349">
        <v>17</v>
      </c>
      <c r="C349" t="s">
        <v>18</v>
      </c>
      <c r="D349" t="s">
        <v>24</v>
      </c>
      <c r="E349">
        <v>5.9</v>
      </c>
      <c r="F349">
        <v>4.4000000000000004</v>
      </c>
      <c r="G349">
        <v>0</v>
      </c>
      <c r="H349" t="str">
        <f t="shared" si="5"/>
        <v>No Night Usage</v>
      </c>
      <c r="I349">
        <v>7.9</v>
      </c>
      <c r="J349" s="3">
        <v>3</v>
      </c>
      <c r="K349">
        <v>7.6</v>
      </c>
      <c r="L349" t="s">
        <v>25</v>
      </c>
      <c r="M349">
        <v>9</v>
      </c>
      <c r="N349">
        <v>2</v>
      </c>
      <c r="O349">
        <v>1</v>
      </c>
      <c r="P349">
        <v>0</v>
      </c>
      <c r="Q349">
        <v>1</v>
      </c>
      <c r="R349">
        <v>1</v>
      </c>
      <c r="S349">
        <v>1</v>
      </c>
      <c r="T349" t="str">
        <f>IF(mental_health[Sleep_Hours]&lt;5,"Low",IF(mental_health[Sleep_Hours]&lt;7,"Medium","Good"))</f>
        <v>Good</v>
      </c>
      <c r="U349" t="str">
        <f>IF(mental_health[Stress_Level]&lt;=3,"Low",IF(mental_health[Stress_Level]&lt;=7,"Medium","High"))</f>
        <v>Low</v>
      </c>
      <c r="V349" t="str">
        <f>IF(mental_health[Daily_Screen_Time]&lt;=4,"Low",IF(mental_health[Daily_Screen_Time]&lt;=8,"Medium","High"))</f>
        <v>Medium</v>
      </c>
    </row>
    <row r="350" spans="1:22" x14ac:dyDescent="0.3">
      <c r="A350">
        <v>349</v>
      </c>
      <c r="B350">
        <v>42</v>
      </c>
      <c r="C350" t="s">
        <v>23</v>
      </c>
      <c r="D350" t="s">
        <v>19</v>
      </c>
      <c r="E350">
        <v>4.4000000000000004</v>
      </c>
      <c r="F350">
        <v>3.9</v>
      </c>
      <c r="G350">
        <v>1</v>
      </c>
      <c r="H350" t="str">
        <f t="shared" si="5"/>
        <v>Night Usage</v>
      </c>
      <c r="I350">
        <v>8.1</v>
      </c>
      <c r="J350" s="3">
        <v>3</v>
      </c>
      <c r="K350">
        <v>9.6</v>
      </c>
      <c r="L350" t="s">
        <v>21</v>
      </c>
      <c r="M350">
        <v>1</v>
      </c>
      <c r="N350">
        <v>4</v>
      </c>
      <c r="O350">
        <v>0</v>
      </c>
      <c r="P350">
        <v>0</v>
      </c>
      <c r="Q350">
        <v>0</v>
      </c>
      <c r="R350">
        <v>0</v>
      </c>
      <c r="S350">
        <v>1</v>
      </c>
      <c r="T350" t="str">
        <f>IF(mental_health[Sleep_Hours]&lt;5,"Low",IF(mental_health[Sleep_Hours]&lt;7,"Medium","Good"))</f>
        <v>Good</v>
      </c>
      <c r="U350" t="str">
        <f>IF(mental_health[Stress_Level]&lt;=3,"Low",IF(mental_health[Stress_Level]&lt;=7,"Medium","High"))</f>
        <v>Low</v>
      </c>
      <c r="V350" t="str">
        <f>IF(mental_health[Daily_Screen_Time]&lt;=4,"Low",IF(mental_health[Daily_Screen_Time]&lt;=8,"Medium","High"))</f>
        <v>Medium</v>
      </c>
    </row>
    <row r="351" spans="1:22" x14ac:dyDescent="0.3">
      <c r="A351">
        <v>350</v>
      </c>
      <c r="B351">
        <v>57</v>
      </c>
      <c r="C351" t="s">
        <v>18</v>
      </c>
      <c r="D351" t="s">
        <v>22</v>
      </c>
      <c r="E351">
        <v>2.9</v>
      </c>
      <c r="F351">
        <v>7.9</v>
      </c>
      <c r="G351">
        <v>0</v>
      </c>
      <c r="H351" t="str">
        <f t="shared" si="5"/>
        <v>No Night Usage</v>
      </c>
      <c r="I351">
        <v>4</v>
      </c>
      <c r="J351" s="3">
        <v>8</v>
      </c>
      <c r="K351">
        <v>5.7</v>
      </c>
      <c r="L351" t="s">
        <v>21</v>
      </c>
      <c r="M351">
        <v>6</v>
      </c>
      <c r="N351">
        <v>2</v>
      </c>
      <c r="O351">
        <v>1</v>
      </c>
      <c r="P351">
        <v>0</v>
      </c>
      <c r="Q351">
        <v>1</v>
      </c>
      <c r="R351">
        <v>0</v>
      </c>
      <c r="S351">
        <v>0</v>
      </c>
      <c r="T351" t="str">
        <f>IF(mental_health[Sleep_Hours]&lt;5,"Low",IF(mental_health[Sleep_Hours]&lt;7,"Medium","Good"))</f>
        <v>Low</v>
      </c>
      <c r="U351" t="str">
        <f>IF(mental_health[Stress_Level]&lt;=3,"Low",IF(mental_health[Stress_Level]&lt;=7,"Medium","High"))</f>
        <v>High</v>
      </c>
      <c r="V351" t="str">
        <f>IF(mental_health[Daily_Screen_Time]&lt;=4,"Low",IF(mental_health[Daily_Screen_Time]&lt;=8,"Medium","High"))</f>
        <v>Low</v>
      </c>
    </row>
    <row r="352" spans="1:22" x14ac:dyDescent="0.3">
      <c r="A352">
        <v>351</v>
      </c>
      <c r="B352">
        <v>17</v>
      </c>
      <c r="C352" t="s">
        <v>18</v>
      </c>
      <c r="D352" t="s">
        <v>24</v>
      </c>
      <c r="E352">
        <v>5.0999999999999996</v>
      </c>
      <c r="F352">
        <v>1.4</v>
      </c>
      <c r="G352">
        <v>1</v>
      </c>
      <c r="H352" t="str">
        <f t="shared" si="5"/>
        <v>Night Usage</v>
      </c>
      <c r="I352">
        <v>4.5999999999999996</v>
      </c>
      <c r="J352" s="3">
        <v>4</v>
      </c>
      <c r="K352">
        <v>7.5</v>
      </c>
      <c r="L352" t="s">
        <v>20</v>
      </c>
      <c r="M352">
        <v>7</v>
      </c>
      <c r="N352">
        <v>2</v>
      </c>
      <c r="O352">
        <v>1</v>
      </c>
      <c r="P352">
        <v>0</v>
      </c>
      <c r="Q352">
        <v>0</v>
      </c>
      <c r="R352">
        <v>1</v>
      </c>
      <c r="S352">
        <v>0</v>
      </c>
      <c r="T352" t="str">
        <f>IF(mental_health[Sleep_Hours]&lt;5,"Low",IF(mental_health[Sleep_Hours]&lt;7,"Medium","Good"))</f>
        <v>Low</v>
      </c>
      <c r="U352" t="str">
        <f>IF(mental_health[Stress_Level]&lt;=3,"Low",IF(mental_health[Stress_Level]&lt;=7,"Medium","High"))</f>
        <v>Medium</v>
      </c>
      <c r="V352" t="str">
        <f>IF(mental_health[Daily_Screen_Time]&lt;=4,"Low",IF(mental_health[Daily_Screen_Time]&lt;=8,"Medium","High"))</f>
        <v>Medium</v>
      </c>
    </row>
    <row r="353" spans="1:22" x14ac:dyDescent="0.3">
      <c r="A353">
        <v>352</v>
      </c>
      <c r="B353">
        <v>41</v>
      </c>
      <c r="C353" t="s">
        <v>23</v>
      </c>
      <c r="D353" t="s">
        <v>19</v>
      </c>
      <c r="E353">
        <v>3</v>
      </c>
      <c r="F353">
        <v>2</v>
      </c>
      <c r="G353">
        <v>1</v>
      </c>
      <c r="H353" t="str">
        <f t="shared" si="5"/>
        <v>Night Usage</v>
      </c>
      <c r="I353">
        <v>4.7</v>
      </c>
      <c r="J353" s="3">
        <v>8</v>
      </c>
      <c r="K353">
        <v>7.2</v>
      </c>
      <c r="L353" t="s">
        <v>20</v>
      </c>
      <c r="M353">
        <v>2</v>
      </c>
      <c r="N353">
        <v>0</v>
      </c>
      <c r="O353">
        <v>1</v>
      </c>
      <c r="P353">
        <v>0</v>
      </c>
      <c r="Q353">
        <v>0</v>
      </c>
      <c r="R353">
        <v>1</v>
      </c>
      <c r="S353">
        <v>1</v>
      </c>
      <c r="T353" t="str">
        <f>IF(mental_health[Sleep_Hours]&lt;5,"Low",IF(mental_health[Sleep_Hours]&lt;7,"Medium","Good"))</f>
        <v>Low</v>
      </c>
      <c r="U353" t="str">
        <f>IF(mental_health[Stress_Level]&lt;=3,"Low",IF(mental_health[Stress_Level]&lt;=7,"Medium","High"))</f>
        <v>High</v>
      </c>
      <c r="V353" t="str">
        <f>IF(mental_health[Daily_Screen_Time]&lt;=4,"Low",IF(mental_health[Daily_Screen_Time]&lt;=8,"Medium","High"))</f>
        <v>Low</v>
      </c>
    </row>
    <row r="354" spans="1:22" x14ac:dyDescent="0.3">
      <c r="A354">
        <v>353</v>
      </c>
      <c r="B354">
        <v>32</v>
      </c>
      <c r="C354" t="s">
        <v>18</v>
      </c>
      <c r="D354" t="s">
        <v>19</v>
      </c>
      <c r="E354">
        <v>3.8</v>
      </c>
      <c r="F354">
        <v>1.4</v>
      </c>
      <c r="G354">
        <v>0</v>
      </c>
      <c r="H354" t="str">
        <f t="shared" si="5"/>
        <v>No Night Usage</v>
      </c>
      <c r="I354">
        <v>4.5999999999999996</v>
      </c>
      <c r="J354" s="3">
        <v>5</v>
      </c>
      <c r="K354">
        <v>2.9</v>
      </c>
      <c r="L354" t="s">
        <v>25</v>
      </c>
      <c r="M354">
        <v>10</v>
      </c>
      <c r="N354">
        <v>2</v>
      </c>
      <c r="O354">
        <v>1</v>
      </c>
      <c r="P354">
        <v>1</v>
      </c>
      <c r="Q354">
        <v>1</v>
      </c>
      <c r="R354">
        <v>1</v>
      </c>
      <c r="S354">
        <v>1</v>
      </c>
      <c r="T354" t="str">
        <f>IF(mental_health[Sleep_Hours]&lt;5,"Low",IF(mental_health[Sleep_Hours]&lt;7,"Medium","Good"))</f>
        <v>Low</v>
      </c>
      <c r="U354" t="str">
        <f>IF(mental_health[Stress_Level]&lt;=3,"Low",IF(mental_health[Stress_Level]&lt;=7,"Medium","High"))</f>
        <v>Medium</v>
      </c>
      <c r="V354" t="str">
        <f>IF(mental_health[Daily_Screen_Time]&lt;=4,"Low",IF(mental_health[Daily_Screen_Time]&lt;=8,"Medium","High"))</f>
        <v>Low</v>
      </c>
    </row>
    <row r="355" spans="1:22" x14ac:dyDescent="0.3">
      <c r="A355">
        <v>354</v>
      </c>
      <c r="B355">
        <v>55</v>
      </c>
      <c r="C355" t="s">
        <v>18</v>
      </c>
      <c r="D355" t="s">
        <v>24</v>
      </c>
      <c r="E355">
        <v>11.9</v>
      </c>
      <c r="F355">
        <v>5.4</v>
      </c>
      <c r="G355">
        <v>1</v>
      </c>
      <c r="H355" t="str">
        <f t="shared" si="5"/>
        <v>Night Usage</v>
      </c>
      <c r="I355">
        <v>8.1</v>
      </c>
      <c r="J355" s="3">
        <v>3</v>
      </c>
      <c r="K355">
        <v>5.2</v>
      </c>
      <c r="L355" t="s">
        <v>20</v>
      </c>
      <c r="M355">
        <v>8</v>
      </c>
      <c r="N355">
        <v>0</v>
      </c>
      <c r="O355">
        <v>1</v>
      </c>
      <c r="P355">
        <v>0</v>
      </c>
      <c r="Q355">
        <v>0</v>
      </c>
      <c r="R355">
        <v>0</v>
      </c>
      <c r="S355">
        <v>1</v>
      </c>
      <c r="T355" t="str">
        <f>IF(mental_health[Sleep_Hours]&lt;5,"Low",IF(mental_health[Sleep_Hours]&lt;7,"Medium","Good"))</f>
        <v>Good</v>
      </c>
      <c r="U355" t="str">
        <f>IF(mental_health[Stress_Level]&lt;=3,"Low",IF(mental_health[Stress_Level]&lt;=7,"Medium","High"))</f>
        <v>Low</v>
      </c>
      <c r="V355" t="str">
        <f>IF(mental_health[Daily_Screen_Time]&lt;=4,"Low",IF(mental_health[Daily_Screen_Time]&lt;=8,"Medium","High"))</f>
        <v>High</v>
      </c>
    </row>
    <row r="356" spans="1:22" x14ac:dyDescent="0.3">
      <c r="A356">
        <v>355</v>
      </c>
      <c r="B356">
        <v>48</v>
      </c>
      <c r="C356" t="s">
        <v>18</v>
      </c>
      <c r="D356" t="s">
        <v>24</v>
      </c>
      <c r="E356">
        <v>6.4</v>
      </c>
      <c r="F356">
        <v>1.4</v>
      </c>
      <c r="G356">
        <v>1</v>
      </c>
      <c r="H356" t="str">
        <f t="shared" si="5"/>
        <v>Night Usage</v>
      </c>
      <c r="I356">
        <v>3.2</v>
      </c>
      <c r="J356" s="3">
        <v>4</v>
      </c>
      <c r="K356">
        <v>2.2000000000000002</v>
      </c>
      <c r="L356" t="s">
        <v>21</v>
      </c>
      <c r="M356">
        <v>8</v>
      </c>
      <c r="N356">
        <v>0</v>
      </c>
      <c r="O356">
        <v>0</v>
      </c>
      <c r="P356">
        <v>0</v>
      </c>
      <c r="Q356">
        <v>1</v>
      </c>
      <c r="R356">
        <v>1</v>
      </c>
      <c r="S356">
        <v>1</v>
      </c>
      <c r="T356" t="str">
        <f>IF(mental_health[Sleep_Hours]&lt;5,"Low",IF(mental_health[Sleep_Hours]&lt;7,"Medium","Good"))</f>
        <v>Low</v>
      </c>
      <c r="U356" t="str">
        <f>IF(mental_health[Stress_Level]&lt;=3,"Low",IF(mental_health[Stress_Level]&lt;=7,"Medium","High"))</f>
        <v>Medium</v>
      </c>
      <c r="V356" t="str">
        <f>IF(mental_health[Daily_Screen_Time]&lt;=4,"Low",IF(mental_health[Daily_Screen_Time]&lt;=8,"Medium","High"))</f>
        <v>Medium</v>
      </c>
    </row>
    <row r="357" spans="1:22" x14ac:dyDescent="0.3">
      <c r="A357">
        <v>356</v>
      </c>
      <c r="B357">
        <v>24</v>
      </c>
      <c r="C357" t="s">
        <v>18</v>
      </c>
      <c r="D357" t="s">
        <v>24</v>
      </c>
      <c r="E357">
        <v>7.3</v>
      </c>
      <c r="F357">
        <v>6.9</v>
      </c>
      <c r="G357">
        <v>0</v>
      </c>
      <c r="H357" t="str">
        <f t="shared" si="5"/>
        <v>No Night Usage</v>
      </c>
      <c r="I357">
        <v>3.5</v>
      </c>
      <c r="J357" s="3">
        <v>4</v>
      </c>
      <c r="K357">
        <v>3.1</v>
      </c>
      <c r="L357" t="s">
        <v>21</v>
      </c>
      <c r="M357">
        <v>6</v>
      </c>
      <c r="N357">
        <v>4</v>
      </c>
      <c r="O357">
        <v>0</v>
      </c>
      <c r="P357">
        <v>1</v>
      </c>
      <c r="Q357">
        <v>0</v>
      </c>
      <c r="R357">
        <v>1</v>
      </c>
      <c r="S357">
        <v>1</v>
      </c>
      <c r="T357" t="str">
        <f>IF(mental_health[Sleep_Hours]&lt;5,"Low",IF(mental_health[Sleep_Hours]&lt;7,"Medium","Good"))</f>
        <v>Low</v>
      </c>
      <c r="U357" t="str">
        <f>IF(mental_health[Stress_Level]&lt;=3,"Low",IF(mental_health[Stress_Level]&lt;=7,"Medium","High"))</f>
        <v>Medium</v>
      </c>
      <c r="V357" t="str">
        <f>IF(mental_health[Daily_Screen_Time]&lt;=4,"Low",IF(mental_health[Daily_Screen_Time]&lt;=8,"Medium","High"))</f>
        <v>Medium</v>
      </c>
    </row>
    <row r="358" spans="1:22" x14ac:dyDescent="0.3">
      <c r="A358">
        <v>357</v>
      </c>
      <c r="B358">
        <v>58</v>
      </c>
      <c r="C358" t="s">
        <v>18</v>
      </c>
      <c r="D358" t="s">
        <v>19</v>
      </c>
      <c r="E358">
        <v>10.7</v>
      </c>
      <c r="F358">
        <v>4.5999999999999996</v>
      </c>
      <c r="G358">
        <v>1</v>
      </c>
      <c r="H358" t="str">
        <f t="shared" si="5"/>
        <v>Night Usage</v>
      </c>
      <c r="I358">
        <v>4.5999999999999996</v>
      </c>
      <c r="J358" s="3">
        <v>8</v>
      </c>
      <c r="K358">
        <v>10.1</v>
      </c>
      <c r="L358" t="s">
        <v>25</v>
      </c>
      <c r="M358">
        <v>9</v>
      </c>
      <c r="N358">
        <v>1</v>
      </c>
      <c r="O358">
        <v>1</v>
      </c>
      <c r="P358">
        <v>1</v>
      </c>
      <c r="Q358">
        <v>1</v>
      </c>
      <c r="R358">
        <v>1</v>
      </c>
      <c r="S358">
        <v>1</v>
      </c>
      <c r="T358" t="str">
        <f>IF(mental_health[Sleep_Hours]&lt;5,"Low",IF(mental_health[Sleep_Hours]&lt;7,"Medium","Good"))</f>
        <v>Low</v>
      </c>
      <c r="U358" t="str">
        <f>IF(mental_health[Stress_Level]&lt;=3,"Low",IF(mental_health[Stress_Level]&lt;=7,"Medium","High"))</f>
        <v>High</v>
      </c>
      <c r="V358" t="str">
        <f>IF(mental_health[Daily_Screen_Time]&lt;=4,"Low",IF(mental_health[Daily_Screen_Time]&lt;=8,"Medium","High"))</f>
        <v>High</v>
      </c>
    </row>
    <row r="359" spans="1:22" x14ac:dyDescent="0.3">
      <c r="A359">
        <v>358</v>
      </c>
      <c r="B359">
        <v>54</v>
      </c>
      <c r="C359" t="s">
        <v>18</v>
      </c>
      <c r="D359" t="s">
        <v>24</v>
      </c>
      <c r="E359">
        <v>12</v>
      </c>
      <c r="F359">
        <v>4.7</v>
      </c>
      <c r="G359">
        <v>0</v>
      </c>
      <c r="H359" t="str">
        <f t="shared" si="5"/>
        <v>No Night Usage</v>
      </c>
      <c r="I359">
        <v>4.2</v>
      </c>
      <c r="J359" s="3">
        <v>6</v>
      </c>
      <c r="K359">
        <v>10.3</v>
      </c>
      <c r="L359" t="s">
        <v>25</v>
      </c>
      <c r="M359">
        <v>3</v>
      </c>
      <c r="N359">
        <v>0</v>
      </c>
      <c r="O359">
        <v>0</v>
      </c>
      <c r="P359">
        <v>1</v>
      </c>
      <c r="Q359">
        <v>1</v>
      </c>
      <c r="R359">
        <v>0</v>
      </c>
      <c r="S359">
        <v>0</v>
      </c>
      <c r="T359" t="str">
        <f>IF(mental_health[Sleep_Hours]&lt;5,"Low",IF(mental_health[Sleep_Hours]&lt;7,"Medium","Good"))</f>
        <v>Low</v>
      </c>
      <c r="U359" t="str">
        <f>IF(mental_health[Stress_Level]&lt;=3,"Low",IF(mental_health[Stress_Level]&lt;=7,"Medium","High"))</f>
        <v>Medium</v>
      </c>
      <c r="V359" t="str">
        <f>IF(mental_health[Daily_Screen_Time]&lt;=4,"Low",IF(mental_health[Daily_Screen_Time]&lt;=8,"Medium","High"))</f>
        <v>High</v>
      </c>
    </row>
    <row r="360" spans="1:22" x14ac:dyDescent="0.3">
      <c r="A360">
        <v>359</v>
      </c>
      <c r="B360">
        <v>44</v>
      </c>
      <c r="C360" t="s">
        <v>23</v>
      </c>
      <c r="D360" t="s">
        <v>19</v>
      </c>
      <c r="E360">
        <v>7.8</v>
      </c>
      <c r="F360">
        <v>4.9000000000000004</v>
      </c>
      <c r="G360">
        <v>1</v>
      </c>
      <c r="H360" t="str">
        <f t="shared" si="5"/>
        <v>Night Usage</v>
      </c>
      <c r="I360">
        <v>4.4000000000000004</v>
      </c>
      <c r="J360" s="3">
        <v>7</v>
      </c>
      <c r="K360">
        <v>10</v>
      </c>
      <c r="L360" t="s">
        <v>21</v>
      </c>
      <c r="M360">
        <v>2</v>
      </c>
      <c r="N360">
        <v>2</v>
      </c>
      <c r="O360">
        <v>1</v>
      </c>
      <c r="P360">
        <v>0</v>
      </c>
      <c r="Q360">
        <v>1</v>
      </c>
      <c r="R360">
        <v>1</v>
      </c>
      <c r="S360">
        <v>1</v>
      </c>
      <c r="T360" t="str">
        <f>IF(mental_health[Sleep_Hours]&lt;5,"Low",IF(mental_health[Sleep_Hours]&lt;7,"Medium","Good"))</f>
        <v>Low</v>
      </c>
      <c r="U360" t="str">
        <f>IF(mental_health[Stress_Level]&lt;=3,"Low",IF(mental_health[Stress_Level]&lt;=7,"Medium","High"))</f>
        <v>Medium</v>
      </c>
      <c r="V360" t="str">
        <f>IF(mental_health[Daily_Screen_Time]&lt;=4,"Low",IF(mental_health[Daily_Screen_Time]&lt;=8,"Medium","High"))</f>
        <v>Medium</v>
      </c>
    </row>
    <row r="361" spans="1:22" x14ac:dyDescent="0.3">
      <c r="A361">
        <v>360</v>
      </c>
      <c r="B361">
        <v>57</v>
      </c>
      <c r="C361" t="s">
        <v>23</v>
      </c>
      <c r="D361" t="s">
        <v>24</v>
      </c>
      <c r="E361">
        <v>10.1</v>
      </c>
      <c r="F361">
        <v>2.2000000000000002</v>
      </c>
      <c r="G361">
        <v>0</v>
      </c>
      <c r="H361" t="str">
        <f t="shared" si="5"/>
        <v>No Night Usage</v>
      </c>
      <c r="I361">
        <v>7.8</v>
      </c>
      <c r="J361" s="3">
        <v>9</v>
      </c>
      <c r="K361">
        <v>9.3000000000000007</v>
      </c>
      <c r="L361" t="s">
        <v>25</v>
      </c>
      <c r="M361">
        <v>2</v>
      </c>
      <c r="N361">
        <v>4</v>
      </c>
      <c r="O361">
        <v>1</v>
      </c>
      <c r="P361">
        <v>1</v>
      </c>
      <c r="Q361">
        <v>0</v>
      </c>
      <c r="R361">
        <v>1</v>
      </c>
      <c r="S361">
        <v>1</v>
      </c>
      <c r="T361" t="str">
        <f>IF(mental_health[Sleep_Hours]&lt;5,"Low",IF(mental_health[Sleep_Hours]&lt;7,"Medium","Good"))</f>
        <v>Good</v>
      </c>
      <c r="U361" t="str">
        <f>IF(mental_health[Stress_Level]&lt;=3,"Low",IF(mental_health[Stress_Level]&lt;=7,"Medium","High"))</f>
        <v>High</v>
      </c>
      <c r="V361" t="str">
        <f>IF(mental_health[Daily_Screen_Time]&lt;=4,"Low",IF(mental_health[Daily_Screen_Time]&lt;=8,"Medium","High"))</f>
        <v>High</v>
      </c>
    </row>
    <row r="362" spans="1:22" x14ac:dyDescent="0.3">
      <c r="A362">
        <v>361</v>
      </c>
      <c r="B362">
        <v>41</v>
      </c>
      <c r="C362" t="s">
        <v>18</v>
      </c>
      <c r="D362" t="s">
        <v>19</v>
      </c>
      <c r="E362">
        <v>5.3</v>
      </c>
      <c r="F362">
        <v>2.4</v>
      </c>
      <c r="G362">
        <v>0</v>
      </c>
      <c r="H362" t="str">
        <f t="shared" si="5"/>
        <v>No Night Usage</v>
      </c>
      <c r="I362">
        <v>6.4</v>
      </c>
      <c r="J362" s="3">
        <v>6</v>
      </c>
      <c r="K362">
        <v>9.9</v>
      </c>
      <c r="L362" t="s">
        <v>20</v>
      </c>
      <c r="M362">
        <v>6</v>
      </c>
      <c r="N362">
        <v>2</v>
      </c>
      <c r="O362">
        <v>1</v>
      </c>
      <c r="P362">
        <v>0</v>
      </c>
      <c r="Q362">
        <v>0</v>
      </c>
      <c r="R362">
        <v>0</v>
      </c>
      <c r="S362">
        <v>0</v>
      </c>
      <c r="T362" t="str">
        <f>IF(mental_health[Sleep_Hours]&lt;5,"Low",IF(mental_health[Sleep_Hours]&lt;7,"Medium","Good"))</f>
        <v>Medium</v>
      </c>
      <c r="U362" t="str">
        <f>IF(mental_health[Stress_Level]&lt;=3,"Low",IF(mental_health[Stress_Level]&lt;=7,"Medium","High"))</f>
        <v>Medium</v>
      </c>
      <c r="V362" t="str">
        <f>IF(mental_health[Daily_Screen_Time]&lt;=4,"Low",IF(mental_health[Daily_Screen_Time]&lt;=8,"Medium","High"))</f>
        <v>Medium</v>
      </c>
    </row>
    <row r="363" spans="1:22" x14ac:dyDescent="0.3">
      <c r="A363">
        <v>362</v>
      </c>
      <c r="B363">
        <v>50</v>
      </c>
      <c r="C363" t="s">
        <v>23</v>
      </c>
      <c r="D363" t="s">
        <v>19</v>
      </c>
      <c r="E363">
        <v>5.0999999999999996</v>
      </c>
      <c r="F363">
        <v>3.2</v>
      </c>
      <c r="G363">
        <v>1</v>
      </c>
      <c r="H363" t="str">
        <f t="shared" si="5"/>
        <v>Night Usage</v>
      </c>
      <c r="I363">
        <v>3</v>
      </c>
      <c r="J363" s="3">
        <v>3</v>
      </c>
      <c r="K363">
        <v>8.6999999999999993</v>
      </c>
      <c r="L363" t="s">
        <v>20</v>
      </c>
      <c r="M363">
        <v>7</v>
      </c>
      <c r="N363">
        <v>1</v>
      </c>
      <c r="O363">
        <v>1</v>
      </c>
      <c r="P363">
        <v>0</v>
      </c>
      <c r="Q363">
        <v>1</v>
      </c>
      <c r="R363">
        <v>0</v>
      </c>
      <c r="S363">
        <v>0</v>
      </c>
      <c r="T363" t="str">
        <f>IF(mental_health[Sleep_Hours]&lt;5,"Low",IF(mental_health[Sleep_Hours]&lt;7,"Medium","Good"))</f>
        <v>Low</v>
      </c>
      <c r="U363" t="str">
        <f>IF(mental_health[Stress_Level]&lt;=3,"Low",IF(mental_health[Stress_Level]&lt;=7,"Medium","High"))</f>
        <v>Low</v>
      </c>
      <c r="V363" t="str">
        <f>IF(mental_health[Daily_Screen_Time]&lt;=4,"Low",IF(mental_health[Daily_Screen_Time]&lt;=8,"Medium","High"))</f>
        <v>Medium</v>
      </c>
    </row>
    <row r="364" spans="1:22" x14ac:dyDescent="0.3">
      <c r="A364">
        <v>363</v>
      </c>
      <c r="B364">
        <v>40</v>
      </c>
      <c r="C364" t="s">
        <v>23</v>
      </c>
      <c r="D364" t="s">
        <v>22</v>
      </c>
      <c r="E364">
        <v>6</v>
      </c>
      <c r="F364">
        <v>5.2</v>
      </c>
      <c r="G364">
        <v>1</v>
      </c>
      <c r="H364" t="str">
        <f t="shared" si="5"/>
        <v>Night Usage</v>
      </c>
      <c r="I364">
        <v>5.6</v>
      </c>
      <c r="J364" s="3">
        <v>3</v>
      </c>
      <c r="K364">
        <v>8.6999999999999993</v>
      </c>
      <c r="L364" t="s">
        <v>25</v>
      </c>
      <c r="M364">
        <v>6</v>
      </c>
      <c r="N364">
        <v>3</v>
      </c>
      <c r="O364">
        <v>1</v>
      </c>
      <c r="P364">
        <v>1</v>
      </c>
      <c r="Q364">
        <v>0</v>
      </c>
      <c r="R364">
        <v>0</v>
      </c>
      <c r="S364">
        <v>0</v>
      </c>
      <c r="T364" t="str">
        <f>IF(mental_health[Sleep_Hours]&lt;5,"Low",IF(mental_health[Sleep_Hours]&lt;7,"Medium","Good"))</f>
        <v>Medium</v>
      </c>
      <c r="U364" t="str">
        <f>IF(mental_health[Stress_Level]&lt;=3,"Low",IF(mental_health[Stress_Level]&lt;=7,"Medium","High"))</f>
        <v>Low</v>
      </c>
      <c r="V364" t="str">
        <f>IF(mental_health[Daily_Screen_Time]&lt;=4,"Low",IF(mental_health[Daily_Screen_Time]&lt;=8,"Medium","High"))</f>
        <v>Medium</v>
      </c>
    </row>
    <row r="365" spans="1:22" x14ac:dyDescent="0.3">
      <c r="A365">
        <v>364</v>
      </c>
      <c r="B365">
        <v>39</v>
      </c>
      <c r="C365" t="s">
        <v>23</v>
      </c>
      <c r="D365" t="s">
        <v>24</v>
      </c>
      <c r="E365">
        <v>8.6999999999999993</v>
      </c>
      <c r="F365">
        <v>2.5</v>
      </c>
      <c r="G365">
        <v>0</v>
      </c>
      <c r="H365" t="str">
        <f t="shared" si="5"/>
        <v>No Night Usage</v>
      </c>
      <c r="I365">
        <v>5.4</v>
      </c>
      <c r="J365" s="3">
        <v>3</v>
      </c>
      <c r="K365">
        <v>8.6999999999999993</v>
      </c>
      <c r="L365" t="s">
        <v>21</v>
      </c>
      <c r="M365">
        <v>3</v>
      </c>
      <c r="N365">
        <v>1</v>
      </c>
      <c r="O365">
        <v>0</v>
      </c>
      <c r="P365">
        <v>0</v>
      </c>
      <c r="Q365">
        <v>0</v>
      </c>
      <c r="R365">
        <v>0</v>
      </c>
      <c r="S365">
        <v>0</v>
      </c>
      <c r="T365" t="str">
        <f>IF(mental_health[Sleep_Hours]&lt;5,"Low",IF(mental_health[Sleep_Hours]&lt;7,"Medium","Good"))</f>
        <v>Medium</v>
      </c>
      <c r="U365" t="str">
        <f>IF(mental_health[Stress_Level]&lt;=3,"Low",IF(mental_health[Stress_Level]&lt;=7,"Medium","High"))</f>
        <v>Low</v>
      </c>
      <c r="V365" t="str">
        <f>IF(mental_health[Daily_Screen_Time]&lt;=4,"Low",IF(mental_health[Daily_Screen_Time]&lt;=8,"Medium","High"))</f>
        <v>High</v>
      </c>
    </row>
    <row r="366" spans="1:22" x14ac:dyDescent="0.3">
      <c r="A366">
        <v>365</v>
      </c>
      <c r="B366">
        <v>28</v>
      </c>
      <c r="C366" t="s">
        <v>18</v>
      </c>
      <c r="D366" t="s">
        <v>24</v>
      </c>
      <c r="E366">
        <v>8.8000000000000007</v>
      </c>
      <c r="F366">
        <v>1.8</v>
      </c>
      <c r="G366">
        <v>1</v>
      </c>
      <c r="H366" t="str">
        <f t="shared" si="5"/>
        <v>Night Usage</v>
      </c>
      <c r="I366">
        <v>3.7</v>
      </c>
      <c r="J366" s="3">
        <v>10</v>
      </c>
      <c r="K366">
        <v>7.1</v>
      </c>
      <c r="L366" t="s">
        <v>25</v>
      </c>
      <c r="M366">
        <v>5</v>
      </c>
      <c r="N366">
        <v>4</v>
      </c>
      <c r="O366">
        <v>0</v>
      </c>
      <c r="P366">
        <v>0</v>
      </c>
      <c r="Q366">
        <v>1</v>
      </c>
      <c r="R366">
        <v>1</v>
      </c>
      <c r="S366">
        <v>1</v>
      </c>
      <c r="T366" t="str">
        <f>IF(mental_health[Sleep_Hours]&lt;5,"Low",IF(mental_health[Sleep_Hours]&lt;7,"Medium","Good"))</f>
        <v>Low</v>
      </c>
      <c r="U366" t="str">
        <f>IF(mental_health[Stress_Level]&lt;=3,"Low",IF(mental_health[Stress_Level]&lt;=7,"Medium","High"))</f>
        <v>High</v>
      </c>
      <c r="V366" t="str">
        <f>IF(mental_health[Daily_Screen_Time]&lt;=4,"Low",IF(mental_health[Daily_Screen_Time]&lt;=8,"Medium","High"))</f>
        <v>High</v>
      </c>
    </row>
    <row r="367" spans="1:22" x14ac:dyDescent="0.3">
      <c r="A367">
        <v>366</v>
      </c>
      <c r="B367">
        <v>22</v>
      </c>
      <c r="C367" t="s">
        <v>23</v>
      </c>
      <c r="D367" t="s">
        <v>19</v>
      </c>
      <c r="E367">
        <v>5.2</v>
      </c>
      <c r="F367">
        <v>7.8</v>
      </c>
      <c r="G367">
        <v>1</v>
      </c>
      <c r="H367" t="str">
        <f t="shared" si="5"/>
        <v>Night Usage</v>
      </c>
      <c r="I367">
        <v>7.1</v>
      </c>
      <c r="J367" s="3">
        <v>2</v>
      </c>
      <c r="K367">
        <v>5.6</v>
      </c>
      <c r="L367" t="s">
        <v>21</v>
      </c>
      <c r="M367">
        <v>8</v>
      </c>
      <c r="N367">
        <v>1</v>
      </c>
      <c r="O367">
        <v>0</v>
      </c>
      <c r="P367">
        <v>1</v>
      </c>
      <c r="Q367">
        <v>1</v>
      </c>
      <c r="R367">
        <v>1</v>
      </c>
      <c r="S367">
        <v>1</v>
      </c>
      <c r="T367" t="str">
        <f>IF(mental_health[Sleep_Hours]&lt;5,"Low",IF(mental_health[Sleep_Hours]&lt;7,"Medium","Good"))</f>
        <v>Good</v>
      </c>
      <c r="U367" t="str">
        <f>IF(mental_health[Stress_Level]&lt;=3,"Low",IF(mental_health[Stress_Level]&lt;=7,"Medium","High"))</f>
        <v>Low</v>
      </c>
      <c r="V367" t="str">
        <f>IF(mental_health[Daily_Screen_Time]&lt;=4,"Low",IF(mental_health[Daily_Screen_Time]&lt;=8,"Medium","High"))</f>
        <v>Medium</v>
      </c>
    </row>
    <row r="368" spans="1:22" x14ac:dyDescent="0.3">
      <c r="A368">
        <v>367</v>
      </c>
      <c r="B368">
        <v>51</v>
      </c>
      <c r="C368" t="s">
        <v>18</v>
      </c>
      <c r="D368" t="s">
        <v>19</v>
      </c>
      <c r="E368">
        <v>3.3</v>
      </c>
      <c r="F368">
        <v>1.2</v>
      </c>
      <c r="G368">
        <v>1</v>
      </c>
      <c r="H368" t="str">
        <f t="shared" si="5"/>
        <v>Night Usage</v>
      </c>
      <c r="I368">
        <v>7.2</v>
      </c>
      <c r="J368" s="3">
        <v>1</v>
      </c>
      <c r="K368">
        <v>9.3000000000000007</v>
      </c>
      <c r="L368" t="s">
        <v>25</v>
      </c>
      <c r="M368">
        <v>6</v>
      </c>
      <c r="N368">
        <v>1</v>
      </c>
      <c r="O368">
        <v>0</v>
      </c>
      <c r="P368">
        <v>1</v>
      </c>
      <c r="Q368">
        <v>0</v>
      </c>
      <c r="R368">
        <v>0</v>
      </c>
      <c r="S368">
        <v>0</v>
      </c>
      <c r="T368" t="str">
        <f>IF(mental_health[Sleep_Hours]&lt;5,"Low",IF(mental_health[Sleep_Hours]&lt;7,"Medium","Good"))</f>
        <v>Good</v>
      </c>
      <c r="U368" t="str">
        <f>IF(mental_health[Stress_Level]&lt;=3,"Low",IF(mental_health[Stress_Level]&lt;=7,"Medium","High"))</f>
        <v>Low</v>
      </c>
      <c r="V368" t="str">
        <f>IF(mental_health[Daily_Screen_Time]&lt;=4,"Low",IF(mental_health[Daily_Screen_Time]&lt;=8,"Medium","High"))</f>
        <v>Low</v>
      </c>
    </row>
    <row r="369" spans="1:22" x14ac:dyDescent="0.3">
      <c r="A369">
        <v>368</v>
      </c>
      <c r="B369">
        <v>35</v>
      </c>
      <c r="C369" t="s">
        <v>23</v>
      </c>
      <c r="D369" t="s">
        <v>19</v>
      </c>
      <c r="E369">
        <v>8.3000000000000007</v>
      </c>
      <c r="F369">
        <v>6.6</v>
      </c>
      <c r="G369">
        <v>0</v>
      </c>
      <c r="H369" t="str">
        <f t="shared" si="5"/>
        <v>No Night Usage</v>
      </c>
      <c r="I369">
        <v>7.3</v>
      </c>
      <c r="J369" s="3">
        <v>10</v>
      </c>
      <c r="K369">
        <v>5</v>
      </c>
      <c r="L369" t="s">
        <v>25</v>
      </c>
      <c r="M369">
        <v>2</v>
      </c>
      <c r="N369">
        <v>4</v>
      </c>
      <c r="O369">
        <v>0</v>
      </c>
      <c r="P369">
        <v>1</v>
      </c>
      <c r="Q369">
        <v>1</v>
      </c>
      <c r="R369">
        <v>1</v>
      </c>
      <c r="S369">
        <v>0</v>
      </c>
      <c r="T369" t="str">
        <f>IF(mental_health[Sleep_Hours]&lt;5,"Low",IF(mental_health[Sleep_Hours]&lt;7,"Medium","Good"))</f>
        <v>Good</v>
      </c>
      <c r="U369" t="str">
        <f>IF(mental_health[Stress_Level]&lt;=3,"Low",IF(mental_health[Stress_Level]&lt;=7,"Medium","High"))</f>
        <v>High</v>
      </c>
      <c r="V369" t="str">
        <f>IF(mental_health[Daily_Screen_Time]&lt;=4,"Low",IF(mental_health[Daily_Screen_Time]&lt;=8,"Medium","High"))</f>
        <v>High</v>
      </c>
    </row>
    <row r="370" spans="1:22" x14ac:dyDescent="0.3">
      <c r="A370">
        <v>369</v>
      </c>
      <c r="B370">
        <v>16</v>
      </c>
      <c r="C370" t="s">
        <v>18</v>
      </c>
      <c r="D370" t="s">
        <v>22</v>
      </c>
      <c r="E370">
        <v>3.3</v>
      </c>
      <c r="F370">
        <v>6.5</v>
      </c>
      <c r="G370">
        <v>0</v>
      </c>
      <c r="H370" t="str">
        <f t="shared" si="5"/>
        <v>No Night Usage</v>
      </c>
      <c r="I370">
        <v>7.4</v>
      </c>
      <c r="J370" s="3">
        <v>1</v>
      </c>
      <c r="K370">
        <v>7.4</v>
      </c>
      <c r="L370" t="s">
        <v>25</v>
      </c>
      <c r="M370">
        <v>7</v>
      </c>
      <c r="N370">
        <v>4</v>
      </c>
      <c r="O370">
        <v>0</v>
      </c>
      <c r="P370">
        <v>1</v>
      </c>
      <c r="Q370">
        <v>0</v>
      </c>
      <c r="R370">
        <v>0</v>
      </c>
      <c r="S370">
        <v>0</v>
      </c>
      <c r="T370" t="str">
        <f>IF(mental_health[Sleep_Hours]&lt;5,"Low",IF(mental_health[Sleep_Hours]&lt;7,"Medium","Good"))</f>
        <v>Good</v>
      </c>
      <c r="U370" t="str">
        <f>IF(mental_health[Stress_Level]&lt;=3,"Low",IF(mental_health[Stress_Level]&lt;=7,"Medium","High"))</f>
        <v>Low</v>
      </c>
      <c r="V370" t="str">
        <f>IF(mental_health[Daily_Screen_Time]&lt;=4,"Low",IF(mental_health[Daily_Screen_Time]&lt;=8,"Medium","High"))</f>
        <v>Low</v>
      </c>
    </row>
    <row r="371" spans="1:22" x14ac:dyDescent="0.3">
      <c r="A371">
        <v>370</v>
      </c>
      <c r="B371">
        <v>23</v>
      </c>
      <c r="C371" t="s">
        <v>18</v>
      </c>
      <c r="D371" t="s">
        <v>22</v>
      </c>
      <c r="E371">
        <v>7.8</v>
      </c>
      <c r="F371">
        <v>3.1</v>
      </c>
      <c r="G371">
        <v>0</v>
      </c>
      <c r="H371" t="str">
        <f t="shared" si="5"/>
        <v>No Night Usage</v>
      </c>
      <c r="I371">
        <v>3</v>
      </c>
      <c r="J371" s="3">
        <v>4</v>
      </c>
      <c r="K371">
        <v>6.3</v>
      </c>
      <c r="L371" t="s">
        <v>20</v>
      </c>
      <c r="M371">
        <v>8</v>
      </c>
      <c r="N371">
        <v>2</v>
      </c>
      <c r="O371">
        <v>1</v>
      </c>
      <c r="P371">
        <v>1</v>
      </c>
      <c r="Q371">
        <v>0</v>
      </c>
      <c r="R371">
        <v>1</v>
      </c>
      <c r="S371">
        <v>1</v>
      </c>
      <c r="T371" t="str">
        <f>IF(mental_health[Sleep_Hours]&lt;5,"Low",IF(mental_health[Sleep_Hours]&lt;7,"Medium","Good"))</f>
        <v>Low</v>
      </c>
      <c r="U371" t="str">
        <f>IF(mental_health[Stress_Level]&lt;=3,"Low",IF(mental_health[Stress_Level]&lt;=7,"Medium","High"))</f>
        <v>Medium</v>
      </c>
      <c r="V371" t="str">
        <f>IF(mental_health[Daily_Screen_Time]&lt;=4,"Low",IF(mental_health[Daily_Screen_Time]&lt;=8,"Medium","High"))</f>
        <v>Medium</v>
      </c>
    </row>
    <row r="372" spans="1:22" x14ac:dyDescent="0.3">
      <c r="A372">
        <v>371</v>
      </c>
      <c r="B372">
        <v>31</v>
      </c>
      <c r="C372" t="s">
        <v>23</v>
      </c>
      <c r="D372" t="s">
        <v>19</v>
      </c>
      <c r="E372">
        <v>8.9</v>
      </c>
      <c r="F372">
        <v>1.9</v>
      </c>
      <c r="G372">
        <v>1</v>
      </c>
      <c r="H372" t="str">
        <f t="shared" si="5"/>
        <v>Night Usage</v>
      </c>
      <c r="I372">
        <v>8.6999999999999993</v>
      </c>
      <c r="J372" s="3">
        <v>3</v>
      </c>
      <c r="K372">
        <v>4.8</v>
      </c>
      <c r="L372" t="s">
        <v>20</v>
      </c>
      <c r="M372">
        <v>4</v>
      </c>
      <c r="N372">
        <v>0</v>
      </c>
      <c r="O372">
        <v>0</v>
      </c>
      <c r="P372">
        <v>1</v>
      </c>
      <c r="Q372">
        <v>1</v>
      </c>
      <c r="R372">
        <v>1</v>
      </c>
      <c r="S372">
        <v>1</v>
      </c>
      <c r="T372" t="str">
        <f>IF(mental_health[Sleep_Hours]&lt;5,"Low",IF(mental_health[Sleep_Hours]&lt;7,"Medium","Good"))</f>
        <v>Good</v>
      </c>
      <c r="U372" t="str">
        <f>IF(mental_health[Stress_Level]&lt;=3,"Low",IF(mental_health[Stress_Level]&lt;=7,"Medium","High"))</f>
        <v>Low</v>
      </c>
      <c r="V372" t="str">
        <f>IF(mental_health[Daily_Screen_Time]&lt;=4,"Low",IF(mental_health[Daily_Screen_Time]&lt;=8,"Medium","High"))</f>
        <v>High</v>
      </c>
    </row>
    <row r="373" spans="1:22" x14ac:dyDescent="0.3">
      <c r="A373">
        <v>372</v>
      </c>
      <c r="B373">
        <v>29</v>
      </c>
      <c r="C373" t="s">
        <v>23</v>
      </c>
      <c r="D373" t="s">
        <v>24</v>
      </c>
      <c r="E373">
        <v>9</v>
      </c>
      <c r="F373">
        <v>2</v>
      </c>
      <c r="G373">
        <v>1</v>
      </c>
      <c r="H373" t="str">
        <f t="shared" si="5"/>
        <v>Night Usage</v>
      </c>
      <c r="I373">
        <v>7.9</v>
      </c>
      <c r="J373" s="3">
        <v>5</v>
      </c>
      <c r="K373">
        <v>11.7</v>
      </c>
      <c r="L373" t="s">
        <v>21</v>
      </c>
      <c r="M373">
        <v>1</v>
      </c>
      <c r="N373">
        <v>3</v>
      </c>
      <c r="O373">
        <v>1</v>
      </c>
      <c r="P373">
        <v>1</v>
      </c>
      <c r="Q373">
        <v>1</v>
      </c>
      <c r="R373">
        <v>1</v>
      </c>
      <c r="S373">
        <v>0</v>
      </c>
      <c r="T373" t="str">
        <f>IF(mental_health[Sleep_Hours]&lt;5,"Low",IF(mental_health[Sleep_Hours]&lt;7,"Medium","Good"))</f>
        <v>Good</v>
      </c>
      <c r="U373" t="str">
        <f>IF(mental_health[Stress_Level]&lt;=3,"Low",IF(mental_health[Stress_Level]&lt;=7,"Medium","High"))</f>
        <v>Medium</v>
      </c>
      <c r="V373" t="str">
        <f>IF(mental_health[Daily_Screen_Time]&lt;=4,"Low",IF(mental_health[Daily_Screen_Time]&lt;=8,"Medium","High"))</f>
        <v>High</v>
      </c>
    </row>
    <row r="374" spans="1:22" x14ac:dyDescent="0.3">
      <c r="A374">
        <v>373</v>
      </c>
      <c r="B374">
        <v>27</v>
      </c>
      <c r="C374" t="s">
        <v>18</v>
      </c>
      <c r="D374" t="s">
        <v>24</v>
      </c>
      <c r="E374">
        <v>9.5</v>
      </c>
      <c r="F374">
        <v>5.9</v>
      </c>
      <c r="G374">
        <v>0</v>
      </c>
      <c r="H374" t="str">
        <f t="shared" si="5"/>
        <v>No Night Usage</v>
      </c>
      <c r="I374">
        <v>8.4</v>
      </c>
      <c r="J374" s="3">
        <v>9</v>
      </c>
      <c r="K374">
        <v>4.5999999999999996</v>
      </c>
      <c r="L374" t="s">
        <v>25</v>
      </c>
      <c r="M374">
        <v>2</v>
      </c>
      <c r="N374">
        <v>3</v>
      </c>
      <c r="O374">
        <v>1</v>
      </c>
      <c r="P374">
        <v>1</v>
      </c>
      <c r="Q374">
        <v>0</v>
      </c>
      <c r="R374">
        <v>1</v>
      </c>
      <c r="S374">
        <v>1</v>
      </c>
      <c r="T374" t="str">
        <f>IF(mental_health[Sleep_Hours]&lt;5,"Low",IF(mental_health[Sleep_Hours]&lt;7,"Medium","Good"))</f>
        <v>Good</v>
      </c>
      <c r="U374" t="str">
        <f>IF(mental_health[Stress_Level]&lt;=3,"Low",IF(mental_health[Stress_Level]&lt;=7,"Medium","High"))</f>
        <v>High</v>
      </c>
      <c r="V374" t="str">
        <f>IF(mental_health[Daily_Screen_Time]&lt;=4,"Low",IF(mental_health[Daily_Screen_Time]&lt;=8,"Medium","High"))</f>
        <v>High</v>
      </c>
    </row>
    <row r="375" spans="1:22" x14ac:dyDescent="0.3">
      <c r="A375">
        <v>374</v>
      </c>
      <c r="B375">
        <v>38</v>
      </c>
      <c r="C375" t="s">
        <v>23</v>
      </c>
      <c r="D375" t="s">
        <v>22</v>
      </c>
      <c r="E375">
        <v>10.7</v>
      </c>
      <c r="F375">
        <v>5.5</v>
      </c>
      <c r="G375">
        <v>0</v>
      </c>
      <c r="H375" t="str">
        <f t="shared" si="5"/>
        <v>No Night Usage</v>
      </c>
      <c r="I375">
        <v>3.1</v>
      </c>
      <c r="J375" s="3">
        <v>8</v>
      </c>
      <c r="K375">
        <v>5.0999999999999996</v>
      </c>
      <c r="L375" t="s">
        <v>20</v>
      </c>
      <c r="M375">
        <v>4</v>
      </c>
      <c r="N375">
        <v>3</v>
      </c>
      <c r="O375">
        <v>0</v>
      </c>
      <c r="P375">
        <v>1</v>
      </c>
      <c r="Q375">
        <v>1</v>
      </c>
      <c r="R375">
        <v>1</v>
      </c>
      <c r="S375">
        <v>0</v>
      </c>
      <c r="T375" t="str">
        <f>IF(mental_health[Sleep_Hours]&lt;5,"Low",IF(mental_health[Sleep_Hours]&lt;7,"Medium","Good"))</f>
        <v>Low</v>
      </c>
      <c r="U375" t="str">
        <f>IF(mental_health[Stress_Level]&lt;=3,"Low",IF(mental_health[Stress_Level]&lt;=7,"Medium","High"))</f>
        <v>High</v>
      </c>
      <c r="V375" t="str">
        <f>IF(mental_health[Daily_Screen_Time]&lt;=4,"Low",IF(mental_health[Daily_Screen_Time]&lt;=8,"Medium","High"))</f>
        <v>High</v>
      </c>
    </row>
    <row r="376" spans="1:22" x14ac:dyDescent="0.3">
      <c r="A376">
        <v>375</v>
      </c>
      <c r="B376">
        <v>30</v>
      </c>
      <c r="C376" t="s">
        <v>23</v>
      </c>
      <c r="D376" t="s">
        <v>22</v>
      </c>
      <c r="E376">
        <v>7</v>
      </c>
      <c r="F376">
        <v>6.5</v>
      </c>
      <c r="G376">
        <v>1</v>
      </c>
      <c r="H376" t="str">
        <f t="shared" si="5"/>
        <v>Night Usage</v>
      </c>
      <c r="I376">
        <v>8.6</v>
      </c>
      <c r="J376" s="3">
        <v>9</v>
      </c>
      <c r="K376">
        <v>3.6</v>
      </c>
      <c r="L376" t="s">
        <v>25</v>
      </c>
      <c r="M376">
        <v>7</v>
      </c>
      <c r="N376">
        <v>1</v>
      </c>
      <c r="O376">
        <v>0</v>
      </c>
      <c r="P376">
        <v>1</v>
      </c>
      <c r="Q376">
        <v>1</v>
      </c>
      <c r="R376">
        <v>0</v>
      </c>
      <c r="S376">
        <v>0</v>
      </c>
      <c r="T376" t="str">
        <f>IF(mental_health[Sleep_Hours]&lt;5,"Low",IF(mental_health[Sleep_Hours]&lt;7,"Medium","Good"))</f>
        <v>Good</v>
      </c>
      <c r="U376" t="str">
        <f>IF(mental_health[Stress_Level]&lt;=3,"Low",IF(mental_health[Stress_Level]&lt;=7,"Medium","High"))</f>
        <v>High</v>
      </c>
      <c r="V376" t="str">
        <f>IF(mental_health[Daily_Screen_Time]&lt;=4,"Low",IF(mental_health[Daily_Screen_Time]&lt;=8,"Medium","High"))</f>
        <v>Medium</v>
      </c>
    </row>
    <row r="377" spans="1:22" x14ac:dyDescent="0.3">
      <c r="A377">
        <v>376</v>
      </c>
      <c r="B377">
        <v>43</v>
      </c>
      <c r="C377" t="s">
        <v>23</v>
      </c>
      <c r="D377" t="s">
        <v>19</v>
      </c>
      <c r="E377">
        <v>9.3000000000000007</v>
      </c>
      <c r="F377">
        <v>7.6</v>
      </c>
      <c r="G377">
        <v>1</v>
      </c>
      <c r="H377" t="str">
        <f t="shared" si="5"/>
        <v>Night Usage</v>
      </c>
      <c r="I377">
        <v>7.9</v>
      </c>
      <c r="J377" s="3">
        <v>5</v>
      </c>
      <c r="K377">
        <v>10.199999999999999</v>
      </c>
      <c r="L377" t="s">
        <v>21</v>
      </c>
      <c r="M377">
        <v>2</v>
      </c>
      <c r="N377">
        <v>4</v>
      </c>
      <c r="O377">
        <v>1</v>
      </c>
      <c r="P377">
        <v>0</v>
      </c>
      <c r="Q377">
        <v>0</v>
      </c>
      <c r="R377">
        <v>0</v>
      </c>
      <c r="S377">
        <v>0</v>
      </c>
      <c r="T377" t="str">
        <f>IF(mental_health[Sleep_Hours]&lt;5,"Low",IF(mental_health[Sleep_Hours]&lt;7,"Medium","Good"))</f>
        <v>Good</v>
      </c>
      <c r="U377" t="str">
        <f>IF(mental_health[Stress_Level]&lt;=3,"Low",IF(mental_health[Stress_Level]&lt;=7,"Medium","High"))</f>
        <v>Medium</v>
      </c>
      <c r="V377" t="str">
        <f>IF(mental_health[Daily_Screen_Time]&lt;=4,"Low",IF(mental_health[Daily_Screen_Time]&lt;=8,"Medium","High"))</f>
        <v>High</v>
      </c>
    </row>
    <row r="378" spans="1:22" x14ac:dyDescent="0.3">
      <c r="A378">
        <v>377</v>
      </c>
      <c r="B378">
        <v>49</v>
      </c>
      <c r="C378" t="s">
        <v>18</v>
      </c>
      <c r="D378" t="s">
        <v>24</v>
      </c>
      <c r="E378">
        <v>8.1999999999999993</v>
      </c>
      <c r="F378">
        <v>5.8</v>
      </c>
      <c r="G378">
        <v>1</v>
      </c>
      <c r="H378" t="str">
        <f t="shared" si="5"/>
        <v>Night Usage</v>
      </c>
      <c r="I378">
        <v>8</v>
      </c>
      <c r="J378" s="3">
        <v>8</v>
      </c>
      <c r="K378">
        <v>7.9</v>
      </c>
      <c r="L378" t="s">
        <v>20</v>
      </c>
      <c r="M378">
        <v>6</v>
      </c>
      <c r="N378">
        <v>4</v>
      </c>
      <c r="O378">
        <v>1</v>
      </c>
      <c r="P378">
        <v>0</v>
      </c>
      <c r="Q378">
        <v>0</v>
      </c>
      <c r="R378">
        <v>1</v>
      </c>
      <c r="S378">
        <v>1</v>
      </c>
      <c r="T378" t="str">
        <f>IF(mental_health[Sleep_Hours]&lt;5,"Low",IF(mental_health[Sleep_Hours]&lt;7,"Medium","Good"))</f>
        <v>Good</v>
      </c>
      <c r="U378" t="str">
        <f>IF(mental_health[Stress_Level]&lt;=3,"Low",IF(mental_health[Stress_Level]&lt;=7,"Medium","High"))</f>
        <v>High</v>
      </c>
      <c r="V378" t="str">
        <f>IF(mental_health[Daily_Screen_Time]&lt;=4,"Low",IF(mental_health[Daily_Screen_Time]&lt;=8,"Medium","High"))</f>
        <v>High</v>
      </c>
    </row>
    <row r="379" spans="1:22" x14ac:dyDescent="0.3">
      <c r="A379">
        <v>378</v>
      </c>
      <c r="B379">
        <v>17</v>
      </c>
      <c r="C379" t="s">
        <v>18</v>
      </c>
      <c r="D379" t="s">
        <v>19</v>
      </c>
      <c r="E379">
        <v>3.9</v>
      </c>
      <c r="F379">
        <v>2.1</v>
      </c>
      <c r="G379">
        <v>1</v>
      </c>
      <c r="H379" t="str">
        <f t="shared" si="5"/>
        <v>Night Usage</v>
      </c>
      <c r="I379">
        <v>3.6</v>
      </c>
      <c r="J379" s="3">
        <v>4</v>
      </c>
      <c r="K379">
        <v>8.1</v>
      </c>
      <c r="L379" t="s">
        <v>21</v>
      </c>
      <c r="M379">
        <v>2</v>
      </c>
      <c r="N379">
        <v>4</v>
      </c>
      <c r="O379">
        <v>1</v>
      </c>
      <c r="P379">
        <v>0</v>
      </c>
      <c r="Q379">
        <v>0</v>
      </c>
      <c r="R379">
        <v>1</v>
      </c>
      <c r="S379">
        <v>1</v>
      </c>
      <c r="T379" t="str">
        <f>IF(mental_health[Sleep_Hours]&lt;5,"Low",IF(mental_health[Sleep_Hours]&lt;7,"Medium","Good"))</f>
        <v>Low</v>
      </c>
      <c r="U379" t="str">
        <f>IF(mental_health[Stress_Level]&lt;=3,"Low",IF(mental_health[Stress_Level]&lt;=7,"Medium","High"))</f>
        <v>Medium</v>
      </c>
      <c r="V379" t="str">
        <f>IF(mental_health[Daily_Screen_Time]&lt;=4,"Low",IF(mental_health[Daily_Screen_Time]&lt;=8,"Medium","High"))</f>
        <v>Low</v>
      </c>
    </row>
    <row r="380" spans="1:22" x14ac:dyDescent="0.3">
      <c r="A380">
        <v>379</v>
      </c>
      <c r="B380">
        <v>47</v>
      </c>
      <c r="C380" t="s">
        <v>23</v>
      </c>
      <c r="D380" t="s">
        <v>22</v>
      </c>
      <c r="E380">
        <v>2.2999999999999998</v>
      </c>
      <c r="F380">
        <v>2.7</v>
      </c>
      <c r="G380">
        <v>0</v>
      </c>
      <c r="H380" t="str">
        <f t="shared" si="5"/>
        <v>No Night Usage</v>
      </c>
      <c r="I380">
        <v>7.4</v>
      </c>
      <c r="J380" s="3">
        <v>5</v>
      </c>
      <c r="K380">
        <v>10.199999999999999</v>
      </c>
      <c r="L380" t="s">
        <v>20</v>
      </c>
      <c r="M380">
        <v>7</v>
      </c>
      <c r="N380">
        <v>0</v>
      </c>
      <c r="O380">
        <v>1</v>
      </c>
      <c r="P380">
        <v>1</v>
      </c>
      <c r="Q380">
        <v>0</v>
      </c>
      <c r="R380">
        <v>0</v>
      </c>
      <c r="S380">
        <v>1</v>
      </c>
      <c r="T380" t="str">
        <f>IF(mental_health[Sleep_Hours]&lt;5,"Low",IF(mental_health[Sleep_Hours]&lt;7,"Medium","Good"))</f>
        <v>Good</v>
      </c>
      <c r="U380" t="str">
        <f>IF(mental_health[Stress_Level]&lt;=3,"Low",IF(mental_health[Stress_Level]&lt;=7,"Medium","High"))</f>
        <v>Medium</v>
      </c>
      <c r="V380" t="str">
        <f>IF(mental_health[Daily_Screen_Time]&lt;=4,"Low",IF(mental_health[Daily_Screen_Time]&lt;=8,"Medium","High"))</f>
        <v>Low</v>
      </c>
    </row>
    <row r="381" spans="1:22" x14ac:dyDescent="0.3">
      <c r="A381">
        <v>380</v>
      </c>
      <c r="B381">
        <v>38</v>
      </c>
      <c r="C381" t="s">
        <v>23</v>
      </c>
      <c r="D381" t="s">
        <v>24</v>
      </c>
      <c r="E381">
        <v>4.8</v>
      </c>
      <c r="F381">
        <v>6.9</v>
      </c>
      <c r="G381">
        <v>1</v>
      </c>
      <c r="H381" t="str">
        <f t="shared" si="5"/>
        <v>Night Usage</v>
      </c>
      <c r="I381">
        <v>8.8000000000000007</v>
      </c>
      <c r="J381" s="3">
        <v>3</v>
      </c>
      <c r="K381">
        <v>5.4</v>
      </c>
      <c r="L381" t="s">
        <v>25</v>
      </c>
      <c r="M381">
        <v>2</v>
      </c>
      <c r="N381">
        <v>4</v>
      </c>
      <c r="O381">
        <v>1</v>
      </c>
      <c r="P381">
        <v>0</v>
      </c>
      <c r="Q381">
        <v>0</v>
      </c>
      <c r="R381">
        <v>0</v>
      </c>
      <c r="S381">
        <v>0</v>
      </c>
      <c r="T381" t="str">
        <f>IF(mental_health[Sleep_Hours]&lt;5,"Low",IF(mental_health[Sleep_Hours]&lt;7,"Medium","Good"))</f>
        <v>Good</v>
      </c>
      <c r="U381" t="str">
        <f>IF(mental_health[Stress_Level]&lt;=3,"Low",IF(mental_health[Stress_Level]&lt;=7,"Medium","High"))</f>
        <v>Low</v>
      </c>
      <c r="V381" t="str">
        <f>IF(mental_health[Daily_Screen_Time]&lt;=4,"Low",IF(mental_health[Daily_Screen_Time]&lt;=8,"Medium","High"))</f>
        <v>Medium</v>
      </c>
    </row>
    <row r="382" spans="1:22" x14ac:dyDescent="0.3">
      <c r="A382">
        <v>381</v>
      </c>
      <c r="B382">
        <v>37</v>
      </c>
      <c r="C382" t="s">
        <v>23</v>
      </c>
      <c r="D382" t="s">
        <v>24</v>
      </c>
      <c r="E382">
        <v>6.4</v>
      </c>
      <c r="F382">
        <v>2.5</v>
      </c>
      <c r="G382">
        <v>1</v>
      </c>
      <c r="H382" t="str">
        <f t="shared" si="5"/>
        <v>Night Usage</v>
      </c>
      <c r="I382">
        <v>7.1</v>
      </c>
      <c r="J382" s="3">
        <v>5</v>
      </c>
      <c r="K382">
        <v>3.9</v>
      </c>
      <c r="L382" t="s">
        <v>21</v>
      </c>
      <c r="M382">
        <v>3</v>
      </c>
      <c r="N382">
        <v>4</v>
      </c>
      <c r="O382">
        <v>0</v>
      </c>
      <c r="P382">
        <v>0</v>
      </c>
      <c r="Q382">
        <v>0</v>
      </c>
      <c r="R382">
        <v>0</v>
      </c>
      <c r="S382">
        <v>0</v>
      </c>
      <c r="T382" t="str">
        <f>IF(mental_health[Sleep_Hours]&lt;5,"Low",IF(mental_health[Sleep_Hours]&lt;7,"Medium","Good"))</f>
        <v>Good</v>
      </c>
      <c r="U382" t="str">
        <f>IF(mental_health[Stress_Level]&lt;=3,"Low",IF(mental_health[Stress_Level]&lt;=7,"Medium","High"))</f>
        <v>Medium</v>
      </c>
      <c r="V382" t="str">
        <f>IF(mental_health[Daily_Screen_Time]&lt;=4,"Low",IF(mental_health[Daily_Screen_Time]&lt;=8,"Medium","High"))</f>
        <v>Medium</v>
      </c>
    </row>
    <row r="383" spans="1:22" x14ac:dyDescent="0.3">
      <c r="A383">
        <v>382</v>
      </c>
      <c r="B383">
        <v>40</v>
      </c>
      <c r="C383" t="s">
        <v>18</v>
      </c>
      <c r="D383" t="s">
        <v>22</v>
      </c>
      <c r="E383">
        <v>8.1999999999999993</v>
      </c>
      <c r="F383">
        <v>1.5</v>
      </c>
      <c r="G383">
        <v>0</v>
      </c>
      <c r="H383" t="str">
        <f t="shared" si="5"/>
        <v>No Night Usage</v>
      </c>
      <c r="I383">
        <v>6.4</v>
      </c>
      <c r="J383" s="3">
        <v>3</v>
      </c>
      <c r="K383">
        <v>4</v>
      </c>
      <c r="L383" t="s">
        <v>20</v>
      </c>
      <c r="M383">
        <v>9</v>
      </c>
      <c r="N383">
        <v>1</v>
      </c>
      <c r="O383">
        <v>0</v>
      </c>
      <c r="P383">
        <v>0</v>
      </c>
      <c r="Q383">
        <v>1</v>
      </c>
      <c r="R383">
        <v>0</v>
      </c>
      <c r="S383">
        <v>1</v>
      </c>
      <c r="T383" t="str">
        <f>IF(mental_health[Sleep_Hours]&lt;5,"Low",IF(mental_health[Sleep_Hours]&lt;7,"Medium","Good"))</f>
        <v>Medium</v>
      </c>
      <c r="U383" t="str">
        <f>IF(mental_health[Stress_Level]&lt;=3,"Low",IF(mental_health[Stress_Level]&lt;=7,"Medium","High"))</f>
        <v>Low</v>
      </c>
      <c r="V383" t="str">
        <f>IF(mental_health[Daily_Screen_Time]&lt;=4,"Low",IF(mental_health[Daily_Screen_Time]&lt;=8,"Medium","High"))</f>
        <v>High</v>
      </c>
    </row>
    <row r="384" spans="1:22" x14ac:dyDescent="0.3">
      <c r="A384">
        <v>383</v>
      </c>
      <c r="B384">
        <v>37</v>
      </c>
      <c r="C384" t="s">
        <v>18</v>
      </c>
      <c r="D384" t="s">
        <v>19</v>
      </c>
      <c r="E384">
        <v>10.5</v>
      </c>
      <c r="F384">
        <v>5.9</v>
      </c>
      <c r="G384">
        <v>0</v>
      </c>
      <c r="H384" t="str">
        <f t="shared" si="5"/>
        <v>No Night Usage</v>
      </c>
      <c r="I384">
        <v>8.6999999999999993</v>
      </c>
      <c r="J384" s="3">
        <v>5</v>
      </c>
      <c r="K384">
        <v>9.3000000000000007</v>
      </c>
      <c r="L384" t="s">
        <v>20</v>
      </c>
      <c r="M384">
        <v>4</v>
      </c>
      <c r="N384">
        <v>2</v>
      </c>
      <c r="O384">
        <v>1</v>
      </c>
      <c r="P384">
        <v>0</v>
      </c>
      <c r="Q384">
        <v>1</v>
      </c>
      <c r="R384">
        <v>0</v>
      </c>
      <c r="S384">
        <v>1</v>
      </c>
      <c r="T384" t="str">
        <f>IF(mental_health[Sleep_Hours]&lt;5,"Low",IF(mental_health[Sleep_Hours]&lt;7,"Medium","Good"))</f>
        <v>Good</v>
      </c>
      <c r="U384" t="str">
        <f>IF(mental_health[Stress_Level]&lt;=3,"Low",IF(mental_health[Stress_Level]&lt;=7,"Medium","High"))</f>
        <v>Medium</v>
      </c>
      <c r="V384" t="str">
        <f>IF(mental_health[Daily_Screen_Time]&lt;=4,"Low",IF(mental_health[Daily_Screen_Time]&lt;=8,"Medium","High"))</f>
        <v>High</v>
      </c>
    </row>
    <row r="385" spans="1:22" x14ac:dyDescent="0.3">
      <c r="A385">
        <v>384</v>
      </c>
      <c r="B385">
        <v>37</v>
      </c>
      <c r="C385" t="s">
        <v>23</v>
      </c>
      <c r="D385" t="s">
        <v>19</v>
      </c>
      <c r="E385">
        <v>4</v>
      </c>
      <c r="F385">
        <v>3.8</v>
      </c>
      <c r="G385">
        <v>1</v>
      </c>
      <c r="H385" t="str">
        <f t="shared" si="5"/>
        <v>Night Usage</v>
      </c>
      <c r="I385">
        <v>5.7</v>
      </c>
      <c r="J385" s="3">
        <v>5</v>
      </c>
      <c r="K385">
        <v>8.1</v>
      </c>
      <c r="L385" t="s">
        <v>25</v>
      </c>
      <c r="M385">
        <v>5</v>
      </c>
      <c r="N385">
        <v>3</v>
      </c>
      <c r="O385">
        <v>1</v>
      </c>
      <c r="P385">
        <v>0</v>
      </c>
      <c r="Q385">
        <v>1</v>
      </c>
      <c r="R385">
        <v>1</v>
      </c>
      <c r="S385">
        <v>1</v>
      </c>
      <c r="T385" t="str">
        <f>IF(mental_health[Sleep_Hours]&lt;5,"Low",IF(mental_health[Sleep_Hours]&lt;7,"Medium","Good"))</f>
        <v>Medium</v>
      </c>
      <c r="U385" t="str">
        <f>IF(mental_health[Stress_Level]&lt;=3,"Low",IF(mental_health[Stress_Level]&lt;=7,"Medium","High"))</f>
        <v>Medium</v>
      </c>
      <c r="V385" t="str">
        <f>IF(mental_health[Daily_Screen_Time]&lt;=4,"Low",IF(mental_health[Daily_Screen_Time]&lt;=8,"Medium","High"))</f>
        <v>Low</v>
      </c>
    </row>
    <row r="386" spans="1:22" x14ac:dyDescent="0.3">
      <c r="A386">
        <v>385</v>
      </c>
      <c r="B386">
        <v>57</v>
      </c>
      <c r="C386" t="s">
        <v>23</v>
      </c>
      <c r="D386" t="s">
        <v>24</v>
      </c>
      <c r="E386">
        <v>3.3</v>
      </c>
      <c r="F386">
        <v>7.4</v>
      </c>
      <c r="G386">
        <v>0</v>
      </c>
      <c r="H386" t="str">
        <f t="shared" ref="H386:H449" si="6">IF(G386=1,"Night Usage","No Night Usage")</f>
        <v>No Night Usage</v>
      </c>
      <c r="I386">
        <v>6.6</v>
      </c>
      <c r="J386" s="3">
        <v>6</v>
      </c>
      <c r="K386">
        <v>4.0999999999999996</v>
      </c>
      <c r="L386" t="s">
        <v>21</v>
      </c>
      <c r="M386">
        <v>9</v>
      </c>
      <c r="N386">
        <v>1</v>
      </c>
      <c r="O386">
        <v>1</v>
      </c>
      <c r="P386">
        <v>1</v>
      </c>
      <c r="Q386">
        <v>1</v>
      </c>
      <c r="R386">
        <v>0</v>
      </c>
      <c r="S386">
        <v>0</v>
      </c>
      <c r="T386" t="str">
        <f>IF(mental_health[Sleep_Hours]&lt;5,"Low",IF(mental_health[Sleep_Hours]&lt;7,"Medium","Good"))</f>
        <v>Medium</v>
      </c>
      <c r="U386" t="str">
        <f>IF(mental_health[Stress_Level]&lt;=3,"Low",IF(mental_health[Stress_Level]&lt;=7,"Medium","High"))</f>
        <v>Medium</v>
      </c>
      <c r="V386" t="str">
        <f>IF(mental_health[Daily_Screen_Time]&lt;=4,"Low",IF(mental_health[Daily_Screen_Time]&lt;=8,"Medium","High"))</f>
        <v>Low</v>
      </c>
    </row>
    <row r="387" spans="1:22" x14ac:dyDescent="0.3">
      <c r="A387">
        <v>386</v>
      </c>
      <c r="B387">
        <v>21</v>
      </c>
      <c r="C387" t="s">
        <v>23</v>
      </c>
      <c r="D387" t="s">
        <v>22</v>
      </c>
      <c r="E387">
        <v>11.6</v>
      </c>
      <c r="F387">
        <v>5.6</v>
      </c>
      <c r="G387">
        <v>1</v>
      </c>
      <c r="H387" t="str">
        <f t="shared" si="6"/>
        <v>Night Usage</v>
      </c>
      <c r="I387">
        <v>5.9</v>
      </c>
      <c r="J387" s="3">
        <v>9</v>
      </c>
      <c r="K387">
        <v>3.5</v>
      </c>
      <c r="L387" t="s">
        <v>21</v>
      </c>
      <c r="M387">
        <v>7</v>
      </c>
      <c r="N387">
        <v>1</v>
      </c>
      <c r="O387">
        <v>1</v>
      </c>
      <c r="P387">
        <v>1</v>
      </c>
      <c r="Q387">
        <v>1</v>
      </c>
      <c r="R387">
        <v>1</v>
      </c>
      <c r="S387">
        <v>0</v>
      </c>
      <c r="T387" t="str">
        <f>IF(mental_health[Sleep_Hours]&lt;5,"Low",IF(mental_health[Sleep_Hours]&lt;7,"Medium","Good"))</f>
        <v>Medium</v>
      </c>
      <c r="U387" t="str">
        <f>IF(mental_health[Stress_Level]&lt;=3,"Low",IF(mental_health[Stress_Level]&lt;=7,"Medium","High"))</f>
        <v>High</v>
      </c>
      <c r="V387" t="str">
        <f>IF(mental_health[Daily_Screen_Time]&lt;=4,"Low",IF(mental_health[Daily_Screen_Time]&lt;=8,"Medium","High"))</f>
        <v>High</v>
      </c>
    </row>
    <row r="388" spans="1:22" x14ac:dyDescent="0.3">
      <c r="A388">
        <v>387</v>
      </c>
      <c r="B388">
        <v>30</v>
      </c>
      <c r="C388" t="s">
        <v>23</v>
      </c>
      <c r="D388" t="s">
        <v>24</v>
      </c>
      <c r="E388">
        <v>3.1</v>
      </c>
      <c r="F388">
        <v>1.6</v>
      </c>
      <c r="G388">
        <v>1</v>
      </c>
      <c r="H388" t="str">
        <f t="shared" si="6"/>
        <v>Night Usage</v>
      </c>
      <c r="I388">
        <v>8.6</v>
      </c>
      <c r="J388" s="3">
        <v>1</v>
      </c>
      <c r="K388">
        <v>3.2</v>
      </c>
      <c r="L388" t="s">
        <v>21</v>
      </c>
      <c r="M388">
        <v>8</v>
      </c>
      <c r="N388">
        <v>1</v>
      </c>
      <c r="O388">
        <v>1</v>
      </c>
      <c r="P388">
        <v>1</v>
      </c>
      <c r="Q388">
        <v>0</v>
      </c>
      <c r="R388">
        <v>1</v>
      </c>
      <c r="S388">
        <v>0</v>
      </c>
      <c r="T388" t="str">
        <f>IF(mental_health[Sleep_Hours]&lt;5,"Low",IF(mental_health[Sleep_Hours]&lt;7,"Medium","Good"))</f>
        <v>Good</v>
      </c>
      <c r="U388" t="str">
        <f>IF(mental_health[Stress_Level]&lt;=3,"Low",IF(mental_health[Stress_Level]&lt;=7,"Medium","High"))</f>
        <v>Low</v>
      </c>
      <c r="V388" t="str">
        <f>IF(mental_health[Daily_Screen_Time]&lt;=4,"Low",IF(mental_health[Daily_Screen_Time]&lt;=8,"Medium","High"))</f>
        <v>Low</v>
      </c>
    </row>
    <row r="389" spans="1:22" x14ac:dyDescent="0.3">
      <c r="A389">
        <v>388</v>
      </c>
      <c r="B389">
        <v>58</v>
      </c>
      <c r="C389" t="s">
        <v>23</v>
      </c>
      <c r="D389" t="s">
        <v>22</v>
      </c>
      <c r="E389">
        <v>6.8</v>
      </c>
      <c r="F389">
        <v>7.6</v>
      </c>
      <c r="G389">
        <v>0</v>
      </c>
      <c r="H389" t="str">
        <f t="shared" si="6"/>
        <v>No Night Usage</v>
      </c>
      <c r="I389">
        <v>3.5</v>
      </c>
      <c r="J389" s="3">
        <v>10</v>
      </c>
      <c r="K389">
        <v>8.3000000000000007</v>
      </c>
      <c r="L389" t="s">
        <v>25</v>
      </c>
      <c r="M389">
        <v>3</v>
      </c>
      <c r="N389">
        <v>3</v>
      </c>
      <c r="O389">
        <v>1</v>
      </c>
      <c r="P389">
        <v>0</v>
      </c>
      <c r="Q389">
        <v>1</v>
      </c>
      <c r="R389">
        <v>0</v>
      </c>
      <c r="S389">
        <v>0</v>
      </c>
      <c r="T389" t="str">
        <f>IF(mental_health[Sleep_Hours]&lt;5,"Low",IF(mental_health[Sleep_Hours]&lt;7,"Medium","Good"))</f>
        <v>Low</v>
      </c>
      <c r="U389" t="str">
        <f>IF(mental_health[Stress_Level]&lt;=3,"Low",IF(mental_health[Stress_Level]&lt;=7,"Medium","High"))</f>
        <v>High</v>
      </c>
      <c r="V389" t="str">
        <f>IF(mental_health[Daily_Screen_Time]&lt;=4,"Low",IF(mental_health[Daily_Screen_Time]&lt;=8,"Medium","High"))</f>
        <v>Medium</v>
      </c>
    </row>
    <row r="390" spans="1:22" x14ac:dyDescent="0.3">
      <c r="A390">
        <v>389</v>
      </c>
      <c r="B390">
        <v>52</v>
      </c>
      <c r="C390" t="s">
        <v>23</v>
      </c>
      <c r="D390" t="s">
        <v>19</v>
      </c>
      <c r="E390">
        <v>7.9</v>
      </c>
      <c r="F390">
        <v>2.8</v>
      </c>
      <c r="G390">
        <v>0</v>
      </c>
      <c r="H390" t="str">
        <f t="shared" si="6"/>
        <v>No Night Usage</v>
      </c>
      <c r="I390">
        <v>6</v>
      </c>
      <c r="J390" s="3">
        <v>6</v>
      </c>
      <c r="K390">
        <v>2</v>
      </c>
      <c r="L390" t="s">
        <v>20</v>
      </c>
      <c r="M390">
        <v>4</v>
      </c>
      <c r="N390">
        <v>1</v>
      </c>
      <c r="O390">
        <v>1</v>
      </c>
      <c r="P390">
        <v>0</v>
      </c>
      <c r="Q390">
        <v>1</v>
      </c>
      <c r="R390">
        <v>0</v>
      </c>
      <c r="S390">
        <v>0</v>
      </c>
      <c r="T390" t="str">
        <f>IF(mental_health[Sleep_Hours]&lt;5,"Low",IF(mental_health[Sleep_Hours]&lt;7,"Medium","Good"))</f>
        <v>Medium</v>
      </c>
      <c r="U390" t="str">
        <f>IF(mental_health[Stress_Level]&lt;=3,"Low",IF(mental_health[Stress_Level]&lt;=7,"Medium","High"))</f>
        <v>Medium</v>
      </c>
      <c r="V390" t="str">
        <f>IF(mental_health[Daily_Screen_Time]&lt;=4,"Low",IF(mental_health[Daily_Screen_Time]&lt;=8,"Medium","High"))</f>
        <v>Medium</v>
      </c>
    </row>
    <row r="391" spans="1:22" x14ac:dyDescent="0.3">
      <c r="A391">
        <v>390</v>
      </c>
      <c r="B391">
        <v>48</v>
      </c>
      <c r="C391" t="s">
        <v>18</v>
      </c>
      <c r="D391" t="s">
        <v>22</v>
      </c>
      <c r="E391">
        <v>7.4</v>
      </c>
      <c r="F391">
        <v>3.4</v>
      </c>
      <c r="G391">
        <v>1</v>
      </c>
      <c r="H391" t="str">
        <f t="shared" si="6"/>
        <v>Night Usage</v>
      </c>
      <c r="I391">
        <v>7.1</v>
      </c>
      <c r="J391" s="3">
        <v>1</v>
      </c>
      <c r="K391">
        <v>2.2000000000000002</v>
      </c>
      <c r="L391" t="s">
        <v>20</v>
      </c>
      <c r="M391">
        <v>7</v>
      </c>
      <c r="N391">
        <v>2</v>
      </c>
      <c r="O391">
        <v>1</v>
      </c>
      <c r="P391">
        <v>1</v>
      </c>
      <c r="Q391">
        <v>0</v>
      </c>
      <c r="R391">
        <v>0</v>
      </c>
      <c r="S391">
        <v>0</v>
      </c>
      <c r="T391" t="str">
        <f>IF(mental_health[Sleep_Hours]&lt;5,"Low",IF(mental_health[Sleep_Hours]&lt;7,"Medium","Good"))</f>
        <v>Good</v>
      </c>
      <c r="U391" t="str">
        <f>IF(mental_health[Stress_Level]&lt;=3,"Low",IF(mental_health[Stress_Level]&lt;=7,"Medium","High"))</f>
        <v>Low</v>
      </c>
      <c r="V391" t="str">
        <f>IF(mental_health[Daily_Screen_Time]&lt;=4,"Low",IF(mental_health[Daily_Screen_Time]&lt;=8,"Medium","High"))</f>
        <v>Medium</v>
      </c>
    </row>
    <row r="392" spans="1:22" x14ac:dyDescent="0.3">
      <c r="A392">
        <v>391</v>
      </c>
      <c r="B392">
        <v>23</v>
      </c>
      <c r="C392" t="s">
        <v>23</v>
      </c>
      <c r="D392" t="s">
        <v>19</v>
      </c>
      <c r="E392">
        <v>2.9</v>
      </c>
      <c r="F392">
        <v>3.8</v>
      </c>
      <c r="G392">
        <v>0</v>
      </c>
      <c r="H392" t="str">
        <f t="shared" si="6"/>
        <v>No Night Usage</v>
      </c>
      <c r="I392">
        <v>7.8</v>
      </c>
      <c r="J392" s="3">
        <v>6</v>
      </c>
      <c r="K392">
        <v>5.9</v>
      </c>
      <c r="L392" t="s">
        <v>21</v>
      </c>
      <c r="M392">
        <v>4</v>
      </c>
      <c r="N392">
        <v>4</v>
      </c>
      <c r="O392">
        <v>0</v>
      </c>
      <c r="P392">
        <v>1</v>
      </c>
      <c r="Q392">
        <v>0</v>
      </c>
      <c r="R392">
        <v>1</v>
      </c>
      <c r="S392">
        <v>0</v>
      </c>
      <c r="T392" t="str">
        <f>IF(mental_health[Sleep_Hours]&lt;5,"Low",IF(mental_health[Sleep_Hours]&lt;7,"Medium","Good"))</f>
        <v>Good</v>
      </c>
      <c r="U392" t="str">
        <f>IF(mental_health[Stress_Level]&lt;=3,"Low",IF(mental_health[Stress_Level]&lt;=7,"Medium","High"))</f>
        <v>Medium</v>
      </c>
      <c r="V392" t="str">
        <f>IF(mental_health[Daily_Screen_Time]&lt;=4,"Low",IF(mental_health[Daily_Screen_Time]&lt;=8,"Medium","High"))</f>
        <v>Low</v>
      </c>
    </row>
    <row r="393" spans="1:22" x14ac:dyDescent="0.3">
      <c r="A393">
        <v>392</v>
      </c>
      <c r="B393">
        <v>59</v>
      </c>
      <c r="C393" t="s">
        <v>18</v>
      </c>
      <c r="D393" t="s">
        <v>22</v>
      </c>
      <c r="E393">
        <v>2.6</v>
      </c>
      <c r="F393">
        <v>1.4</v>
      </c>
      <c r="G393">
        <v>1</v>
      </c>
      <c r="H393" t="str">
        <f t="shared" si="6"/>
        <v>Night Usage</v>
      </c>
      <c r="I393">
        <v>6.5</v>
      </c>
      <c r="J393" s="3">
        <v>2</v>
      </c>
      <c r="K393">
        <v>8.9</v>
      </c>
      <c r="L393" t="s">
        <v>20</v>
      </c>
      <c r="M393">
        <v>2</v>
      </c>
      <c r="N393">
        <v>2</v>
      </c>
      <c r="O393">
        <v>1</v>
      </c>
      <c r="P393">
        <v>1</v>
      </c>
      <c r="Q393">
        <v>1</v>
      </c>
      <c r="R393">
        <v>1</v>
      </c>
      <c r="S393">
        <v>0</v>
      </c>
      <c r="T393" t="str">
        <f>IF(mental_health[Sleep_Hours]&lt;5,"Low",IF(mental_health[Sleep_Hours]&lt;7,"Medium","Good"))</f>
        <v>Medium</v>
      </c>
      <c r="U393" t="str">
        <f>IF(mental_health[Stress_Level]&lt;=3,"Low",IF(mental_health[Stress_Level]&lt;=7,"Medium","High"))</f>
        <v>Low</v>
      </c>
      <c r="V393" t="str">
        <f>IF(mental_health[Daily_Screen_Time]&lt;=4,"Low",IF(mental_health[Daily_Screen_Time]&lt;=8,"Medium","High"))</f>
        <v>Low</v>
      </c>
    </row>
    <row r="394" spans="1:22" x14ac:dyDescent="0.3">
      <c r="A394">
        <v>393</v>
      </c>
      <c r="B394">
        <v>59</v>
      </c>
      <c r="C394" t="s">
        <v>23</v>
      </c>
      <c r="D394" t="s">
        <v>24</v>
      </c>
      <c r="E394">
        <v>3.1</v>
      </c>
      <c r="F394">
        <v>4.5</v>
      </c>
      <c r="G394">
        <v>1</v>
      </c>
      <c r="H394" t="str">
        <f t="shared" si="6"/>
        <v>Night Usage</v>
      </c>
      <c r="I394">
        <v>8.5</v>
      </c>
      <c r="J394" s="3">
        <v>8</v>
      </c>
      <c r="K394">
        <v>9</v>
      </c>
      <c r="L394" t="s">
        <v>21</v>
      </c>
      <c r="M394">
        <v>10</v>
      </c>
      <c r="N394">
        <v>4</v>
      </c>
      <c r="O394">
        <v>1</v>
      </c>
      <c r="P394">
        <v>0</v>
      </c>
      <c r="Q394">
        <v>1</v>
      </c>
      <c r="R394">
        <v>1</v>
      </c>
      <c r="S394">
        <v>1</v>
      </c>
      <c r="T394" t="str">
        <f>IF(mental_health[Sleep_Hours]&lt;5,"Low",IF(mental_health[Sleep_Hours]&lt;7,"Medium","Good"))</f>
        <v>Good</v>
      </c>
      <c r="U394" t="str">
        <f>IF(mental_health[Stress_Level]&lt;=3,"Low",IF(mental_health[Stress_Level]&lt;=7,"Medium","High"))</f>
        <v>High</v>
      </c>
      <c r="V394" t="str">
        <f>IF(mental_health[Daily_Screen_Time]&lt;=4,"Low",IF(mental_health[Daily_Screen_Time]&lt;=8,"Medium","High"))</f>
        <v>Low</v>
      </c>
    </row>
    <row r="395" spans="1:22" x14ac:dyDescent="0.3">
      <c r="A395">
        <v>394</v>
      </c>
      <c r="B395">
        <v>20</v>
      </c>
      <c r="C395" t="s">
        <v>23</v>
      </c>
      <c r="D395" t="s">
        <v>19</v>
      </c>
      <c r="E395">
        <v>7.9</v>
      </c>
      <c r="F395">
        <v>1.9</v>
      </c>
      <c r="G395">
        <v>1</v>
      </c>
      <c r="H395" t="str">
        <f t="shared" si="6"/>
        <v>Night Usage</v>
      </c>
      <c r="I395">
        <v>8.6999999999999993</v>
      </c>
      <c r="J395" s="3">
        <v>3</v>
      </c>
      <c r="K395">
        <v>6.3</v>
      </c>
      <c r="L395" t="s">
        <v>25</v>
      </c>
      <c r="M395">
        <v>6</v>
      </c>
      <c r="N395">
        <v>4</v>
      </c>
      <c r="O395">
        <v>0</v>
      </c>
      <c r="P395">
        <v>1</v>
      </c>
      <c r="Q395">
        <v>1</v>
      </c>
      <c r="R395">
        <v>0</v>
      </c>
      <c r="S395">
        <v>0</v>
      </c>
      <c r="T395" t="str">
        <f>IF(mental_health[Sleep_Hours]&lt;5,"Low",IF(mental_health[Sleep_Hours]&lt;7,"Medium","Good"))</f>
        <v>Good</v>
      </c>
      <c r="U395" t="str">
        <f>IF(mental_health[Stress_Level]&lt;=3,"Low",IF(mental_health[Stress_Level]&lt;=7,"Medium","High"))</f>
        <v>Low</v>
      </c>
      <c r="V395" t="str">
        <f>IF(mental_health[Daily_Screen_Time]&lt;=4,"Low",IF(mental_health[Daily_Screen_Time]&lt;=8,"Medium","High"))</f>
        <v>Medium</v>
      </c>
    </row>
    <row r="396" spans="1:22" x14ac:dyDescent="0.3">
      <c r="A396">
        <v>395</v>
      </c>
      <c r="B396">
        <v>54</v>
      </c>
      <c r="C396" t="s">
        <v>18</v>
      </c>
      <c r="D396" t="s">
        <v>24</v>
      </c>
      <c r="E396">
        <v>7.4</v>
      </c>
      <c r="F396">
        <v>3.8</v>
      </c>
      <c r="G396">
        <v>0</v>
      </c>
      <c r="H396" t="str">
        <f t="shared" si="6"/>
        <v>No Night Usage</v>
      </c>
      <c r="I396">
        <v>3.4</v>
      </c>
      <c r="J396" s="3">
        <v>10</v>
      </c>
      <c r="K396">
        <v>8.9</v>
      </c>
      <c r="L396" t="s">
        <v>25</v>
      </c>
      <c r="M396">
        <v>9</v>
      </c>
      <c r="N396">
        <v>1</v>
      </c>
      <c r="O396">
        <v>1</v>
      </c>
      <c r="P396">
        <v>1</v>
      </c>
      <c r="Q396">
        <v>1</v>
      </c>
      <c r="R396">
        <v>1</v>
      </c>
      <c r="S396">
        <v>0</v>
      </c>
      <c r="T396" t="str">
        <f>IF(mental_health[Sleep_Hours]&lt;5,"Low",IF(mental_health[Sleep_Hours]&lt;7,"Medium","Good"))</f>
        <v>Low</v>
      </c>
      <c r="U396" t="str">
        <f>IF(mental_health[Stress_Level]&lt;=3,"Low",IF(mental_health[Stress_Level]&lt;=7,"Medium","High"))</f>
        <v>High</v>
      </c>
      <c r="V396" t="str">
        <f>IF(mental_health[Daily_Screen_Time]&lt;=4,"Low",IF(mental_health[Daily_Screen_Time]&lt;=8,"Medium","High"))</f>
        <v>Medium</v>
      </c>
    </row>
    <row r="397" spans="1:22" x14ac:dyDescent="0.3">
      <c r="A397">
        <v>396</v>
      </c>
      <c r="B397">
        <v>19</v>
      </c>
      <c r="C397" t="s">
        <v>18</v>
      </c>
      <c r="D397" t="s">
        <v>24</v>
      </c>
      <c r="E397">
        <v>4.3</v>
      </c>
      <c r="F397">
        <v>3.5</v>
      </c>
      <c r="G397">
        <v>1</v>
      </c>
      <c r="H397" t="str">
        <f t="shared" si="6"/>
        <v>Night Usage</v>
      </c>
      <c r="I397">
        <v>5.4</v>
      </c>
      <c r="J397" s="3">
        <v>6</v>
      </c>
      <c r="K397">
        <v>7.2</v>
      </c>
      <c r="L397" t="s">
        <v>25</v>
      </c>
      <c r="M397">
        <v>2</v>
      </c>
      <c r="N397">
        <v>1</v>
      </c>
      <c r="O397">
        <v>1</v>
      </c>
      <c r="P397">
        <v>1</v>
      </c>
      <c r="Q397">
        <v>0</v>
      </c>
      <c r="R397">
        <v>0</v>
      </c>
      <c r="S397">
        <v>1</v>
      </c>
      <c r="T397" t="str">
        <f>IF(mental_health[Sleep_Hours]&lt;5,"Low",IF(mental_health[Sleep_Hours]&lt;7,"Medium","Good"))</f>
        <v>Medium</v>
      </c>
      <c r="U397" t="str">
        <f>IF(mental_health[Stress_Level]&lt;=3,"Low",IF(mental_health[Stress_Level]&lt;=7,"Medium","High"))</f>
        <v>Medium</v>
      </c>
      <c r="V397" t="str">
        <f>IF(mental_health[Daily_Screen_Time]&lt;=4,"Low",IF(mental_health[Daily_Screen_Time]&lt;=8,"Medium","High"))</f>
        <v>Medium</v>
      </c>
    </row>
    <row r="398" spans="1:22" x14ac:dyDescent="0.3">
      <c r="A398">
        <v>397</v>
      </c>
      <c r="B398">
        <v>21</v>
      </c>
      <c r="C398" t="s">
        <v>18</v>
      </c>
      <c r="D398" t="s">
        <v>19</v>
      </c>
      <c r="E398">
        <v>8.4</v>
      </c>
      <c r="F398">
        <v>6.4</v>
      </c>
      <c r="G398">
        <v>1</v>
      </c>
      <c r="H398" t="str">
        <f t="shared" si="6"/>
        <v>Night Usage</v>
      </c>
      <c r="I398">
        <v>3.1</v>
      </c>
      <c r="J398" s="3">
        <v>6</v>
      </c>
      <c r="K398">
        <v>11.8</v>
      </c>
      <c r="L398" t="s">
        <v>21</v>
      </c>
      <c r="M398">
        <v>1</v>
      </c>
      <c r="N398">
        <v>3</v>
      </c>
      <c r="O398">
        <v>1</v>
      </c>
      <c r="P398">
        <v>1</v>
      </c>
      <c r="Q398">
        <v>1</v>
      </c>
      <c r="R398">
        <v>0</v>
      </c>
      <c r="S398">
        <v>1</v>
      </c>
      <c r="T398" t="str">
        <f>IF(mental_health[Sleep_Hours]&lt;5,"Low",IF(mental_health[Sleep_Hours]&lt;7,"Medium","Good"))</f>
        <v>Low</v>
      </c>
      <c r="U398" t="str">
        <f>IF(mental_health[Stress_Level]&lt;=3,"Low",IF(mental_health[Stress_Level]&lt;=7,"Medium","High"))</f>
        <v>Medium</v>
      </c>
      <c r="V398" t="str">
        <f>IF(mental_health[Daily_Screen_Time]&lt;=4,"Low",IF(mental_health[Daily_Screen_Time]&lt;=8,"Medium","High"))</f>
        <v>High</v>
      </c>
    </row>
    <row r="399" spans="1:22" x14ac:dyDescent="0.3">
      <c r="A399">
        <v>398</v>
      </c>
      <c r="B399">
        <v>47</v>
      </c>
      <c r="C399" t="s">
        <v>18</v>
      </c>
      <c r="D399" t="s">
        <v>19</v>
      </c>
      <c r="E399">
        <v>10.199999999999999</v>
      </c>
      <c r="F399">
        <v>6.6</v>
      </c>
      <c r="G399">
        <v>1</v>
      </c>
      <c r="H399" t="str">
        <f t="shared" si="6"/>
        <v>Night Usage</v>
      </c>
      <c r="I399">
        <v>5</v>
      </c>
      <c r="J399" s="3">
        <v>4</v>
      </c>
      <c r="K399">
        <v>3.6</v>
      </c>
      <c r="L399" t="s">
        <v>20</v>
      </c>
      <c r="M399">
        <v>8</v>
      </c>
      <c r="N399">
        <v>0</v>
      </c>
      <c r="O399">
        <v>1</v>
      </c>
      <c r="P399">
        <v>1</v>
      </c>
      <c r="Q399">
        <v>1</v>
      </c>
      <c r="R399">
        <v>1</v>
      </c>
      <c r="S399">
        <v>1</v>
      </c>
      <c r="T399" t="str">
        <f>IF(mental_health[Sleep_Hours]&lt;5,"Low",IF(mental_health[Sleep_Hours]&lt;7,"Medium","Good"))</f>
        <v>Medium</v>
      </c>
      <c r="U399" t="str">
        <f>IF(mental_health[Stress_Level]&lt;=3,"Low",IF(mental_health[Stress_Level]&lt;=7,"Medium","High"))</f>
        <v>Medium</v>
      </c>
      <c r="V399" t="str">
        <f>IF(mental_health[Daily_Screen_Time]&lt;=4,"Low",IF(mental_health[Daily_Screen_Time]&lt;=8,"Medium","High"))</f>
        <v>High</v>
      </c>
    </row>
    <row r="400" spans="1:22" x14ac:dyDescent="0.3">
      <c r="A400">
        <v>399</v>
      </c>
      <c r="B400">
        <v>45</v>
      </c>
      <c r="C400" t="s">
        <v>23</v>
      </c>
      <c r="D400" t="s">
        <v>24</v>
      </c>
      <c r="E400">
        <v>2.4</v>
      </c>
      <c r="F400">
        <v>2.1</v>
      </c>
      <c r="G400">
        <v>0</v>
      </c>
      <c r="H400" t="str">
        <f t="shared" si="6"/>
        <v>No Night Usage</v>
      </c>
      <c r="I400">
        <v>6.2</v>
      </c>
      <c r="J400" s="3">
        <v>5</v>
      </c>
      <c r="K400">
        <v>8</v>
      </c>
      <c r="L400" t="s">
        <v>25</v>
      </c>
      <c r="M400">
        <v>1</v>
      </c>
      <c r="N400">
        <v>2</v>
      </c>
      <c r="O400">
        <v>0</v>
      </c>
      <c r="P400">
        <v>0</v>
      </c>
      <c r="Q400">
        <v>1</v>
      </c>
      <c r="R400">
        <v>0</v>
      </c>
      <c r="S400">
        <v>1</v>
      </c>
      <c r="T400" t="str">
        <f>IF(mental_health[Sleep_Hours]&lt;5,"Low",IF(mental_health[Sleep_Hours]&lt;7,"Medium","Good"))</f>
        <v>Medium</v>
      </c>
      <c r="U400" t="str">
        <f>IF(mental_health[Stress_Level]&lt;=3,"Low",IF(mental_health[Stress_Level]&lt;=7,"Medium","High"))</f>
        <v>Medium</v>
      </c>
      <c r="V400" t="str">
        <f>IF(mental_health[Daily_Screen_Time]&lt;=4,"Low",IF(mental_health[Daily_Screen_Time]&lt;=8,"Medium","High"))</f>
        <v>Low</v>
      </c>
    </row>
    <row r="401" spans="1:22" x14ac:dyDescent="0.3">
      <c r="A401">
        <v>400</v>
      </c>
      <c r="B401">
        <v>50</v>
      </c>
      <c r="C401" t="s">
        <v>18</v>
      </c>
      <c r="D401" t="s">
        <v>24</v>
      </c>
      <c r="E401">
        <v>7</v>
      </c>
      <c r="F401">
        <v>3.6</v>
      </c>
      <c r="G401">
        <v>1</v>
      </c>
      <c r="H401" t="str">
        <f t="shared" si="6"/>
        <v>Night Usage</v>
      </c>
      <c r="I401">
        <v>8.5</v>
      </c>
      <c r="J401" s="3">
        <v>2</v>
      </c>
      <c r="K401">
        <v>6.9</v>
      </c>
      <c r="L401" t="s">
        <v>21</v>
      </c>
      <c r="M401">
        <v>1</v>
      </c>
      <c r="N401">
        <v>3</v>
      </c>
      <c r="O401">
        <v>1</v>
      </c>
      <c r="P401">
        <v>0</v>
      </c>
      <c r="Q401">
        <v>0</v>
      </c>
      <c r="R401">
        <v>0</v>
      </c>
      <c r="S401">
        <v>1</v>
      </c>
      <c r="T401" t="str">
        <f>IF(mental_health[Sleep_Hours]&lt;5,"Low",IF(mental_health[Sleep_Hours]&lt;7,"Medium","Good"))</f>
        <v>Good</v>
      </c>
      <c r="U401" t="str">
        <f>IF(mental_health[Stress_Level]&lt;=3,"Low",IF(mental_health[Stress_Level]&lt;=7,"Medium","High"))</f>
        <v>Low</v>
      </c>
      <c r="V401" t="str">
        <f>IF(mental_health[Daily_Screen_Time]&lt;=4,"Low",IF(mental_health[Daily_Screen_Time]&lt;=8,"Medium","High"))</f>
        <v>Medium</v>
      </c>
    </row>
    <row r="402" spans="1:22" x14ac:dyDescent="0.3">
      <c r="A402">
        <v>401</v>
      </c>
      <c r="B402">
        <v>55</v>
      </c>
      <c r="C402" t="s">
        <v>23</v>
      </c>
      <c r="D402" t="s">
        <v>24</v>
      </c>
      <c r="E402">
        <v>8.9</v>
      </c>
      <c r="F402">
        <v>3.6</v>
      </c>
      <c r="G402">
        <v>1</v>
      </c>
      <c r="H402" t="str">
        <f t="shared" si="6"/>
        <v>Night Usage</v>
      </c>
      <c r="I402">
        <v>8.1</v>
      </c>
      <c r="J402" s="3">
        <v>10</v>
      </c>
      <c r="K402">
        <v>3.9</v>
      </c>
      <c r="L402" t="s">
        <v>21</v>
      </c>
      <c r="M402">
        <v>3</v>
      </c>
      <c r="N402">
        <v>3</v>
      </c>
      <c r="O402">
        <v>1</v>
      </c>
      <c r="P402">
        <v>1</v>
      </c>
      <c r="Q402">
        <v>1</v>
      </c>
      <c r="R402">
        <v>0</v>
      </c>
      <c r="S402">
        <v>1</v>
      </c>
      <c r="T402" t="str">
        <f>IF(mental_health[Sleep_Hours]&lt;5,"Low",IF(mental_health[Sleep_Hours]&lt;7,"Medium","Good"))</f>
        <v>Good</v>
      </c>
      <c r="U402" t="str">
        <f>IF(mental_health[Stress_Level]&lt;=3,"Low",IF(mental_health[Stress_Level]&lt;=7,"Medium","High"))</f>
        <v>High</v>
      </c>
      <c r="V402" t="str">
        <f>IF(mental_health[Daily_Screen_Time]&lt;=4,"Low",IF(mental_health[Daily_Screen_Time]&lt;=8,"Medium","High"))</f>
        <v>High</v>
      </c>
    </row>
    <row r="403" spans="1:22" x14ac:dyDescent="0.3">
      <c r="A403">
        <v>402</v>
      </c>
      <c r="B403">
        <v>31</v>
      </c>
      <c r="C403" t="s">
        <v>18</v>
      </c>
      <c r="D403" t="s">
        <v>24</v>
      </c>
      <c r="E403">
        <v>4.5</v>
      </c>
      <c r="F403">
        <v>2.1</v>
      </c>
      <c r="G403">
        <v>1</v>
      </c>
      <c r="H403" t="str">
        <f t="shared" si="6"/>
        <v>Night Usage</v>
      </c>
      <c r="I403">
        <v>3.8</v>
      </c>
      <c r="J403" s="3">
        <v>10</v>
      </c>
      <c r="K403">
        <v>9.5</v>
      </c>
      <c r="L403" t="s">
        <v>25</v>
      </c>
      <c r="M403">
        <v>5</v>
      </c>
      <c r="N403">
        <v>2</v>
      </c>
      <c r="O403">
        <v>1</v>
      </c>
      <c r="P403">
        <v>0</v>
      </c>
      <c r="Q403">
        <v>1</v>
      </c>
      <c r="R403">
        <v>1</v>
      </c>
      <c r="S403">
        <v>1</v>
      </c>
      <c r="T403" t="str">
        <f>IF(mental_health[Sleep_Hours]&lt;5,"Low",IF(mental_health[Sleep_Hours]&lt;7,"Medium","Good"))</f>
        <v>Low</v>
      </c>
      <c r="U403" t="str">
        <f>IF(mental_health[Stress_Level]&lt;=3,"Low",IF(mental_health[Stress_Level]&lt;=7,"Medium","High"))</f>
        <v>High</v>
      </c>
      <c r="V403" t="str">
        <f>IF(mental_health[Daily_Screen_Time]&lt;=4,"Low",IF(mental_health[Daily_Screen_Time]&lt;=8,"Medium","High"))</f>
        <v>Medium</v>
      </c>
    </row>
    <row r="404" spans="1:22" x14ac:dyDescent="0.3">
      <c r="A404">
        <v>403</v>
      </c>
      <c r="B404">
        <v>28</v>
      </c>
      <c r="C404" t="s">
        <v>23</v>
      </c>
      <c r="D404" t="s">
        <v>19</v>
      </c>
      <c r="E404">
        <v>5.0999999999999996</v>
      </c>
      <c r="F404">
        <v>6.6</v>
      </c>
      <c r="G404">
        <v>0</v>
      </c>
      <c r="H404" t="str">
        <f t="shared" si="6"/>
        <v>No Night Usage</v>
      </c>
      <c r="I404">
        <v>3.6</v>
      </c>
      <c r="J404" s="3">
        <v>8</v>
      </c>
      <c r="K404">
        <v>4.8</v>
      </c>
      <c r="L404" t="s">
        <v>25</v>
      </c>
      <c r="M404">
        <v>9</v>
      </c>
      <c r="N404">
        <v>2</v>
      </c>
      <c r="O404">
        <v>0</v>
      </c>
      <c r="P404">
        <v>1</v>
      </c>
      <c r="Q404">
        <v>1</v>
      </c>
      <c r="R404">
        <v>1</v>
      </c>
      <c r="S404">
        <v>1</v>
      </c>
      <c r="T404" t="str">
        <f>IF(mental_health[Sleep_Hours]&lt;5,"Low",IF(mental_health[Sleep_Hours]&lt;7,"Medium","Good"))</f>
        <v>Low</v>
      </c>
      <c r="U404" t="str">
        <f>IF(mental_health[Stress_Level]&lt;=3,"Low",IF(mental_health[Stress_Level]&lt;=7,"Medium","High"))</f>
        <v>High</v>
      </c>
      <c r="V404" t="str">
        <f>IF(mental_health[Daily_Screen_Time]&lt;=4,"Low",IF(mental_health[Daily_Screen_Time]&lt;=8,"Medium","High"))</f>
        <v>Medium</v>
      </c>
    </row>
    <row r="405" spans="1:22" x14ac:dyDescent="0.3">
      <c r="A405">
        <v>404</v>
      </c>
      <c r="B405">
        <v>57</v>
      </c>
      <c r="C405" t="s">
        <v>23</v>
      </c>
      <c r="D405" t="s">
        <v>19</v>
      </c>
      <c r="E405">
        <v>8.1</v>
      </c>
      <c r="F405">
        <v>6</v>
      </c>
      <c r="G405">
        <v>1</v>
      </c>
      <c r="H405" t="str">
        <f t="shared" si="6"/>
        <v>Night Usage</v>
      </c>
      <c r="I405">
        <v>6.5</v>
      </c>
      <c r="J405" s="3">
        <v>10</v>
      </c>
      <c r="K405">
        <v>5.8</v>
      </c>
      <c r="L405" t="s">
        <v>25</v>
      </c>
      <c r="M405">
        <v>10</v>
      </c>
      <c r="N405">
        <v>4</v>
      </c>
      <c r="O405">
        <v>1</v>
      </c>
      <c r="P405">
        <v>1</v>
      </c>
      <c r="Q405">
        <v>0</v>
      </c>
      <c r="R405">
        <v>1</v>
      </c>
      <c r="S405">
        <v>0</v>
      </c>
      <c r="T405" t="str">
        <f>IF(mental_health[Sleep_Hours]&lt;5,"Low",IF(mental_health[Sleep_Hours]&lt;7,"Medium","Good"))</f>
        <v>Medium</v>
      </c>
      <c r="U405" t="str">
        <f>IF(mental_health[Stress_Level]&lt;=3,"Low",IF(mental_health[Stress_Level]&lt;=7,"Medium","High"))</f>
        <v>High</v>
      </c>
      <c r="V405" t="str">
        <f>IF(mental_health[Daily_Screen_Time]&lt;=4,"Low",IF(mental_health[Daily_Screen_Time]&lt;=8,"Medium","High"))</f>
        <v>High</v>
      </c>
    </row>
    <row r="406" spans="1:22" x14ac:dyDescent="0.3">
      <c r="A406">
        <v>405</v>
      </c>
      <c r="B406">
        <v>45</v>
      </c>
      <c r="C406" t="s">
        <v>23</v>
      </c>
      <c r="D406" t="s">
        <v>24</v>
      </c>
      <c r="E406">
        <v>11</v>
      </c>
      <c r="F406">
        <v>2.2999999999999998</v>
      </c>
      <c r="G406">
        <v>1</v>
      </c>
      <c r="H406" t="str">
        <f t="shared" si="6"/>
        <v>Night Usage</v>
      </c>
      <c r="I406">
        <v>6.2</v>
      </c>
      <c r="J406" s="3">
        <v>7</v>
      </c>
      <c r="K406">
        <v>5.7</v>
      </c>
      <c r="L406" t="s">
        <v>20</v>
      </c>
      <c r="M406">
        <v>2</v>
      </c>
      <c r="N406">
        <v>0</v>
      </c>
      <c r="O406">
        <v>1</v>
      </c>
      <c r="P406">
        <v>0</v>
      </c>
      <c r="Q406">
        <v>0</v>
      </c>
      <c r="R406">
        <v>0</v>
      </c>
      <c r="S406">
        <v>0</v>
      </c>
      <c r="T406" t="str">
        <f>IF(mental_health[Sleep_Hours]&lt;5,"Low",IF(mental_health[Sleep_Hours]&lt;7,"Medium","Good"))</f>
        <v>Medium</v>
      </c>
      <c r="U406" t="str">
        <f>IF(mental_health[Stress_Level]&lt;=3,"Low",IF(mental_health[Stress_Level]&lt;=7,"Medium","High"))</f>
        <v>Medium</v>
      </c>
      <c r="V406" t="str">
        <f>IF(mental_health[Daily_Screen_Time]&lt;=4,"Low",IF(mental_health[Daily_Screen_Time]&lt;=8,"Medium","High"))</f>
        <v>High</v>
      </c>
    </row>
    <row r="407" spans="1:22" x14ac:dyDescent="0.3">
      <c r="A407">
        <v>406</v>
      </c>
      <c r="B407">
        <v>34</v>
      </c>
      <c r="C407" t="s">
        <v>23</v>
      </c>
      <c r="D407" t="s">
        <v>22</v>
      </c>
      <c r="E407">
        <v>10.1</v>
      </c>
      <c r="F407">
        <v>3.6</v>
      </c>
      <c r="G407">
        <v>0</v>
      </c>
      <c r="H407" t="str">
        <f t="shared" si="6"/>
        <v>No Night Usage</v>
      </c>
      <c r="I407">
        <v>4.5999999999999996</v>
      </c>
      <c r="J407" s="3">
        <v>10</v>
      </c>
      <c r="K407">
        <v>4.4000000000000004</v>
      </c>
      <c r="L407" t="s">
        <v>20</v>
      </c>
      <c r="M407">
        <v>1</v>
      </c>
      <c r="N407">
        <v>1</v>
      </c>
      <c r="O407">
        <v>0</v>
      </c>
      <c r="P407">
        <v>0</v>
      </c>
      <c r="Q407">
        <v>1</v>
      </c>
      <c r="R407">
        <v>1</v>
      </c>
      <c r="S407">
        <v>1</v>
      </c>
      <c r="T407" t="str">
        <f>IF(mental_health[Sleep_Hours]&lt;5,"Low",IF(mental_health[Sleep_Hours]&lt;7,"Medium","Good"))</f>
        <v>Low</v>
      </c>
      <c r="U407" t="str">
        <f>IF(mental_health[Stress_Level]&lt;=3,"Low",IF(mental_health[Stress_Level]&lt;=7,"Medium","High"))</f>
        <v>High</v>
      </c>
      <c r="V407" t="str">
        <f>IF(mental_health[Daily_Screen_Time]&lt;=4,"Low",IF(mental_health[Daily_Screen_Time]&lt;=8,"Medium","High"))</f>
        <v>High</v>
      </c>
    </row>
    <row r="408" spans="1:22" x14ac:dyDescent="0.3">
      <c r="A408">
        <v>407</v>
      </c>
      <c r="B408">
        <v>32</v>
      </c>
      <c r="C408" t="s">
        <v>23</v>
      </c>
      <c r="D408" t="s">
        <v>22</v>
      </c>
      <c r="E408">
        <v>7.8</v>
      </c>
      <c r="F408">
        <v>1.7</v>
      </c>
      <c r="G408">
        <v>0</v>
      </c>
      <c r="H408" t="str">
        <f t="shared" si="6"/>
        <v>No Night Usage</v>
      </c>
      <c r="I408">
        <v>8.4</v>
      </c>
      <c r="J408" s="3">
        <v>6</v>
      </c>
      <c r="K408">
        <v>6.3</v>
      </c>
      <c r="L408" t="s">
        <v>21</v>
      </c>
      <c r="M408">
        <v>1</v>
      </c>
      <c r="N408">
        <v>0</v>
      </c>
      <c r="O408">
        <v>0</v>
      </c>
      <c r="P408">
        <v>0</v>
      </c>
      <c r="Q408">
        <v>0</v>
      </c>
      <c r="R408">
        <v>0</v>
      </c>
      <c r="S408">
        <v>1</v>
      </c>
      <c r="T408" t="str">
        <f>IF(mental_health[Sleep_Hours]&lt;5,"Low",IF(mental_health[Sleep_Hours]&lt;7,"Medium","Good"))</f>
        <v>Good</v>
      </c>
      <c r="U408" t="str">
        <f>IF(mental_health[Stress_Level]&lt;=3,"Low",IF(mental_health[Stress_Level]&lt;=7,"Medium","High"))</f>
        <v>Medium</v>
      </c>
      <c r="V408" t="str">
        <f>IF(mental_health[Daily_Screen_Time]&lt;=4,"Low",IF(mental_health[Daily_Screen_Time]&lt;=8,"Medium","High"))</f>
        <v>Medium</v>
      </c>
    </row>
    <row r="409" spans="1:22" x14ac:dyDescent="0.3">
      <c r="A409">
        <v>408</v>
      </c>
      <c r="B409">
        <v>34</v>
      </c>
      <c r="C409" t="s">
        <v>23</v>
      </c>
      <c r="D409" t="s">
        <v>19</v>
      </c>
      <c r="E409">
        <v>9.3000000000000007</v>
      </c>
      <c r="F409">
        <v>5.4</v>
      </c>
      <c r="G409">
        <v>1</v>
      </c>
      <c r="H409" t="str">
        <f t="shared" si="6"/>
        <v>Night Usage</v>
      </c>
      <c r="I409">
        <v>8.6</v>
      </c>
      <c r="J409" s="3">
        <v>7</v>
      </c>
      <c r="K409">
        <v>6.7</v>
      </c>
      <c r="L409" t="s">
        <v>25</v>
      </c>
      <c r="M409">
        <v>8</v>
      </c>
      <c r="N409">
        <v>0</v>
      </c>
      <c r="O409">
        <v>0</v>
      </c>
      <c r="P409">
        <v>0</v>
      </c>
      <c r="Q409">
        <v>0</v>
      </c>
      <c r="R409">
        <v>1</v>
      </c>
      <c r="S409">
        <v>0</v>
      </c>
      <c r="T409" t="str">
        <f>IF(mental_health[Sleep_Hours]&lt;5,"Low",IF(mental_health[Sleep_Hours]&lt;7,"Medium","Good"))</f>
        <v>Good</v>
      </c>
      <c r="U409" t="str">
        <f>IF(mental_health[Stress_Level]&lt;=3,"Low",IF(mental_health[Stress_Level]&lt;=7,"Medium","High"))</f>
        <v>Medium</v>
      </c>
      <c r="V409" t="str">
        <f>IF(mental_health[Daily_Screen_Time]&lt;=4,"Low",IF(mental_health[Daily_Screen_Time]&lt;=8,"Medium","High"))</f>
        <v>High</v>
      </c>
    </row>
    <row r="410" spans="1:22" x14ac:dyDescent="0.3">
      <c r="A410">
        <v>409</v>
      </c>
      <c r="B410">
        <v>43</v>
      </c>
      <c r="C410" t="s">
        <v>18</v>
      </c>
      <c r="D410" t="s">
        <v>24</v>
      </c>
      <c r="E410">
        <v>5.6</v>
      </c>
      <c r="F410">
        <v>1.8</v>
      </c>
      <c r="G410">
        <v>1</v>
      </c>
      <c r="H410" t="str">
        <f t="shared" si="6"/>
        <v>Night Usage</v>
      </c>
      <c r="I410">
        <v>5.4</v>
      </c>
      <c r="J410" s="3">
        <v>1</v>
      </c>
      <c r="K410">
        <v>9.4</v>
      </c>
      <c r="L410" t="s">
        <v>25</v>
      </c>
      <c r="M410">
        <v>10</v>
      </c>
      <c r="N410">
        <v>1</v>
      </c>
      <c r="O410">
        <v>0</v>
      </c>
      <c r="P410">
        <v>1</v>
      </c>
      <c r="Q410">
        <v>0</v>
      </c>
      <c r="R410">
        <v>1</v>
      </c>
      <c r="S410">
        <v>0</v>
      </c>
      <c r="T410" t="str">
        <f>IF(mental_health[Sleep_Hours]&lt;5,"Low",IF(mental_health[Sleep_Hours]&lt;7,"Medium","Good"))</f>
        <v>Medium</v>
      </c>
      <c r="U410" t="str">
        <f>IF(mental_health[Stress_Level]&lt;=3,"Low",IF(mental_health[Stress_Level]&lt;=7,"Medium","High"))</f>
        <v>Low</v>
      </c>
      <c r="V410" t="str">
        <f>IF(mental_health[Daily_Screen_Time]&lt;=4,"Low",IF(mental_health[Daily_Screen_Time]&lt;=8,"Medium","High"))</f>
        <v>Medium</v>
      </c>
    </row>
    <row r="411" spans="1:22" x14ac:dyDescent="0.3">
      <c r="A411">
        <v>410</v>
      </c>
      <c r="B411">
        <v>41</v>
      </c>
      <c r="C411" t="s">
        <v>23</v>
      </c>
      <c r="D411" t="s">
        <v>24</v>
      </c>
      <c r="E411">
        <v>8.4</v>
      </c>
      <c r="F411">
        <v>7.9</v>
      </c>
      <c r="G411">
        <v>1</v>
      </c>
      <c r="H411" t="str">
        <f t="shared" si="6"/>
        <v>Night Usage</v>
      </c>
      <c r="I411">
        <v>8.3000000000000007</v>
      </c>
      <c r="J411" s="3">
        <v>5</v>
      </c>
      <c r="K411">
        <v>9.6999999999999993</v>
      </c>
      <c r="L411" t="s">
        <v>20</v>
      </c>
      <c r="M411">
        <v>10</v>
      </c>
      <c r="N411">
        <v>0</v>
      </c>
      <c r="O411">
        <v>1</v>
      </c>
      <c r="P411">
        <v>0</v>
      </c>
      <c r="Q411">
        <v>0</v>
      </c>
      <c r="R411">
        <v>0</v>
      </c>
      <c r="S411">
        <v>1</v>
      </c>
      <c r="T411" t="str">
        <f>IF(mental_health[Sleep_Hours]&lt;5,"Low",IF(mental_health[Sleep_Hours]&lt;7,"Medium","Good"))</f>
        <v>Good</v>
      </c>
      <c r="U411" t="str">
        <f>IF(mental_health[Stress_Level]&lt;=3,"Low",IF(mental_health[Stress_Level]&lt;=7,"Medium","High"))</f>
        <v>Medium</v>
      </c>
      <c r="V411" t="str">
        <f>IF(mental_health[Daily_Screen_Time]&lt;=4,"Low",IF(mental_health[Daily_Screen_Time]&lt;=8,"Medium","High"))</f>
        <v>High</v>
      </c>
    </row>
    <row r="412" spans="1:22" x14ac:dyDescent="0.3">
      <c r="A412">
        <v>411</v>
      </c>
      <c r="B412">
        <v>52</v>
      </c>
      <c r="C412" t="s">
        <v>18</v>
      </c>
      <c r="D412" t="s">
        <v>19</v>
      </c>
      <c r="E412">
        <v>6.7</v>
      </c>
      <c r="F412">
        <v>6.5</v>
      </c>
      <c r="G412">
        <v>0</v>
      </c>
      <c r="H412" t="str">
        <f t="shared" si="6"/>
        <v>No Night Usage</v>
      </c>
      <c r="I412">
        <v>5.3</v>
      </c>
      <c r="J412" s="3">
        <v>7</v>
      </c>
      <c r="K412">
        <v>3.6</v>
      </c>
      <c r="L412" t="s">
        <v>25</v>
      </c>
      <c r="M412">
        <v>10</v>
      </c>
      <c r="N412">
        <v>3</v>
      </c>
      <c r="O412">
        <v>0</v>
      </c>
      <c r="P412">
        <v>1</v>
      </c>
      <c r="Q412">
        <v>1</v>
      </c>
      <c r="R412">
        <v>1</v>
      </c>
      <c r="S412">
        <v>0</v>
      </c>
      <c r="T412" t="str">
        <f>IF(mental_health[Sleep_Hours]&lt;5,"Low",IF(mental_health[Sleep_Hours]&lt;7,"Medium","Good"))</f>
        <v>Medium</v>
      </c>
      <c r="U412" t="str">
        <f>IF(mental_health[Stress_Level]&lt;=3,"Low",IF(mental_health[Stress_Level]&lt;=7,"Medium","High"))</f>
        <v>Medium</v>
      </c>
      <c r="V412" t="str">
        <f>IF(mental_health[Daily_Screen_Time]&lt;=4,"Low",IF(mental_health[Daily_Screen_Time]&lt;=8,"Medium","High"))</f>
        <v>Medium</v>
      </c>
    </row>
    <row r="413" spans="1:22" x14ac:dyDescent="0.3">
      <c r="A413">
        <v>412</v>
      </c>
      <c r="B413">
        <v>41</v>
      </c>
      <c r="C413" t="s">
        <v>18</v>
      </c>
      <c r="D413" t="s">
        <v>22</v>
      </c>
      <c r="E413">
        <v>3.9</v>
      </c>
      <c r="F413">
        <v>3.7</v>
      </c>
      <c r="G413">
        <v>0</v>
      </c>
      <c r="H413" t="str">
        <f t="shared" si="6"/>
        <v>No Night Usage</v>
      </c>
      <c r="I413">
        <v>7.4</v>
      </c>
      <c r="J413" s="3">
        <v>1</v>
      </c>
      <c r="K413">
        <v>7.9</v>
      </c>
      <c r="L413" t="s">
        <v>21</v>
      </c>
      <c r="M413">
        <v>2</v>
      </c>
      <c r="N413">
        <v>3</v>
      </c>
      <c r="O413">
        <v>0</v>
      </c>
      <c r="P413">
        <v>1</v>
      </c>
      <c r="Q413">
        <v>0</v>
      </c>
      <c r="R413">
        <v>1</v>
      </c>
      <c r="S413">
        <v>0</v>
      </c>
      <c r="T413" t="str">
        <f>IF(mental_health[Sleep_Hours]&lt;5,"Low",IF(mental_health[Sleep_Hours]&lt;7,"Medium","Good"))</f>
        <v>Good</v>
      </c>
      <c r="U413" t="str">
        <f>IF(mental_health[Stress_Level]&lt;=3,"Low",IF(mental_health[Stress_Level]&lt;=7,"Medium","High"))</f>
        <v>Low</v>
      </c>
      <c r="V413" t="str">
        <f>IF(mental_health[Daily_Screen_Time]&lt;=4,"Low",IF(mental_health[Daily_Screen_Time]&lt;=8,"Medium","High"))</f>
        <v>Low</v>
      </c>
    </row>
    <row r="414" spans="1:22" x14ac:dyDescent="0.3">
      <c r="A414">
        <v>413</v>
      </c>
      <c r="B414">
        <v>38</v>
      </c>
      <c r="C414" t="s">
        <v>23</v>
      </c>
      <c r="D414" t="s">
        <v>22</v>
      </c>
      <c r="E414">
        <v>9</v>
      </c>
      <c r="F414">
        <v>5</v>
      </c>
      <c r="G414">
        <v>1</v>
      </c>
      <c r="H414" t="str">
        <f t="shared" si="6"/>
        <v>Night Usage</v>
      </c>
      <c r="I414">
        <v>5.9</v>
      </c>
      <c r="J414" s="3">
        <v>2</v>
      </c>
      <c r="K414">
        <v>11</v>
      </c>
      <c r="L414" t="s">
        <v>25</v>
      </c>
      <c r="M414">
        <v>9</v>
      </c>
      <c r="N414">
        <v>1</v>
      </c>
      <c r="O414">
        <v>0</v>
      </c>
      <c r="P414">
        <v>1</v>
      </c>
      <c r="Q414">
        <v>0</v>
      </c>
      <c r="R414">
        <v>0</v>
      </c>
      <c r="S414">
        <v>0</v>
      </c>
      <c r="T414" t="str">
        <f>IF(mental_health[Sleep_Hours]&lt;5,"Low",IF(mental_health[Sleep_Hours]&lt;7,"Medium","Good"))</f>
        <v>Medium</v>
      </c>
      <c r="U414" t="str">
        <f>IF(mental_health[Stress_Level]&lt;=3,"Low",IF(mental_health[Stress_Level]&lt;=7,"Medium","High"))</f>
        <v>Low</v>
      </c>
      <c r="V414" t="str">
        <f>IF(mental_health[Daily_Screen_Time]&lt;=4,"Low",IF(mental_health[Daily_Screen_Time]&lt;=8,"Medium","High"))</f>
        <v>High</v>
      </c>
    </row>
    <row r="415" spans="1:22" x14ac:dyDescent="0.3">
      <c r="A415">
        <v>414</v>
      </c>
      <c r="B415">
        <v>24</v>
      </c>
      <c r="C415" t="s">
        <v>18</v>
      </c>
      <c r="D415" t="s">
        <v>22</v>
      </c>
      <c r="E415">
        <v>7.6</v>
      </c>
      <c r="F415">
        <v>7.4</v>
      </c>
      <c r="G415">
        <v>0</v>
      </c>
      <c r="H415" t="str">
        <f t="shared" si="6"/>
        <v>No Night Usage</v>
      </c>
      <c r="I415">
        <v>3.7</v>
      </c>
      <c r="J415" s="3">
        <v>9</v>
      </c>
      <c r="K415">
        <v>3.1</v>
      </c>
      <c r="L415" t="s">
        <v>20</v>
      </c>
      <c r="M415">
        <v>9</v>
      </c>
      <c r="N415">
        <v>1</v>
      </c>
      <c r="O415">
        <v>1</v>
      </c>
      <c r="P415">
        <v>1</v>
      </c>
      <c r="Q415">
        <v>1</v>
      </c>
      <c r="R415">
        <v>1</v>
      </c>
      <c r="S415">
        <v>1</v>
      </c>
      <c r="T415" t="str">
        <f>IF(mental_health[Sleep_Hours]&lt;5,"Low",IF(mental_health[Sleep_Hours]&lt;7,"Medium","Good"))</f>
        <v>Low</v>
      </c>
      <c r="U415" t="str">
        <f>IF(mental_health[Stress_Level]&lt;=3,"Low",IF(mental_health[Stress_Level]&lt;=7,"Medium","High"))</f>
        <v>High</v>
      </c>
      <c r="V415" t="str">
        <f>IF(mental_health[Daily_Screen_Time]&lt;=4,"Low",IF(mental_health[Daily_Screen_Time]&lt;=8,"Medium","High"))</f>
        <v>Medium</v>
      </c>
    </row>
    <row r="416" spans="1:22" x14ac:dyDescent="0.3">
      <c r="A416">
        <v>415</v>
      </c>
      <c r="B416">
        <v>27</v>
      </c>
      <c r="C416" t="s">
        <v>23</v>
      </c>
      <c r="D416" t="s">
        <v>19</v>
      </c>
      <c r="E416">
        <v>5.6</v>
      </c>
      <c r="F416">
        <v>4.9000000000000004</v>
      </c>
      <c r="G416">
        <v>1</v>
      </c>
      <c r="H416" t="str">
        <f t="shared" si="6"/>
        <v>Night Usage</v>
      </c>
      <c r="I416">
        <v>8.6</v>
      </c>
      <c r="J416" s="3">
        <v>3</v>
      </c>
      <c r="K416">
        <v>6.7</v>
      </c>
      <c r="L416" t="s">
        <v>21</v>
      </c>
      <c r="M416">
        <v>2</v>
      </c>
      <c r="N416">
        <v>2</v>
      </c>
      <c r="O416">
        <v>0</v>
      </c>
      <c r="P416">
        <v>1</v>
      </c>
      <c r="Q416">
        <v>0</v>
      </c>
      <c r="R416">
        <v>0</v>
      </c>
      <c r="S416">
        <v>1</v>
      </c>
      <c r="T416" t="str">
        <f>IF(mental_health[Sleep_Hours]&lt;5,"Low",IF(mental_health[Sleep_Hours]&lt;7,"Medium","Good"))</f>
        <v>Good</v>
      </c>
      <c r="U416" t="str">
        <f>IF(mental_health[Stress_Level]&lt;=3,"Low",IF(mental_health[Stress_Level]&lt;=7,"Medium","High"))</f>
        <v>Low</v>
      </c>
      <c r="V416" t="str">
        <f>IF(mental_health[Daily_Screen_Time]&lt;=4,"Low",IF(mental_health[Daily_Screen_Time]&lt;=8,"Medium","High"))</f>
        <v>Medium</v>
      </c>
    </row>
    <row r="417" spans="1:22" x14ac:dyDescent="0.3">
      <c r="A417">
        <v>416</v>
      </c>
      <c r="B417">
        <v>16</v>
      </c>
      <c r="C417" t="s">
        <v>18</v>
      </c>
      <c r="D417" t="s">
        <v>22</v>
      </c>
      <c r="E417">
        <v>11.1</v>
      </c>
      <c r="F417">
        <v>2.2000000000000002</v>
      </c>
      <c r="G417">
        <v>1</v>
      </c>
      <c r="H417" t="str">
        <f t="shared" si="6"/>
        <v>Night Usage</v>
      </c>
      <c r="I417">
        <v>5.7</v>
      </c>
      <c r="J417" s="3">
        <v>6</v>
      </c>
      <c r="K417">
        <v>9.5</v>
      </c>
      <c r="L417" t="s">
        <v>21</v>
      </c>
      <c r="M417">
        <v>3</v>
      </c>
      <c r="N417">
        <v>2</v>
      </c>
      <c r="O417">
        <v>1</v>
      </c>
      <c r="P417">
        <v>0</v>
      </c>
      <c r="Q417">
        <v>1</v>
      </c>
      <c r="R417">
        <v>1</v>
      </c>
      <c r="S417">
        <v>1</v>
      </c>
      <c r="T417" t="str">
        <f>IF(mental_health[Sleep_Hours]&lt;5,"Low",IF(mental_health[Sleep_Hours]&lt;7,"Medium","Good"))</f>
        <v>Medium</v>
      </c>
      <c r="U417" t="str">
        <f>IF(mental_health[Stress_Level]&lt;=3,"Low",IF(mental_health[Stress_Level]&lt;=7,"Medium","High"))</f>
        <v>Medium</v>
      </c>
      <c r="V417" t="str">
        <f>IF(mental_health[Daily_Screen_Time]&lt;=4,"Low",IF(mental_health[Daily_Screen_Time]&lt;=8,"Medium","High"))</f>
        <v>High</v>
      </c>
    </row>
    <row r="418" spans="1:22" x14ac:dyDescent="0.3">
      <c r="A418">
        <v>417</v>
      </c>
      <c r="B418">
        <v>16</v>
      </c>
      <c r="C418" t="s">
        <v>23</v>
      </c>
      <c r="D418" t="s">
        <v>19</v>
      </c>
      <c r="E418">
        <v>2.2000000000000002</v>
      </c>
      <c r="F418">
        <v>3.7</v>
      </c>
      <c r="G418">
        <v>0</v>
      </c>
      <c r="H418" t="str">
        <f t="shared" si="6"/>
        <v>No Night Usage</v>
      </c>
      <c r="I418">
        <v>7.4</v>
      </c>
      <c r="J418" s="3">
        <v>7</v>
      </c>
      <c r="K418">
        <v>8.1</v>
      </c>
      <c r="L418" t="s">
        <v>25</v>
      </c>
      <c r="M418">
        <v>2</v>
      </c>
      <c r="N418">
        <v>0</v>
      </c>
      <c r="O418">
        <v>1</v>
      </c>
      <c r="P418">
        <v>1</v>
      </c>
      <c r="Q418">
        <v>1</v>
      </c>
      <c r="R418">
        <v>0</v>
      </c>
      <c r="S418">
        <v>1</v>
      </c>
      <c r="T418" t="str">
        <f>IF(mental_health[Sleep_Hours]&lt;5,"Low",IF(mental_health[Sleep_Hours]&lt;7,"Medium","Good"))</f>
        <v>Good</v>
      </c>
      <c r="U418" t="str">
        <f>IF(mental_health[Stress_Level]&lt;=3,"Low",IF(mental_health[Stress_Level]&lt;=7,"Medium","High"))</f>
        <v>Medium</v>
      </c>
      <c r="V418" t="str">
        <f>IF(mental_health[Daily_Screen_Time]&lt;=4,"Low",IF(mental_health[Daily_Screen_Time]&lt;=8,"Medium","High"))</f>
        <v>Low</v>
      </c>
    </row>
    <row r="419" spans="1:22" x14ac:dyDescent="0.3">
      <c r="A419">
        <v>418</v>
      </c>
      <c r="B419">
        <v>49</v>
      </c>
      <c r="C419" t="s">
        <v>18</v>
      </c>
      <c r="D419" t="s">
        <v>19</v>
      </c>
      <c r="E419">
        <v>5.2</v>
      </c>
      <c r="F419">
        <v>6.9</v>
      </c>
      <c r="G419">
        <v>1</v>
      </c>
      <c r="H419" t="str">
        <f t="shared" si="6"/>
        <v>Night Usage</v>
      </c>
      <c r="I419">
        <v>5.2</v>
      </c>
      <c r="J419" s="3">
        <v>9</v>
      </c>
      <c r="K419">
        <v>3</v>
      </c>
      <c r="L419" t="s">
        <v>21</v>
      </c>
      <c r="M419">
        <v>6</v>
      </c>
      <c r="N419">
        <v>0</v>
      </c>
      <c r="O419">
        <v>0</v>
      </c>
      <c r="P419">
        <v>0</v>
      </c>
      <c r="Q419">
        <v>0</v>
      </c>
      <c r="R419">
        <v>1</v>
      </c>
      <c r="S419">
        <v>1</v>
      </c>
      <c r="T419" t="str">
        <f>IF(mental_health[Sleep_Hours]&lt;5,"Low",IF(mental_health[Sleep_Hours]&lt;7,"Medium","Good"))</f>
        <v>Medium</v>
      </c>
      <c r="U419" t="str">
        <f>IF(mental_health[Stress_Level]&lt;=3,"Low",IF(mental_health[Stress_Level]&lt;=7,"Medium","High"))</f>
        <v>High</v>
      </c>
      <c r="V419" t="str">
        <f>IF(mental_health[Daily_Screen_Time]&lt;=4,"Low",IF(mental_health[Daily_Screen_Time]&lt;=8,"Medium","High"))</f>
        <v>Medium</v>
      </c>
    </row>
    <row r="420" spans="1:22" x14ac:dyDescent="0.3">
      <c r="A420">
        <v>419</v>
      </c>
      <c r="B420">
        <v>47</v>
      </c>
      <c r="C420" t="s">
        <v>23</v>
      </c>
      <c r="D420" t="s">
        <v>24</v>
      </c>
      <c r="E420">
        <v>2.6</v>
      </c>
      <c r="F420">
        <v>5.5</v>
      </c>
      <c r="G420">
        <v>0</v>
      </c>
      <c r="H420" t="str">
        <f t="shared" si="6"/>
        <v>No Night Usage</v>
      </c>
      <c r="I420">
        <v>3.1</v>
      </c>
      <c r="J420" s="3">
        <v>5</v>
      </c>
      <c r="K420">
        <v>6</v>
      </c>
      <c r="L420" t="s">
        <v>25</v>
      </c>
      <c r="M420">
        <v>7</v>
      </c>
      <c r="N420">
        <v>1</v>
      </c>
      <c r="O420">
        <v>1</v>
      </c>
      <c r="P420">
        <v>1</v>
      </c>
      <c r="Q420">
        <v>0</v>
      </c>
      <c r="R420">
        <v>0</v>
      </c>
      <c r="S420">
        <v>1</v>
      </c>
      <c r="T420" t="str">
        <f>IF(mental_health[Sleep_Hours]&lt;5,"Low",IF(mental_health[Sleep_Hours]&lt;7,"Medium","Good"))</f>
        <v>Low</v>
      </c>
      <c r="U420" t="str">
        <f>IF(mental_health[Stress_Level]&lt;=3,"Low",IF(mental_health[Stress_Level]&lt;=7,"Medium","High"))</f>
        <v>Medium</v>
      </c>
      <c r="V420" t="str">
        <f>IF(mental_health[Daily_Screen_Time]&lt;=4,"Low",IF(mental_health[Daily_Screen_Time]&lt;=8,"Medium","High"))</f>
        <v>Low</v>
      </c>
    </row>
    <row r="421" spans="1:22" x14ac:dyDescent="0.3">
      <c r="A421">
        <v>420</v>
      </c>
      <c r="B421">
        <v>40</v>
      </c>
      <c r="C421" t="s">
        <v>23</v>
      </c>
      <c r="D421" t="s">
        <v>22</v>
      </c>
      <c r="E421">
        <v>9.6999999999999993</v>
      </c>
      <c r="F421">
        <v>5.6</v>
      </c>
      <c r="G421">
        <v>0</v>
      </c>
      <c r="H421" t="str">
        <f t="shared" si="6"/>
        <v>No Night Usage</v>
      </c>
      <c r="I421">
        <v>3.6</v>
      </c>
      <c r="J421" s="3">
        <v>4</v>
      </c>
      <c r="K421">
        <v>7.1</v>
      </c>
      <c r="L421" t="s">
        <v>25</v>
      </c>
      <c r="M421">
        <v>6</v>
      </c>
      <c r="N421">
        <v>0</v>
      </c>
      <c r="O421">
        <v>0</v>
      </c>
      <c r="P421">
        <v>0</v>
      </c>
      <c r="Q421">
        <v>1</v>
      </c>
      <c r="R421">
        <v>0</v>
      </c>
      <c r="S421">
        <v>0</v>
      </c>
      <c r="T421" t="str">
        <f>IF(mental_health[Sleep_Hours]&lt;5,"Low",IF(mental_health[Sleep_Hours]&lt;7,"Medium","Good"))</f>
        <v>Low</v>
      </c>
      <c r="U421" t="str">
        <f>IF(mental_health[Stress_Level]&lt;=3,"Low",IF(mental_health[Stress_Level]&lt;=7,"Medium","High"))</f>
        <v>Medium</v>
      </c>
      <c r="V421" t="str">
        <f>IF(mental_health[Daily_Screen_Time]&lt;=4,"Low",IF(mental_health[Daily_Screen_Time]&lt;=8,"Medium","High"))</f>
        <v>High</v>
      </c>
    </row>
    <row r="422" spans="1:22" x14ac:dyDescent="0.3">
      <c r="A422">
        <v>421</v>
      </c>
      <c r="B422">
        <v>55</v>
      </c>
      <c r="C422" t="s">
        <v>23</v>
      </c>
      <c r="D422" t="s">
        <v>19</v>
      </c>
      <c r="E422">
        <v>9</v>
      </c>
      <c r="F422">
        <v>7.1</v>
      </c>
      <c r="G422">
        <v>1</v>
      </c>
      <c r="H422" t="str">
        <f t="shared" si="6"/>
        <v>Night Usage</v>
      </c>
      <c r="I422">
        <v>6</v>
      </c>
      <c r="J422" s="3">
        <v>2</v>
      </c>
      <c r="K422">
        <v>12</v>
      </c>
      <c r="L422" t="s">
        <v>20</v>
      </c>
      <c r="M422">
        <v>3</v>
      </c>
      <c r="N422">
        <v>4</v>
      </c>
      <c r="O422">
        <v>0</v>
      </c>
      <c r="P422">
        <v>0</v>
      </c>
      <c r="Q422">
        <v>1</v>
      </c>
      <c r="R422">
        <v>0</v>
      </c>
      <c r="S422">
        <v>1</v>
      </c>
      <c r="T422" t="str">
        <f>IF(mental_health[Sleep_Hours]&lt;5,"Low",IF(mental_health[Sleep_Hours]&lt;7,"Medium","Good"))</f>
        <v>Medium</v>
      </c>
      <c r="U422" t="str">
        <f>IF(mental_health[Stress_Level]&lt;=3,"Low",IF(mental_health[Stress_Level]&lt;=7,"Medium","High"))</f>
        <v>Low</v>
      </c>
      <c r="V422" t="str">
        <f>IF(mental_health[Daily_Screen_Time]&lt;=4,"Low",IF(mental_health[Daily_Screen_Time]&lt;=8,"Medium","High"))</f>
        <v>High</v>
      </c>
    </row>
    <row r="423" spans="1:22" x14ac:dyDescent="0.3">
      <c r="A423">
        <v>422</v>
      </c>
      <c r="B423">
        <v>16</v>
      </c>
      <c r="C423" t="s">
        <v>23</v>
      </c>
      <c r="D423" t="s">
        <v>22</v>
      </c>
      <c r="E423">
        <v>5.3</v>
      </c>
      <c r="F423">
        <v>7.3</v>
      </c>
      <c r="G423">
        <v>0</v>
      </c>
      <c r="H423" t="str">
        <f t="shared" si="6"/>
        <v>No Night Usage</v>
      </c>
      <c r="I423">
        <v>7.1</v>
      </c>
      <c r="J423" s="3">
        <v>3</v>
      </c>
      <c r="K423">
        <v>3.8</v>
      </c>
      <c r="L423" t="s">
        <v>21</v>
      </c>
      <c r="M423">
        <v>3</v>
      </c>
      <c r="N423">
        <v>3</v>
      </c>
      <c r="O423">
        <v>1</v>
      </c>
      <c r="P423">
        <v>1</v>
      </c>
      <c r="Q423">
        <v>0</v>
      </c>
      <c r="R423">
        <v>1</v>
      </c>
      <c r="S423">
        <v>1</v>
      </c>
      <c r="T423" t="str">
        <f>IF(mental_health[Sleep_Hours]&lt;5,"Low",IF(mental_health[Sleep_Hours]&lt;7,"Medium","Good"))</f>
        <v>Good</v>
      </c>
      <c r="U423" t="str">
        <f>IF(mental_health[Stress_Level]&lt;=3,"Low",IF(mental_health[Stress_Level]&lt;=7,"Medium","High"))</f>
        <v>Low</v>
      </c>
      <c r="V423" t="str">
        <f>IF(mental_health[Daily_Screen_Time]&lt;=4,"Low",IF(mental_health[Daily_Screen_Time]&lt;=8,"Medium","High"))</f>
        <v>Medium</v>
      </c>
    </row>
    <row r="424" spans="1:22" x14ac:dyDescent="0.3">
      <c r="A424">
        <v>423</v>
      </c>
      <c r="B424">
        <v>31</v>
      </c>
      <c r="C424" t="s">
        <v>18</v>
      </c>
      <c r="D424" t="s">
        <v>22</v>
      </c>
      <c r="E424">
        <v>8.8000000000000007</v>
      </c>
      <c r="F424">
        <v>7.4</v>
      </c>
      <c r="G424">
        <v>1</v>
      </c>
      <c r="H424" t="str">
        <f t="shared" si="6"/>
        <v>Night Usage</v>
      </c>
      <c r="I424">
        <v>5</v>
      </c>
      <c r="J424" s="3">
        <v>5</v>
      </c>
      <c r="K424">
        <v>11.8</v>
      </c>
      <c r="L424" t="s">
        <v>25</v>
      </c>
      <c r="M424">
        <v>2</v>
      </c>
      <c r="N424">
        <v>0</v>
      </c>
      <c r="O424">
        <v>1</v>
      </c>
      <c r="P424">
        <v>1</v>
      </c>
      <c r="Q424">
        <v>0</v>
      </c>
      <c r="R424">
        <v>0</v>
      </c>
      <c r="S424">
        <v>0</v>
      </c>
      <c r="T424" t="str">
        <f>IF(mental_health[Sleep_Hours]&lt;5,"Low",IF(mental_health[Sleep_Hours]&lt;7,"Medium","Good"))</f>
        <v>Medium</v>
      </c>
      <c r="U424" t="str">
        <f>IF(mental_health[Stress_Level]&lt;=3,"Low",IF(mental_health[Stress_Level]&lt;=7,"Medium","High"))</f>
        <v>Medium</v>
      </c>
      <c r="V424" t="str">
        <f>IF(mental_health[Daily_Screen_Time]&lt;=4,"Low",IF(mental_health[Daily_Screen_Time]&lt;=8,"Medium","High"))</f>
        <v>High</v>
      </c>
    </row>
    <row r="425" spans="1:22" x14ac:dyDescent="0.3">
      <c r="A425">
        <v>424</v>
      </c>
      <c r="B425">
        <v>54</v>
      </c>
      <c r="C425" t="s">
        <v>23</v>
      </c>
      <c r="D425" t="s">
        <v>24</v>
      </c>
      <c r="E425">
        <v>6</v>
      </c>
      <c r="F425">
        <v>1.7</v>
      </c>
      <c r="G425">
        <v>0</v>
      </c>
      <c r="H425" t="str">
        <f t="shared" si="6"/>
        <v>No Night Usage</v>
      </c>
      <c r="I425">
        <v>7.2</v>
      </c>
      <c r="J425" s="3">
        <v>2</v>
      </c>
      <c r="K425">
        <v>5.8</v>
      </c>
      <c r="L425" t="s">
        <v>25</v>
      </c>
      <c r="M425">
        <v>2</v>
      </c>
      <c r="N425">
        <v>0</v>
      </c>
      <c r="O425">
        <v>1</v>
      </c>
      <c r="P425">
        <v>0</v>
      </c>
      <c r="Q425">
        <v>0</v>
      </c>
      <c r="R425">
        <v>0</v>
      </c>
      <c r="S425">
        <v>1</v>
      </c>
      <c r="T425" t="str">
        <f>IF(mental_health[Sleep_Hours]&lt;5,"Low",IF(mental_health[Sleep_Hours]&lt;7,"Medium","Good"))</f>
        <v>Good</v>
      </c>
      <c r="U425" t="str">
        <f>IF(mental_health[Stress_Level]&lt;=3,"Low",IF(mental_health[Stress_Level]&lt;=7,"Medium","High"))</f>
        <v>Low</v>
      </c>
      <c r="V425" t="str">
        <f>IF(mental_health[Daily_Screen_Time]&lt;=4,"Low",IF(mental_health[Daily_Screen_Time]&lt;=8,"Medium","High"))</f>
        <v>Medium</v>
      </c>
    </row>
    <row r="426" spans="1:22" x14ac:dyDescent="0.3">
      <c r="A426">
        <v>425</v>
      </c>
      <c r="B426">
        <v>20</v>
      </c>
      <c r="C426" t="s">
        <v>18</v>
      </c>
      <c r="D426" t="s">
        <v>22</v>
      </c>
      <c r="E426">
        <v>9.6</v>
      </c>
      <c r="F426">
        <v>4.8</v>
      </c>
      <c r="G426">
        <v>1</v>
      </c>
      <c r="H426" t="str">
        <f t="shared" si="6"/>
        <v>Night Usage</v>
      </c>
      <c r="I426">
        <v>7.2</v>
      </c>
      <c r="J426" s="3">
        <v>4</v>
      </c>
      <c r="K426">
        <v>4</v>
      </c>
      <c r="L426" t="s">
        <v>25</v>
      </c>
      <c r="M426">
        <v>5</v>
      </c>
      <c r="N426">
        <v>2</v>
      </c>
      <c r="O426">
        <v>1</v>
      </c>
      <c r="P426">
        <v>1</v>
      </c>
      <c r="Q426">
        <v>1</v>
      </c>
      <c r="R426">
        <v>1</v>
      </c>
      <c r="S426">
        <v>0</v>
      </c>
      <c r="T426" t="str">
        <f>IF(mental_health[Sleep_Hours]&lt;5,"Low",IF(mental_health[Sleep_Hours]&lt;7,"Medium","Good"))</f>
        <v>Good</v>
      </c>
      <c r="U426" t="str">
        <f>IF(mental_health[Stress_Level]&lt;=3,"Low",IF(mental_health[Stress_Level]&lt;=7,"Medium","High"))</f>
        <v>Medium</v>
      </c>
      <c r="V426" t="str">
        <f>IF(mental_health[Daily_Screen_Time]&lt;=4,"Low",IF(mental_health[Daily_Screen_Time]&lt;=8,"Medium","High"))</f>
        <v>High</v>
      </c>
    </row>
    <row r="427" spans="1:22" x14ac:dyDescent="0.3">
      <c r="A427">
        <v>426</v>
      </c>
      <c r="B427">
        <v>37</v>
      </c>
      <c r="C427" t="s">
        <v>18</v>
      </c>
      <c r="D427" t="s">
        <v>24</v>
      </c>
      <c r="E427">
        <v>6.5</v>
      </c>
      <c r="F427">
        <v>6.2</v>
      </c>
      <c r="G427">
        <v>1</v>
      </c>
      <c r="H427" t="str">
        <f t="shared" si="6"/>
        <v>Night Usage</v>
      </c>
      <c r="I427">
        <v>7.2</v>
      </c>
      <c r="J427" s="3">
        <v>1</v>
      </c>
      <c r="K427">
        <v>6.1</v>
      </c>
      <c r="L427" t="s">
        <v>21</v>
      </c>
      <c r="M427">
        <v>8</v>
      </c>
      <c r="N427">
        <v>4</v>
      </c>
      <c r="O427">
        <v>0</v>
      </c>
      <c r="P427">
        <v>1</v>
      </c>
      <c r="Q427">
        <v>1</v>
      </c>
      <c r="R427">
        <v>1</v>
      </c>
      <c r="S427">
        <v>0</v>
      </c>
      <c r="T427" t="str">
        <f>IF(mental_health[Sleep_Hours]&lt;5,"Low",IF(mental_health[Sleep_Hours]&lt;7,"Medium","Good"))</f>
        <v>Good</v>
      </c>
      <c r="U427" t="str">
        <f>IF(mental_health[Stress_Level]&lt;=3,"Low",IF(mental_health[Stress_Level]&lt;=7,"Medium","High"))</f>
        <v>Low</v>
      </c>
      <c r="V427" t="str">
        <f>IF(mental_health[Daily_Screen_Time]&lt;=4,"Low",IF(mental_health[Daily_Screen_Time]&lt;=8,"Medium","High"))</f>
        <v>Medium</v>
      </c>
    </row>
    <row r="428" spans="1:22" x14ac:dyDescent="0.3">
      <c r="A428">
        <v>427</v>
      </c>
      <c r="B428">
        <v>44</v>
      </c>
      <c r="C428" t="s">
        <v>18</v>
      </c>
      <c r="D428" t="s">
        <v>19</v>
      </c>
      <c r="E428">
        <v>6.1</v>
      </c>
      <c r="F428">
        <v>6.3</v>
      </c>
      <c r="G428">
        <v>1</v>
      </c>
      <c r="H428" t="str">
        <f t="shared" si="6"/>
        <v>Night Usage</v>
      </c>
      <c r="I428">
        <v>6</v>
      </c>
      <c r="J428" s="3">
        <v>4</v>
      </c>
      <c r="K428">
        <v>8.1</v>
      </c>
      <c r="L428" t="s">
        <v>21</v>
      </c>
      <c r="M428">
        <v>6</v>
      </c>
      <c r="N428">
        <v>0</v>
      </c>
      <c r="O428">
        <v>1</v>
      </c>
      <c r="P428">
        <v>0</v>
      </c>
      <c r="Q428">
        <v>0</v>
      </c>
      <c r="R428">
        <v>0</v>
      </c>
      <c r="S428">
        <v>0</v>
      </c>
      <c r="T428" t="str">
        <f>IF(mental_health[Sleep_Hours]&lt;5,"Low",IF(mental_health[Sleep_Hours]&lt;7,"Medium","Good"))</f>
        <v>Medium</v>
      </c>
      <c r="U428" t="str">
        <f>IF(mental_health[Stress_Level]&lt;=3,"Low",IF(mental_health[Stress_Level]&lt;=7,"Medium","High"))</f>
        <v>Medium</v>
      </c>
      <c r="V428" t="str">
        <f>IF(mental_health[Daily_Screen_Time]&lt;=4,"Low",IF(mental_health[Daily_Screen_Time]&lt;=8,"Medium","High"))</f>
        <v>Medium</v>
      </c>
    </row>
    <row r="429" spans="1:22" x14ac:dyDescent="0.3">
      <c r="A429">
        <v>428</v>
      </c>
      <c r="B429">
        <v>18</v>
      </c>
      <c r="C429" t="s">
        <v>23</v>
      </c>
      <c r="D429" t="s">
        <v>22</v>
      </c>
      <c r="E429">
        <v>11.3</v>
      </c>
      <c r="F429">
        <v>5.2</v>
      </c>
      <c r="G429">
        <v>0</v>
      </c>
      <c r="H429" t="str">
        <f t="shared" si="6"/>
        <v>No Night Usage</v>
      </c>
      <c r="I429">
        <v>8.5</v>
      </c>
      <c r="J429" s="3">
        <v>7</v>
      </c>
      <c r="K429">
        <v>4.0999999999999996</v>
      </c>
      <c r="L429" t="s">
        <v>21</v>
      </c>
      <c r="M429">
        <v>9</v>
      </c>
      <c r="N429">
        <v>3</v>
      </c>
      <c r="O429">
        <v>1</v>
      </c>
      <c r="P429">
        <v>0</v>
      </c>
      <c r="Q429">
        <v>1</v>
      </c>
      <c r="R429">
        <v>0</v>
      </c>
      <c r="S429">
        <v>0</v>
      </c>
      <c r="T429" t="str">
        <f>IF(mental_health[Sleep_Hours]&lt;5,"Low",IF(mental_health[Sleep_Hours]&lt;7,"Medium","Good"))</f>
        <v>Good</v>
      </c>
      <c r="U429" t="str">
        <f>IF(mental_health[Stress_Level]&lt;=3,"Low",IF(mental_health[Stress_Level]&lt;=7,"Medium","High"))</f>
        <v>Medium</v>
      </c>
      <c r="V429" t="str">
        <f>IF(mental_health[Daily_Screen_Time]&lt;=4,"Low",IF(mental_health[Daily_Screen_Time]&lt;=8,"Medium","High"))</f>
        <v>High</v>
      </c>
    </row>
    <row r="430" spans="1:22" x14ac:dyDescent="0.3">
      <c r="A430">
        <v>429</v>
      </c>
      <c r="B430">
        <v>27</v>
      </c>
      <c r="C430" t="s">
        <v>18</v>
      </c>
      <c r="D430" t="s">
        <v>19</v>
      </c>
      <c r="E430">
        <v>4.5</v>
      </c>
      <c r="F430">
        <v>2.2000000000000002</v>
      </c>
      <c r="G430">
        <v>1</v>
      </c>
      <c r="H430" t="str">
        <f t="shared" si="6"/>
        <v>Night Usage</v>
      </c>
      <c r="I430">
        <v>5.9</v>
      </c>
      <c r="J430" s="3">
        <v>3</v>
      </c>
      <c r="K430">
        <v>4.9000000000000004</v>
      </c>
      <c r="L430" t="s">
        <v>25</v>
      </c>
      <c r="M430">
        <v>5</v>
      </c>
      <c r="N430">
        <v>0</v>
      </c>
      <c r="O430">
        <v>1</v>
      </c>
      <c r="P430">
        <v>1</v>
      </c>
      <c r="Q430">
        <v>0</v>
      </c>
      <c r="R430">
        <v>0</v>
      </c>
      <c r="S430">
        <v>0</v>
      </c>
      <c r="T430" t="str">
        <f>IF(mental_health[Sleep_Hours]&lt;5,"Low",IF(mental_health[Sleep_Hours]&lt;7,"Medium","Good"))</f>
        <v>Medium</v>
      </c>
      <c r="U430" t="str">
        <f>IF(mental_health[Stress_Level]&lt;=3,"Low",IF(mental_health[Stress_Level]&lt;=7,"Medium","High"))</f>
        <v>Low</v>
      </c>
      <c r="V430" t="str">
        <f>IF(mental_health[Daily_Screen_Time]&lt;=4,"Low",IF(mental_health[Daily_Screen_Time]&lt;=8,"Medium","High"))</f>
        <v>Medium</v>
      </c>
    </row>
    <row r="431" spans="1:22" x14ac:dyDescent="0.3">
      <c r="A431">
        <v>430</v>
      </c>
      <c r="B431">
        <v>41</v>
      </c>
      <c r="C431" t="s">
        <v>18</v>
      </c>
      <c r="D431" t="s">
        <v>22</v>
      </c>
      <c r="E431">
        <v>3.2</v>
      </c>
      <c r="F431">
        <v>6.6</v>
      </c>
      <c r="G431">
        <v>0</v>
      </c>
      <c r="H431" t="str">
        <f t="shared" si="6"/>
        <v>No Night Usage</v>
      </c>
      <c r="I431">
        <v>5.7</v>
      </c>
      <c r="J431" s="3">
        <v>10</v>
      </c>
      <c r="K431">
        <v>10.5</v>
      </c>
      <c r="L431" t="s">
        <v>21</v>
      </c>
      <c r="M431">
        <v>10</v>
      </c>
      <c r="N431">
        <v>1</v>
      </c>
      <c r="O431">
        <v>1</v>
      </c>
      <c r="P431">
        <v>1</v>
      </c>
      <c r="Q431">
        <v>1</v>
      </c>
      <c r="R431">
        <v>1</v>
      </c>
      <c r="S431">
        <v>0</v>
      </c>
      <c r="T431" t="str">
        <f>IF(mental_health[Sleep_Hours]&lt;5,"Low",IF(mental_health[Sleep_Hours]&lt;7,"Medium","Good"))</f>
        <v>Medium</v>
      </c>
      <c r="U431" t="str">
        <f>IF(mental_health[Stress_Level]&lt;=3,"Low",IF(mental_health[Stress_Level]&lt;=7,"Medium","High"))</f>
        <v>High</v>
      </c>
      <c r="V431" t="str">
        <f>IF(mental_health[Daily_Screen_Time]&lt;=4,"Low",IF(mental_health[Daily_Screen_Time]&lt;=8,"Medium","High"))</f>
        <v>Low</v>
      </c>
    </row>
    <row r="432" spans="1:22" x14ac:dyDescent="0.3">
      <c r="A432">
        <v>431</v>
      </c>
      <c r="B432">
        <v>31</v>
      </c>
      <c r="C432" t="s">
        <v>18</v>
      </c>
      <c r="D432" t="s">
        <v>19</v>
      </c>
      <c r="E432">
        <v>7.8</v>
      </c>
      <c r="F432">
        <v>6</v>
      </c>
      <c r="G432">
        <v>0</v>
      </c>
      <c r="H432" t="str">
        <f t="shared" si="6"/>
        <v>No Night Usage</v>
      </c>
      <c r="I432">
        <v>4.2</v>
      </c>
      <c r="J432" s="3">
        <v>8</v>
      </c>
      <c r="K432">
        <v>12</v>
      </c>
      <c r="L432" t="s">
        <v>25</v>
      </c>
      <c r="M432">
        <v>4</v>
      </c>
      <c r="N432">
        <v>4</v>
      </c>
      <c r="O432">
        <v>0</v>
      </c>
      <c r="P432">
        <v>1</v>
      </c>
      <c r="Q432">
        <v>1</v>
      </c>
      <c r="R432">
        <v>1</v>
      </c>
      <c r="S432">
        <v>1</v>
      </c>
      <c r="T432" t="str">
        <f>IF(mental_health[Sleep_Hours]&lt;5,"Low",IF(mental_health[Sleep_Hours]&lt;7,"Medium","Good"))</f>
        <v>Low</v>
      </c>
      <c r="U432" t="str">
        <f>IF(mental_health[Stress_Level]&lt;=3,"Low",IF(mental_health[Stress_Level]&lt;=7,"Medium","High"))</f>
        <v>High</v>
      </c>
      <c r="V432" t="str">
        <f>IF(mental_health[Daily_Screen_Time]&lt;=4,"Low",IF(mental_health[Daily_Screen_Time]&lt;=8,"Medium","High"))</f>
        <v>Medium</v>
      </c>
    </row>
    <row r="433" spans="1:22" x14ac:dyDescent="0.3">
      <c r="A433">
        <v>432</v>
      </c>
      <c r="B433">
        <v>52</v>
      </c>
      <c r="C433" t="s">
        <v>23</v>
      </c>
      <c r="D433" t="s">
        <v>22</v>
      </c>
      <c r="E433">
        <v>11.7</v>
      </c>
      <c r="F433">
        <v>1.6</v>
      </c>
      <c r="G433">
        <v>0</v>
      </c>
      <c r="H433" t="str">
        <f t="shared" si="6"/>
        <v>No Night Usage</v>
      </c>
      <c r="I433">
        <v>4.8</v>
      </c>
      <c r="J433" s="3">
        <v>6</v>
      </c>
      <c r="K433">
        <v>5.2</v>
      </c>
      <c r="L433" t="s">
        <v>21</v>
      </c>
      <c r="M433">
        <v>9</v>
      </c>
      <c r="N433">
        <v>0</v>
      </c>
      <c r="O433">
        <v>0</v>
      </c>
      <c r="P433">
        <v>1</v>
      </c>
      <c r="Q433">
        <v>1</v>
      </c>
      <c r="R433">
        <v>1</v>
      </c>
      <c r="S433">
        <v>0</v>
      </c>
      <c r="T433" t="str">
        <f>IF(mental_health[Sleep_Hours]&lt;5,"Low",IF(mental_health[Sleep_Hours]&lt;7,"Medium","Good"))</f>
        <v>Low</v>
      </c>
      <c r="U433" t="str">
        <f>IF(mental_health[Stress_Level]&lt;=3,"Low",IF(mental_health[Stress_Level]&lt;=7,"Medium","High"))</f>
        <v>Medium</v>
      </c>
      <c r="V433" t="str">
        <f>IF(mental_health[Daily_Screen_Time]&lt;=4,"Low",IF(mental_health[Daily_Screen_Time]&lt;=8,"Medium","High"))</f>
        <v>High</v>
      </c>
    </row>
    <row r="434" spans="1:22" x14ac:dyDescent="0.3">
      <c r="A434">
        <v>433</v>
      </c>
      <c r="B434">
        <v>37</v>
      </c>
      <c r="C434" t="s">
        <v>23</v>
      </c>
      <c r="D434" t="s">
        <v>22</v>
      </c>
      <c r="E434">
        <v>5.8</v>
      </c>
      <c r="F434">
        <v>4.2</v>
      </c>
      <c r="G434">
        <v>0</v>
      </c>
      <c r="H434" t="str">
        <f t="shared" si="6"/>
        <v>No Night Usage</v>
      </c>
      <c r="I434">
        <v>3.3</v>
      </c>
      <c r="J434" s="3">
        <v>6</v>
      </c>
      <c r="K434">
        <v>3.5</v>
      </c>
      <c r="L434" t="s">
        <v>21</v>
      </c>
      <c r="M434">
        <v>10</v>
      </c>
      <c r="N434">
        <v>4</v>
      </c>
      <c r="O434">
        <v>1</v>
      </c>
      <c r="P434">
        <v>0</v>
      </c>
      <c r="Q434">
        <v>1</v>
      </c>
      <c r="R434">
        <v>1</v>
      </c>
      <c r="S434">
        <v>1</v>
      </c>
      <c r="T434" t="str">
        <f>IF(mental_health[Sleep_Hours]&lt;5,"Low",IF(mental_health[Sleep_Hours]&lt;7,"Medium","Good"))</f>
        <v>Low</v>
      </c>
      <c r="U434" t="str">
        <f>IF(mental_health[Stress_Level]&lt;=3,"Low",IF(mental_health[Stress_Level]&lt;=7,"Medium","High"))</f>
        <v>Medium</v>
      </c>
      <c r="V434" t="str">
        <f>IF(mental_health[Daily_Screen_Time]&lt;=4,"Low",IF(mental_health[Daily_Screen_Time]&lt;=8,"Medium","High"))</f>
        <v>Medium</v>
      </c>
    </row>
    <row r="435" spans="1:22" x14ac:dyDescent="0.3">
      <c r="A435">
        <v>434</v>
      </c>
      <c r="B435">
        <v>44</v>
      </c>
      <c r="C435" t="s">
        <v>18</v>
      </c>
      <c r="D435" t="s">
        <v>22</v>
      </c>
      <c r="E435">
        <v>2.6</v>
      </c>
      <c r="F435">
        <v>2.2000000000000002</v>
      </c>
      <c r="G435">
        <v>0</v>
      </c>
      <c r="H435" t="str">
        <f t="shared" si="6"/>
        <v>No Night Usage</v>
      </c>
      <c r="I435">
        <v>6.8</v>
      </c>
      <c r="J435" s="3">
        <v>1</v>
      </c>
      <c r="K435">
        <v>9.9</v>
      </c>
      <c r="L435" t="s">
        <v>25</v>
      </c>
      <c r="M435">
        <v>5</v>
      </c>
      <c r="N435">
        <v>0</v>
      </c>
      <c r="O435">
        <v>1</v>
      </c>
      <c r="P435">
        <v>0</v>
      </c>
      <c r="Q435">
        <v>0</v>
      </c>
      <c r="R435">
        <v>0</v>
      </c>
      <c r="S435">
        <v>0</v>
      </c>
      <c r="T435" t="str">
        <f>IF(mental_health[Sleep_Hours]&lt;5,"Low",IF(mental_health[Sleep_Hours]&lt;7,"Medium","Good"))</f>
        <v>Medium</v>
      </c>
      <c r="U435" t="str">
        <f>IF(mental_health[Stress_Level]&lt;=3,"Low",IF(mental_health[Stress_Level]&lt;=7,"Medium","High"))</f>
        <v>Low</v>
      </c>
      <c r="V435" t="str">
        <f>IF(mental_health[Daily_Screen_Time]&lt;=4,"Low",IF(mental_health[Daily_Screen_Time]&lt;=8,"Medium","High"))</f>
        <v>Low</v>
      </c>
    </row>
    <row r="436" spans="1:22" x14ac:dyDescent="0.3">
      <c r="A436">
        <v>435</v>
      </c>
      <c r="B436">
        <v>29</v>
      </c>
      <c r="C436" t="s">
        <v>23</v>
      </c>
      <c r="D436" t="s">
        <v>22</v>
      </c>
      <c r="E436">
        <v>5.4</v>
      </c>
      <c r="F436">
        <v>3.4</v>
      </c>
      <c r="G436">
        <v>1</v>
      </c>
      <c r="H436" t="str">
        <f t="shared" si="6"/>
        <v>Night Usage</v>
      </c>
      <c r="I436">
        <v>4.5</v>
      </c>
      <c r="J436" s="3">
        <v>5</v>
      </c>
      <c r="K436">
        <v>8</v>
      </c>
      <c r="L436" t="s">
        <v>21</v>
      </c>
      <c r="M436">
        <v>1</v>
      </c>
      <c r="N436">
        <v>3</v>
      </c>
      <c r="O436">
        <v>0</v>
      </c>
      <c r="P436">
        <v>1</v>
      </c>
      <c r="Q436">
        <v>1</v>
      </c>
      <c r="R436">
        <v>0</v>
      </c>
      <c r="S436">
        <v>1</v>
      </c>
      <c r="T436" t="str">
        <f>IF(mental_health[Sleep_Hours]&lt;5,"Low",IF(mental_health[Sleep_Hours]&lt;7,"Medium","Good"))</f>
        <v>Low</v>
      </c>
      <c r="U436" t="str">
        <f>IF(mental_health[Stress_Level]&lt;=3,"Low",IF(mental_health[Stress_Level]&lt;=7,"Medium","High"))</f>
        <v>Medium</v>
      </c>
      <c r="V436" t="str">
        <f>IF(mental_health[Daily_Screen_Time]&lt;=4,"Low",IF(mental_health[Daily_Screen_Time]&lt;=8,"Medium","High"))</f>
        <v>Medium</v>
      </c>
    </row>
    <row r="437" spans="1:22" x14ac:dyDescent="0.3">
      <c r="A437">
        <v>436</v>
      </c>
      <c r="B437">
        <v>43</v>
      </c>
      <c r="C437" t="s">
        <v>23</v>
      </c>
      <c r="D437" t="s">
        <v>22</v>
      </c>
      <c r="E437">
        <v>7.1</v>
      </c>
      <c r="F437">
        <v>1.1000000000000001</v>
      </c>
      <c r="G437">
        <v>0</v>
      </c>
      <c r="H437" t="str">
        <f t="shared" si="6"/>
        <v>No Night Usage</v>
      </c>
      <c r="I437">
        <v>4.8</v>
      </c>
      <c r="J437" s="3">
        <v>3</v>
      </c>
      <c r="K437">
        <v>3</v>
      </c>
      <c r="L437" t="s">
        <v>25</v>
      </c>
      <c r="M437">
        <v>5</v>
      </c>
      <c r="N437">
        <v>3</v>
      </c>
      <c r="O437">
        <v>0</v>
      </c>
      <c r="P437">
        <v>0</v>
      </c>
      <c r="Q437">
        <v>1</v>
      </c>
      <c r="R437">
        <v>0</v>
      </c>
      <c r="S437">
        <v>0</v>
      </c>
      <c r="T437" t="str">
        <f>IF(mental_health[Sleep_Hours]&lt;5,"Low",IF(mental_health[Sleep_Hours]&lt;7,"Medium","Good"))</f>
        <v>Low</v>
      </c>
      <c r="U437" t="str">
        <f>IF(mental_health[Stress_Level]&lt;=3,"Low",IF(mental_health[Stress_Level]&lt;=7,"Medium","High"))</f>
        <v>Low</v>
      </c>
      <c r="V437" t="str">
        <f>IF(mental_health[Daily_Screen_Time]&lt;=4,"Low",IF(mental_health[Daily_Screen_Time]&lt;=8,"Medium","High"))</f>
        <v>Medium</v>
      </c>
    </row>
    <row r="438" spans="1:22" x14ac:dyDescent="0.3">
      <c r="A438">
        <v>437</v>
      </c>
      <c r="B438">
        <v>20</v>
      </c>
      <c r="C438" t="s">
        <v>18</v>
      </c>
      <c r="D438" t="s">
        <v>22</v>
      </c>
      <c r="E438">
        <v>3.6</v>
      </c>
      <c r="F438">
        <v>3.8</v>
      </c>
      <c r="G438">
        <v>1</v>
      </c>
      <c r="H438" t="str">
        <f t="shared" si="6"/>
        <v>Night Usage</v>
      </c>
      <c r="I438">
        <v>7.6</v>
      </c>
      <c r="J438" s="3">
        <v>10</v>
      </c>
      <c r="K438">
        <v>11.5</v>
      </c>
      <c r="L438" t="s">
        <v>21</v>
      </c>
      <c r="M438">
        <v>5</v>
      </c>
      <c r="N438">
        <v>4</v>
      </c>
      <c r="O438">
        <v>0</v>
      </c>
      <c r="P438">
        <v>0</v>
      </c>
      <c r="Q438">
        <v>1</v>
      </c>
      <c r="R438">
        <v>1</v>
      </c>
      <c r="S438">
        <v>1</v>
      </c>
      <c r="T438" t="str">
        <f>IF(mental_health[Sleep_Hours]&lt;5,"Low",IF(mental_health[Sleep_Hours]&lt;7,"Medium","Good"))</f>
        <v>Good</v>
      </c>
      <c r="U438" t="str">
        <f>IF(mental_health[Stress_Level]&lt;=3,"Low",IF(mental_health[Stress_Level]&lt;=7,"Medium","High"))</f>
        <v>High</v>
      </c>
      <c r="V438" t="str">
        <f>IF(mental_health[Daily_Screen_Time]&lt;=4,"Low",IF(mental_health[Daily_Screen_Time]&lt;=8,"Medium","High"))</f>
        <v>Low</v>
      </c>
    </row>
    <row r="439" spans="1:22" x14ac:dyDescent="0.3">
      <c r="A439">
        <v>438</v>
      </c>
      <c r="B439">
        <v>45</v>
      </c>
      <c r="C439" t="s">
        <v>18</v>
      </c>
      <c r="D439" t="s">
        <v>22</v>
      </c>
      <c r="E439">
        <v>8.6</v>
      </c>
      <c r="F439">
        <v>4.8</v>
      </c>
      <c r="G439">
        <v>1</v>
      </c>
      <c r="H439" t="str">
        <f t="shared" si="6"/>
        <v>Night Usage</v>
      </c>
      <c r="I439">
        <v>5</v>
      </c>
      <c r="J439" s="3">
        <v>1</v>
      </c>
      <c r="K439">
        <v>2.8</v>
      </c>
      <c r="L439" t="s">
        <v>21</v>
      </c>
      <c r="M439">
        <v>5</v>
      </c>
      <c r="N439">
        <v>2</v>
      </c>
      <c r="O439">
        <v>0</v>
      </c>
      <c r="P439">
        <v>0</v>
      </c>
      <c r="Q439">
        <v>0</v>
      </c>
      <c r="R439">
        <v>0</v>
      </c>
      <c r="S439">
        <v>1</v>
      </c>
      <c r="T439" t="str">
        <f>IF(mental_health[Sleep_Hours]&lt;5,"Low",IF(mental_health[Sleep_Hours]&lt;7,"Medium","Good"))</f>
        <v>Medium</v>
      </c>
      <c r="U439" t="str">
        <f>IF(mental_health[Stress_Level]&lt;=3,"Low",IF(mental_health[Stress_Level]&lt;=7,"Medium","High"))</f>
        <v>Low</v>
      </c>
      <c r="V439" t="str">
        <f>IF(mental_health[Daily_Screen_Time]&lt;=4,"Low",IF(mental_health[Daily_Screen_Time]&lt;=8,"Medium","High"))</f>
        <v>High</v>
      </c>
    </row>
    <row r="440" spans="1:22" x14ac:dyDescent="0.3">
      <c r="A440">
        <v>439</v>
      </c>
      <c r="B440">
        <v>20</v>
      </c>
      <c r="C440" t="s">
        <v>23</v>
      </c>
      <c r="D440" t="s">
        <v>22</v>
      </c>
      <c r="E440">
        <v>12</v>
      </c>
      <c r="F440">
        <v>5.3</v>
      </c>
      <c r="G440">
        <v>0</v>
      </c>
      <c r="H440" t="str">
        <f t="shared" si="6"/>
        <v>No Night Usage</v>
      </c>
      <c r="I440">
        <v>4.5</v>
      </c>
      <c r="J440" s="3">
        <v>8</v>
      </c>
      <c r="K440">
        <v>8.3000000000000007</v>
      </c>
      <c r="L440" t="s">
        <v>21</v>
      </c>
      <c r="M440">
        <v>2</v>
      </c>
      <c r="N440">
        <v>2</v>
      </c>
      <c r="O440">
        <v>1</v>
      </c>
      <c r="P440">
        <v>0</v>
      </c>
      <c r="Q440">
        <v>1</v>
      </c>
      <c r="R440">
        <v>1</v>
      </c>
      <c r="S440">
        <v>1</v>
      </c>
      <c r="T440" t="str">
        <f>IF(mental_health[Sleep_Hours]&lt;5,"Low",IF(mental_health[Sleep_Hours]&lt;7,"Medium","Good"))</f>
        <v>Low</v>
      </c>
      <c r="U440" t="str">
        <f>IF(mental_health[Stress_Level]&lt;=3,"Low",IF(mental_health[Stress_Level]&lt;=7,"Medium","High"))</f>
        <v>High</v>
      </c>
      <c r="V440" t="str">
        <f>IF(mental_health[Daily_Screen_Time]&lt;=4,"Low",IF(mental_health[Daily_Screen_Time]&lt;=8,"Medium","High"))</f>
        <v>High</v>
      </c>
    </row>
    <row r="441" spans="1:22" x14ac:dyDescent="0.3">
      <c r="A441">
        <v>440</v>
      </c>
      <c r="B441">
        <v>27</v>
      </c>
      <c r="C441" t="s">
        <v>18</v>
      </c>
      <c r="D441" t="s">
        <v>22</v>
      </c>
      <c r="E441">
        <v>6.5</v>
      </c>
      <c r="F441">
        <v>5.6</v>
      </c>
      <c r="G441">
        <v>1</v>
      </c>
      <c r="H441" t="str">
        <f t="shared" si="6"/>
        <v>Night Usage</v>
      </c>
      <c r="I441">
        <v>4</v>
      </c>
      <c r="J441" s="3">
        <v>7</v>
      </c>
      <c r="K441">
        <v>6.2</v>
      </c>
      <c r="L441" t="s">
        <v>21</v>
      </c>
      <c r="M441">
        <v>6</v>
      </c>
      <c r="N441">
        <v>1</v>
      </c>
      <c r="O441">
        <v>1</v>
      </c>
      <c r="P441">
        <v>0</v>
      </c>
      <c r="Q441">
        <v>1</v>
      </c>
      <c r="R441">
        <v>1</v>
      </c>
      <c r="S441">
        <v>0</v>
      </c>
      <c r="T441" t="str">
        <f>IF(mental_health[Sleep_Hours]&lt;5,"Low",IF(mental_health[Sleep_Hours]&lt;7,"Medium","Good"))</f>
        <v>Low</v>
      </c>
      <c r="U441" t="str">
        <f>IF(mental_health[Stress_Level]&lt;=3,"Low",IF(mental_health[Stress_Level]&lt;=7,"Medium","High"))</f>
        <v>Medium</v>
      </c>
      <c r="V441" t="str">
        <f>IF(mental_health[Daily_Screen_Time]&lt;=4,"Low",IF(mental_health[Daily_Screen_Time]&lt;=8,"Medium","High"))</f>
        <v>Medium</v>
      </c>
    </row>
    <row r="442" spans="1:22" x14ac:dyDescent="0.3">
      <c r="A442">
        <v>441</v>
      </c>
      <c r="B442">
        <v>31</v>
      </c>
      <c r="C442" t="s">
        <v>23</v>
      </c>
      <c r="D442" t="s">
        <v>19</v>
      </c>
      <c r="E442">
        <v>5.5</v>
      </c>
      <c r="F442">
        <v>6.9</v>
      </c>
      <c r="G442">
        <v>1</v>
      </c>
      <c r="H442" t="str">
        <f t="shared" si="6"/>
        <v>Night Usage</v>
      </c>
      <c r="I442">
        <v>7.6</v>
      </c>
      <c r="J442" s="3">
        <v>7</v>
      </c>
      <c r="K442">
        <v>7.6</v>
      </c>
      <c r="L442" t="s">
        <v>20</v>
      </c>
      <c r="M442">
        <v>5</v>
      </c>
      <c r="N442">
        <v>2</v>
      </c>
      <c r="O442">
        <v>0</v>
      </c>
      <c r="P442">
        <v>0</v>
      </c>
      <c r="Q442">
        <v>1</v>
      </c>
      <c r="R442">
        <v>1</v>
      </c>
      <c r="S442">
        <v>1</v>
      </c>
      <c r="T442" t="str">
        <f>IF(mental_health[Sleep_Hours]&lt;5,"Low",IF(mental_health[Sleep_Hours]&lt;7,"Medium","Good"))</f>
        <v>Good</v>
      </c>
      <c r="U442" t="str">
        <f>IF(mental_health[Stress_Level]&lt;=3,"Low",IF(mental_health[Stress_Level]&lt;=7,"Medium","High"))</f>
        <v>Medium</v>
      </c>
      <c r="V442" t="str">
        <f>IF(mental_health[Daily_Screen_Time]&lt;=4,"Low",IF(mental_health[Daily_Screen_Time]&lt;=8,"Medium","High"))</f>
        <v>Medium</v>
      </c>
    </row>
    <row r="443" spans="1:22" x14ac:dyDescent="0.3">
      <c r="A443">
        <v>442</v>
      </c>
      <c r="B443">
        <v>41</v>
      </c>
      <c r="C443" t="s">
        <v>23</v>
      </c>
      <c r="D443" t="s">
        <v>24</v>
      </c>
      <c r="E443">
        <v>6</v>
      </c>
      <c r="F443">
        <v>2.5</v>
      </c>
      <c r="G443">
        <v>0</v>
      </c>
      <c r="H443" t="str">
        <f t="shared" si="6"/>
        <v>No Night Usage</v>
      </c>
      <c r="I443">
        <v>3.8</v>
      </c>
      <c r="J443" s="3">
        <v>10</v>
      </c>
      <c r="K443">
        <v>4.0999999999999996</v>
      </c>
      <c r="L443" t="s">
        <v>25</v>
      </c>
      <c r="M443">
        <v>2</v>
      </c>
      <c r="N443">
        <v>4</v>
      </c>
      <c r="O443">
        <v>0</v>
      </c>
      <c r="P443">
        <v>0</v>
      </c>
      <c r="Q443">
        <v>1</v>
      </c>
      <c r="R443">
        <v>1</v>
      </c>
      <c r="S443">
        <v>1</v>
      </c>
      <c r="T443" t="str">
        <f>IF(mental_health[Sleep_Hours]&lt;5,"Low",IF(mental_health[Sleep_Hours]&lt;7,"Medium","Good"))</f>
        <v>Low</v>
      </c>
      <c r="U443" t="str">
        <f>IF(mental_health[Stress_Level]&lt;=3,"Low",IF(mental_health[Stress_Level]&lt;=7,"Medium","High"))</f>
        <v>High</v>
      </c>
      <c r="V443" t="str">
        <f>IF(mental_health[Daily_Screen_Time]&lt;=4,"Low",IF(mental_health[Daily_Screen_Time]&lt;=8,"Medium","High"))</f>
        <v>Medium</v>
      </c>
    </row>
    <row r="444" spans="1:22" x14ac:dyDescent="0.3">
      <c r="A444">
        <v>443</v>
      </c>
      <c r="B444">
        <v>41</v>
      </c>
      <c r="C444" t="s">
        <v>23</v>
      </c>
      <c r="D444" t="s">
        <v>22</v>
      </c>
      <c r="E444">
        <v>3.2</v>
      </c>
      <c r="F444">
        <v>1.8</v>
      </c>
      <c r="G444">
        <v>1</v>
      </c>
      <c r="H444" t="str">
        <f t="shared" si="6"/>
        <v>Night Usage</v>
      </c>
      <c r="I444">
        <v>5.7</v>
      </c>
      <c r="J444" s="3">
        <v>10</v>
      </c>
      <c r="K444">
        <v>8.9</v>
      </c>
      <c r="L444" t="s">
        <v>20</v>
      </c>
      <c r="M444">
        <v>10</v>
      </c>
      <c r="N444">
        <v>2</v>
      </c>
      <c r="O444">
        <v>1</v>
      </c>
      <c r="P444">
        <v>1</v>
      </c>
      <c r="Q444">
        <v>0</v>
      </c>
      <c r="R444">
        <v>0</v>
      </c>
      <c r="S444">
        <v>1</v>
      </c>
      <c r="T444" t="str">
        <f>IF(mental_health[Sleep_Hours]&lt;5,"Low",IF(mental_health[Sleep_Hours]&lt;7,"Medium","Good"))</f>
        <v>Medium</v>
      </c>
      <c r="U444" t="str">
        <f>IF(mental_health[Stress_Level]&lt;=3,"Low",IF(mental_health[Stress_Level]&lt;=7,"Medium","High"))</f>
        <v>High</v>
      </c>
      <c r="V444" t="str">
        <f>IF(mental_health[Daily_Screen_Time]&lt;=4,"Low",IF(mental_health[Daily_Screen_Time]&lt;=8,"Medium","High"))</f>
        <v>Low</v>
      </c>
    </row>
    <row r="445" spans="1:22" x14ac:dyDescent="0.3">
      <c r="A445">
        <v>444</v>
      </c>
      <c r="B445">
        <v>36</v>
      </c>
      <c r="C445" t="s">
        <v>23</v>
      </c>
      <c r="D445" t="s">
        <v>24</v>
      </c>
      <c r="E445">
        <v>10.8</v>
      </c>
      <c r="F445">
        <v>7</v>
      </c>
      <c r="G445">
        <v>0</v>
      </c>
      <c r="H445" t="str">
        <f t="shared" si="6"/>
        <v>No Night Usage</v>
      </c>
      <c r="I445">
        <v>6</v>
      </c>
      <c r="J445" s="3">
        <v>10</v>
      </c>
      <c r="K445">
        <v>11.6</v>
      </c>
      <c r="L445" t="s">
        <v>21</v>
      </c>
      <c r="M445">
        <v>8</v>
      </c>
      <c r="N445">
        <v>1</v>
      </c>
      <c r="O445">
        <v>1</v>
      </c>
      <c r="P445">
        <v>1</v>
      </c>
      <c r="Q445">
        <v>1</v>
      </c>
      <c r="R445">
        <v>1</v>
      </c>
      <c r="S445">
        <v>0</v>
      </c>
      <c r="T445" t="str">
        <f>IF(mental_health[Sleep_Hours]&lt;5,"Low",IF(mental_health[Sleep_Hours]&lt;7,"Medium","Good"))</f>
        <v>Medium</v>
      </c>
      <c r="U445" t="str">
        <f>IF(mental_health[Stress_Level]&lt;=3,"Low",IF(mental_health[Stress_Level]&lt;=7,"Medium","High"))</f>
        <v>High</v>
      </c>
      <c r="V445" t="str">
        <f>IF(mental_health[Daily_Screen_Time]&lt;=4,"Low",IF(mental_health[Daily_Screen_Time]&lt;=8,"Medium","High"))</f>
        <v>High</v>
      </c>
    </row>
    <row r="446" spans="1:22" x14ac:dyDescent="0.3">
      <c r="A446">
        <v>445</v>
      </c>
      <c r="B446">
        <v>54</v>
      </c>
      <c r="C446" t="s">
        <v>23</v>
      </c>
      <c r="D446" t="s">
        <v>22</v>
      </c>
      <c r="E446">
        <v>6.1</v>
      </c>
      <c r="F446">
        <v>2.1</v>
      </c>
      <c r="G446">
        <v>0</v>
      </c>
      <c r="H446" t="str">
        <f t="shared" si="6"/>
        <v>No Night Usage</v>
      </c>
      <c r="I446">
        <v>7.1</v>
      </c>
      <c r="J446" s="3">
        <v>4</v>
      </c>
      <c r="K446">
        <v>6.6</v>
      </c>
      <c r="L446" t="s">
        <v>21</v>
      </c>
      <c r="M446">
        <v>6</v>
      </c>
      <c r="N446">
        <v>0</v>
      </c>
      <c r="O446">
        <v>0</v>
      </c>
      <c r="P446">
        <v>0</v>
      </c>
      <c r="Q446">
        <v>1</v>
      </c>
      <c r="R446">
        <v>1</v>
      </c>
      <c r="S446">
        <v>1</v>
      </c>
      <c r="T446" t="str">
        <f>IF(mental_health[Sleep_Hours]&lt;5,"Low",IF(mental_health[Sleep_Hours]&lt;7,"Medium","Good"))</f>
        <v>Good</v>
      </c>
      <c r="U446" t="str">
        <f>IF(mental_health[Stress_Level]&lt;=3,"Low",IF(mental_health[Stress_Level]&lt;=7,"Medium","High"))</f>
        <v>Medium</v>
      </c>
      <c r="V446" t="str">
        <f>IF(mental_health[Daily_Screen_Time]&lt;=4,"Low",IF(mental_health[Daily_Screen_Time]&lt;=8,"Medium","High"))</f>
        <v>Medium</v>
      </c>
    </row>
    <row r="447" spans="1:22" x14ac:dyDescent="0.3">
      <c r="A447">
        <v>446</v>
      </c>
      <c r="B447">
        <v>51</v>
      </c>
      <c r="C447" t="s">
        <v>23</v>
      </c>
      <c r="D447" t="s">
        <v>22</v>
      </c>
      <c r="E447">
        <v>5.9</v>
      </c>
      <c r="F447">
        <v>7.8</v>
      </c>
      <c r="G447">
        <v>0</v>
      </c>
      <c r="H447" t="str">
        <f t="shared" si="6"/>
        <v>No Night Usage</v>
      </c>
      <c r="I447">
        <v>6.8</v>
      </c>
      <c r="J447" s="3">
        <v>6</v>
      </c>
      <c r="K447">
        <v>7.2</v>
      </c>
      <c r="L447" t="s">
        <v>25</v>
      </c>
      <c r="M447">
        <v>10</v>
      </c>
      <c r="N447">
        <v>2</v>
      </c>
      <c r="O447">
        <v>1</v>
      </c>
      <c r="P447">
        <v>0</v>
      </c>
      <c r="Q447">
        <v>0</v>
      </c>
      <c r="R447">
        <v>1</v>
      </c>
      <c r="S447">
        <v>0</v>
      </c>
      <c r="T447" t="str">
        <f>IF(mental_health[Sleep_Hours]&lt;5,"Low",IF(mental_health[Sleep_Hours]&lt;7,"Medium","Good"))</f>
        <v>Medium</v>
      </c>
      <c r="U447" t="str">
        <f>IF(mental_health[Stress_Level]&lt;=3,"Low",IF(mental_health[Stress_Level]&lt;=7,"Medium","High"))</f>
        <v>Medium</v>
      </c>
      <c r="V447" t="str">
        <f>IF(mental_health[Daily_Screen_Time]&lt;=4,"Low",IF(mental_health[Daily_Screen_Time]&lt;=8,"Medium","High"))</f>
        <v>Medium</v>
      </c>
    </row>
    <row r="448" spans="1:22" x14ac:dyDescent="0.3">
      <c r="A448">
        <v>447</v>
      </c>
      <c r="B448">
        <v>48</v>
      </c>
      <c r="C448" t="s">
        <v>18</v>
      </c>
      <c r="D448" t="s">
        <v>19</v>
      </c>
      <c r="E448">
        <v>8.6</v>
      </c>
      <c r="F448">
        <v>6.9</v>
      </c>
      <c r="G448">
        <v>1</v>
      </c>
      <c r="H448" t="str">
        <f t="shared" si="6"/>
        <v>Night Usage</v>
      </c>
      <c r="I448">
        <v>7.9</v>
      </c>
      <c r="J448" s="3">
        <v>9</v>
      </c>
      <c r="K448">
        <v>4.4000000000000004</v>
      </c>
      <c r="L448" t="s">
        <v>25</v>
      </c>
      <c r="M448">
        <v>3</v>
      </c>
      <c r="N448">
        <v>4</v>
      </c>
      <c r="O448">
        <v>0</v>
      </c>
      <c r="P448">
        <v>0</v>
      </c>
      <c r="Q448">
        <v>1</v>
      </c>
      <c r="R448">
        <v>1</v>
      </c>
      <c r="S448">
        <v>1</v>
      </c>
      <c r="T448" t="str">
        <f>IF(mental_health[Sleep_Hours]&lt;5,"Low",IF(mental_health[Sleep_Hours]&lt;7,"Medium","Good"))</f>
        <v>Good</v>
      </c>
      <c r="U448" t="str">
        <f>IF(mental_health[Stress_Level]&lt;=3,"Low",IF(mental_health[Stress_Level]&lt;=7,"Medium","High"))</f>
        <v>High</v>
      </c>
      <c r="V448" t="str">
        <f>IF(mental_health[Daily_Screen_Time]&lt;=4,"Low",IF(mental_health[Daily_Screen_Time]&lt;=8,"Medium","High"))</f>
        <v>High</v>
      </c>
    </row>
    <row r="449" spans="1:22" x14ac:dyDescent="0.3">
      <c r="A449">
        <v>448</v>
      </c>
      <c r="B449">
        <v>45</v>
      </c>
      <c r="C449" t="s">
        <v>18</v>
      </c>
      <c r="D449" t="s">
        <v>19</v>
      </c>
      <c r="E449">
        <v>6.4</v>
      </c>
      <c r="F449">
        <v>4.5</v>
      </c>
      <c r="G449">
        <v>1</v>
      </c>
      <c r="H449" t="str">
        <f t="shared" si="6"/>
        <v>Night Usage</v>
      </c>
      <c r="I449">
        <v>3.3</v>
      </c>
      <c r="J449" s="3">
        <v>3</v>
      </c>
      <c r="K449">
        <v>10.9</v>
      </c>
      <c r="L449" t="s">
        <v>25</v>
      </c>
      <c r="M449">
        <v>9</v>
      </c>
      <c r="N449">
        <v>4</v>
      </c>
      <c r="O449">
        <v>1</v>
      </c>
      <c r="P449">
        <v>0</v>
      </c>
      <c r="Q449">
        <v>0</v>
      </c>
      <c r="R449">
        <v>1</v>
      </c>
      <c r="S449">
        <v>1</v>
      </c>
      <c r="T449" t="str">
        <f>IF(mental_health[Sleep_Hours]&lt;5,"Low",IF(mental_health[Sleep_Hours]&lt;7,"Medium","Good"))</f>
        <v>Low</v>
      </c>
      <c r="U449" t="str">
        <f>IF(mental_health[Stress_Level]&lt;=3,"Low",IF(mental_health[Stress_Level]&lt;=7,"Medium","High"))</f>
        <v>Low</v>
      </c>
      <c r="V449" t="str">
        <f>IF(mental_health[Daily_Screen_Time]&lt;=4,"Low",IF(mental_health[Daily_Screen_Time]&lt;=8,"Medium","High"))</f>
        <v>Medium</v>
      </c>
    </row>
    <row r="450" spans="1:22" x14ac:dyDescent="0.3">
      <c r="A450">
        <v>449</v>
      </c>
      <c r="B450">
        <v>52</v>
      </c>
      <c r="C450" t="s">
        <v>23</v>
      </c>
      <c r="D450" t="s">
        <v>24</v>
      </c>
      <c r="E450">
        <v>8.5</v>
      </c>
      <c r="F450">
        <v>7.9</v>
      </c>
      <c r="G450">
        <v>1</v>
      </c>
      <c r="H450" t="str">
        <f t="shared" ref="H450:H513" si="7">IF(G450=1,"Night Usage","No Night Usage")</f>
        <v>Night Usage</v>
      </c>
      <c r="I450">
        <v>4.8</v>
      </c>
      <c r="J450" s="3">
        <v>9</v>
      </c>
      <c r="K450">
        <v>11.7</v>
      </c>
      <c r="L450" t="s">
        <v>25</v>
      </c>
      <c r="M450">
        <v>4</v>
      </c>
      <c r="N450">
        <v>1</v>
      </c>
      <c r="O450">
        <v>1</v>
      </c>
      <c r="P450">
        <v>0</v>
      </c>
      <c r="Q450">
        <v>1</v>
      </c>
      <c r="R450">
        <v>1</v>
      </c>
      <c r="S450">
        <v>1</v>
      </c>
      <c r="T450" t="str">
        <f>IF(mental_health[Sleep_Hours]&lt;5,"Low",IF(mental_health[Sleep_Hours]&lt;7,"Medium","Good"))</f>
        <v>Low</v>
      </c>
      <c r="U450" t="str">
        <f>IF(mental_health[Stress_Level]&lt;=3,"Low",IF(mental_health[Stress_Level]&lt;=7,"Medium","High"))</f>
        <v>High</v>
      </c>
      <c r="V450" t="str">
        <f>IF(mental_health[Daily_Screen_Time]&lt;=4,"Low",IF(mental_health[Daily_Screen_Time]&lt;=8,"Medium","High"))</f>
        <v>High</v>
      </c>
    </row>
    <row r="451" spans="1:22" x14ac:dyDescent="0.3">
      <c r="A451">
        <v>450</v>
      </c>
      <c r="B451">
        <v>38</v>
      </c>
      <c r="C451" t="s">
        <v>23</v>
      </c>
      <c r="D451" t="s">
        <v>19</v>
      </c>
      <c r="E451">
        <v>2.6</v>
      </c>
      <c r="F451">
        <v>1.7</v>
      </c>
      <c r="G451">
        <v>1</v>
      </c>
      <c r="H451" t="str">
        <f t="shared" si="7"/>
        <v>Night Usage</v>
      </c>
      <c r="I451">
        <v>4.7</v>
      </c>
      <c r="J451" s="3">
        <v>4</v>
      </c>
      <c r="K451">
        <v>9.9</v>
      </c>
      <c r="L451" t="s">
        <v>21</v>
      </c>
      <c r="M451">
        <v>3</v>
      </c>
      <c r="N451">
        <v>1</v>
      </c>
      <c r="O451">
        <v>0</v>
      </c>
      <c r="P451">
        <v>1</v>
      </c>
      <c r="Q451">
        <v>1</v>
      </c>
      <c r="R451">
        <v>1</v>
      </c>
      <c r="S451">
        <v>0</v>
      </c>
      <c r="T451" t="str">
        <f>IF(mental_health[Sleep_Hours]&lt;5,"Low",IF(mental_health[Sleep_Hours]&lt;7,"Medium","Good"))</f>
        <v>Low</v>
      </c>
      <c r="U451" t="str">
        <f>IF(mental_health[Stress_Level]&lt;=3,"Low",IF(mental_health[Stress_Level]&lt;=7,"Medium","High"))</f>
        <v>Medium</v>
      </c>
      <c r="V451" t="str">
        <f>IF(mental_health[Daily_Screen_Time]&lt;=4,"Low",IF(mental_health[Daily_Screen_Time]&lt;=8,"Medium","High"))</f>
        <v>Low</v>
      </c>
    </row>
    <row r="452" spans="1:22" x14ac:dyDescent="0.3">
      <c r="A452">
        <v>451</v>
      </c>
      <c r="B452">
        <v>25</v>
      </c>
      <c r="C452" t="s">
        <v>23</v>
      </c>
      <c r="D452" t="s">
        <v>19</v>
      </c>
      <c r="E452">
        <v>10.1</v>
      </c>
      <c r="F452">
        <v>3.1</v>
      </c>
      <c r="G452">
        <v>0</v>
      </c>
      <c r="H452" t="str">
        <f t="shared" si="7"/>
        <v>No Night Usage</v>
      </c>
      <c r="I452">
        <v>3.9</v>
      </c>
      <c r="J452" s="3">
        <v>5</v>
      </c>
      <c r="K452">
        <v>7.4</v>
      </c>
      <c r="L452" t="s">
        <v>25</v>
      </c>
      <c r="M452">
        <v>7</v>
      </c>
      <c r="N452">
        <v>3</v>
      </c>
      <c r="O452">
        <v>1</v>
      </c>
      <c r="P452">
        <v>0</v>
      </c>
      <c r="Q452">
        <v>1</v>
      </c>
      <c r="R452">
        <v>1</v>
      </c>
      <c r="S452">
        <v>0</v>
      </c>
      <c r="T452" t="str">
        <f>IF(mental_health[Sleep_Hours]&lt;5,"Low",IF(mental_health[Sleep_Hours]&lt;7,"Medium","Good"))</f>
        <v>Low</v>
      </c>
      <c r="U452" t="str">
        <f>IF(mental_health[Stress_Level]&lt;=3,"Low",IF(mental_health[Stress_Level]&lt;=7,"Medium","High"))</f>
        <v>Medium</v>
      </c>
      <c r="V452" t="str">
        <f>IF(mental_health[Daily_Screen_Time]&lt;=4,"Low",IF(mental_health[Daily_Screen_Time]&lt;=8,"Medium","High"))</f>
        <v>High</v>
      </c>
    </row>
    <row r="453" spans="1:22" x14ac:dyDescent="0.3">
      <c r="A453">
        <v>452</v>
      </c>
      <c r="B453">
        <v>20</v>
      </c>
      <c r="C453" t="s">
        <v>18</v>
      </c>
      <c r="D453" t="s">
        <v>24</v>
      </c>
      <c r="E453">
        <v>11.4</v>
      </c>
      <c r="F453">
        <v>5.5</v>
      </c>
      <c r="G453">
        <v>0</v>
      </c>
      <c r="H453" t="str">
        <f t="shared" si="7"/>
        <v>No Night Usage</v>
      </c>
      <c r="I453">
        <v>4.7</v>
      </c>
      <c r="J453" s="3">
        <v>7</v>
      </c>
      <c r="K453">
        <v>11.6</v>
      </c>
      <c r="L453" t="s">
        <v>20</v>
      </c>
      <c r="M453">
        <v>8</v>
      </c>
      <c r="N453">
        <v>3</v>
      </c>
      <c r="O453">
        <v>0</v>
      </c>
      <c r="P453">
        <v>1</v>
      </c>
      <c r="Q453">
        <v>1</v>
      </c>
      <c r="R453">
        <v>1</v>
      </c>
      <c r="S453">
        <v>1</v>
      </c>
      <c r="T453" t="str">
        <f>IF(mental_health[Sleep_Hours]&lt;5,"Low",IF(mental_health[Sleep_Hours]&lt;7,"Medium","Good"))</f>
        <v>Low</v>
      </c>
      <c r="U453" t="str">
        <f>IF(mental_health[Stress_Level]&lt;=3,"Low",IF(mental_health[Stress_Level]&lt;=7,"Medium","High"))</f>
        <v>Medium</v>
      </c>
      <c r="V453" t="str">
        <f>IF(mental_health[Daily_Screen_Time]&lt;=4,"Low",IF(mental_health[Daily_Screen_Time]&lt;=8,"Medium","High"))</f>
        <v>High</v>
      </c>
    </row>
    <row r="454" spans="1:22" x14ac:dyDescent="0.3">
      <c r="A454">
        <v>453</v>
      </c>
      <c r="B454">
        <v>51</v>
      </c>
      <c r="C454" t="s">
        <v>23</v>
      </c>
      <c r="D454" t="s">
        <v>19</v>
      </c>
      <c r="E454">
        <v>8.5</v>
      </c>
      <c r="F454">
        <v>3.5</v>
      </c>
      <c r="G454">
        <v>1</v>
      </c>
      <c r="H454" t="str">
        <f t="shared" si="7"/>
        <v>Night Usage</v>
      </c>
      <c r="I454">
        <v>4.9000000000000004</v>
      </c>
      <c r="J454" s="3">
        <v>6</v>
      </c>
      <c r="K454">
        <v>3.5</v>
      </c>
      <c r="L454" t="s">
        <v>25</v>
      </c>
      <c r="M454">
        <v>7</v>
      </c>
      <c r="N454">
        <v>3</v>
      </c>
      <c r="O454">
        <v>1</v>
      </c>
      <c r="P454">
        <v>1</v>
      </c>
      <c r="Q454">
        <v>0</v>
      </c>
      <c r="R454">
        <v>1</v>
      </c>
      <c r="S454">
        <v>0</v>
      </c>
      <c r="T454" t="str">
        <f>IF(mental_health[Sleep_Hours]&lt;5,"Low",IF(mental_health[Sleep_Hours]&lt;7,"Medium","Good"))</f>
        <v>Low</v>
      </c>
      <c r="U454" t="str">
        <f>IF(mental_health[Stress_Level]&lt;=3,"Low",IF(mental_health[Stress_Level]&lt;=7,"Medium","High"))</f>
        <v>Medium</v>
      </c>
      <c r="V454" t="str">
        <f>IF(mental_health[Daily_Screen_Time]&lt;=4,"Low",IF(mental_health[Daily_Screen_Time]&lt;=8,"Medium","High"))</f>
        <v>High</v>
      </c>
    </row>
    <row r="455" spans="1:22" x14ac:dyDescent="0.3">
      <c r="A455">
        <v>454</v>
      </c>
      <c r="B455">
        <v>49</v>
      </c>
      <c r="C455" t="s">
        <v>18</v>
      </c>
      <c r="D455" t="s">
        <v>22</v>
      </c>
      <c r="E455">
        <v>11.5</v>
      </c>
      <c r="F455">
        <v>7.5</v>
      </c>
      <c r="G455">
        <v>0</v>
      </c>
      <c r="H455" t="str">
        <f t="shared" si="7"/>
        <v>No Night Usage</v>
      </c>
      <c r="I455">
        <v>6.1</v>
      </c>
      <c r="J455" s="3">
        <v>10</v>
      </c>
      <c r="K455">
        <v>6.8</v>
      </c>
      <c r="L455" t="s">
        <v>25</v>
      </c>
      <c r="M455">
        <v>1</v>
      </c>
      <c r="N455">
        <v>0</v>
      </c>
      <c r="O455">
        <v>0</v>
      </c>
      <c r="P455">
        <v>0</v>
      </c>
      <c r="Q455">
        <v>1</v>
      </c>
      <c r="R455">
        <v>1</v>
      </c>
      <c r="S455">
        <v>1</v>
      </c>
      <c r="T455" t="str">
        <f>IF(mental_health[Sleep_Hours]&lt;5,"Low",IF(mental_health[Sleep_Hours]&lt;7,"Medium","Good"))</f>
        <v>Medium</v>
      </c>
      <c r="U455" t="str">
        <f>IF(mental_health[Stress_Level]&lt;=3,"Low",IF(mental_health[Stress_Level]&lt;=7,"Medium","High"))</f>
        <v>High</v>
      </c>
      <c r="V455" t="str">
        <f>IF(mental_health[Daily_Screen_Time]&lt;=4,"Low",IF(mental_health[Daily_Screen_Time]&lt;=8,"Medium","High"))</f>
        <v>High</v>
      </c>
    </row>
    <row r="456" spans="1:22" x14ac:dyDescent="0.3">
      <c r="A456">
        <v>455</v>
      </c>
      <c r="B456">
        <v>46</v>
      </c>
      <c r="C456" t="s">
        <v>23</v>
      </c>
      <c r="D456" t="s">
        <v>24</v>
      </c>
      <c r="E456">
        <v>3.5</v>
      </c>
      <c r="F456">
        <v>1.5</v>
      </c>
      <c r="G456">
        <v>1</v>
      </c>
      <c r="H456" t="str">
        <f t="shared" si="7"/>
        <v>Night Usage</v>
      </c>
      <c r="I456">
        <v>7</v>
      </c>
      <c r="J456" s="3">
        <v>8</v>
      </c>
      <c r="K456">
        <v>7.4</v>
      </c>
      <c r="L456" t="s">
        <v>20</v>
      </c>
      <c r="M456">
        <v>1</v>
      </c>
      <c r="N456">
        <v>4</v>
      </c>
      <c r="O456">
        <v>0</v>
      </c>
      <c r="P456">
        <v>0</v>
      </c>
      <c r="Q456">
        <v>0</v>
      </c>
      <c r="R456">
        <v>0</v>
      </c>
      <c r="S456">
        <v>1</v>
      </c>
      <c r="T456" t="str">
        <f>IF(mental_health[Sleep_Hours]&lt;5,"Low",IF(mental_health[Sleep_Hours]&lt;7,"Medium","Good"))</f>
        <v>Good</v>
      </c>
      <c r="U456" t="str">
        <f>IF(mental_health[Stress_Level]&lt;=3,"Low",IF(mental_health[Stress_Level]&lt;=7,"Medium","High"))</f>
        <v>High</v>
      </c>
      <c r="V456" t="str">
        <f>IF(mental_health[Daily_Screen_Time]&lt;=4,"Low",IF(mental_health[Daily_Screen_Time]&lt;=8,"Medium","High"))</f>
        <v>Low</v>
      </c>
    </row>
    <row r="457" spans="1:22" x14ac:dyDescent="0.3">
      <c r="A457">
        <v>456</v>
      </c>
      <c r="B457">
        <v>25</v>
      </c>
      <c r="C457" t="s">
        <v>23</v>
      </c>
      <c r="D457" t="s">
        <v>24</v>
      </c>
      <c r="E457">
        <v>6.8</v>
      </c>
      <c r="F457">
        <v>4.8</v>
      </c>
      <c r="G457">
        <v>0</v>
      </c>
      <c r="H457" t="str">
        <f t="shared" si="7"/>
        <v>No Night Usage</v>
      </c>
      <c r="I457">
        <v>5.3</v>
      </c>
      <c r="J457" s="3">
        <v>8</v>
      </c>
      <c r="K457">
        <v>6.9</v>
      </c>
      <c r="L457" t="s">
        <v>20</v>
      </c>
      <c r="M457">
        <v>5</v>
      </c>
      <c r="N457">
        <v>3</v>
      </c>
      <c r="O457">
        <v>0</v>
      </c>
      <c r="P457">
        <v>0</v>
      </c>
      <c r="Q457">
        <v>1</v>
      </c>
      <c r="R457">
        <v>1</v>
      </c>
      <c r="S457">
        <v>1</v>
      </c>
      <c r="T457" t="str">
        <f>IF(mental_health[Sleep_Hours]&lt;5,"Low",IF(mental_health[Sleep_Hours]&lt;7,"Medium","Good"))</f>
        <v>Medium</v>
      </c>
      <c r="U457" t="str">
        <f>IF(mental_health[Stress_Level]&lt;=3,"Low",IF(mental_health[Stress_Level]&lt;=7,"Medium","High"))</f>
        <v>High</v>
      </c>
      <c r="V457" t="str">
        <f>IF(mental_health[Daily_Screen_Time]&lt;=4,"Low",IF(mental_health[Daily_Screen_Time]&lt;=8,"Medium","High"))</f>
        <v>Medium</v>
      </c>
    </row>
    <row r="458" spans="1:22" x14ac:dyDescent="0.3">
      <c r="A458">
        <v>457</v>
      </c>
      <c r="B458">
        <v>34</v>
      </c>
      <c r="C458" t="s">
        <v>18</v>
      </c>
      <c r="D458" t="s">
        <v>22</v>
      </c>
      <c r="E458">
        <v>8</v>
      </c>
      <c r="F458">
        <v>5.0999999999999996</v>
      </c>
      <c r="G458">
        <v>0</v>
      </c>
      <c r="H458" t="str">
        <f t="shared" si="7"/>
        <v>No Night Usage</v>
      </c>
      <c r="I458">
        <v>7.3</v>
      </c>
      <c r="J458" s="3">
        <v>8</v>
      </c>
      <c r="K458">
        <v>10</v>
      </c>
      <c r="L458" t="s">
        <v>20</v>
      </c>
      <c r="M458">
        <v>8</v>
      </c>
      <c r="N458">
        <v>4</v>
      </c>
      <c r="O458">
        <v>1</v>
      </c>
      <c r="P458">
        <v>1</v>
      </c>
      <c r="Q458">
        <v>1</v>
      </c>
      <c r="R458">
        <v>0</v>
      </c>
      <c r="S458">
        <v>1</v>
      </c>
      <c r="T458" t="str">
        <f>IF(mental_health[Sleep_Hours]&lt;5,"Low",IF(mental_health[Sleep_Hours]&lt;7,"Medium","Good"))</f>
        <v>Good</v>
      </c>
      <c r="U458" t="str">
        <f>IF(mental_health[Stress_Level]&lt;=3,"Low",IF(mental_health[Stress_Level]&lt;=7,"Medium","High"))</f>
        <v>High</v>
      </c>
      <c r="V458" t="str">
        <f>IF(mental_health[Daily_Screen_Time]&lt;=4,"Low",IF(mental_health[Daily_Screen_Time]&lt;=8,"Medium","High"))</f>
        <v>Medium</v>
      </c>
    </row>
    <row r="459" spans="1:22" x14ac:dyDescent="0.3">
      <c r="A459">
        <v>458</v>
      </c>
      <c r="B459">
        <v>47</v>
      </c>
      <c r="C459" t="s">
        <v>18</v>
      </c>
      <c r="D459" t="s">
        <v>19</v>
      </c>
      <c r="E459">
        <v>7.8</v>
      </c>
      <c r="F459">
        <v>5.6</v>
      </c>
      <c r="G459">
        <v>0</v>
      </c>
      <c r="H459" t="str">
        <f t="shared" si="7"/>
        <v>No Night Usage</v>
      </c>
      <c r="I459">
        <v>5</v>
      </c>
      <c r="J459" s="3">
        <v>3</v>
      </c>
      <c r="K459">
        <v>8.6999999999999993</v>
      </c>
      <c r="L459" t="s">
        <v>20</v>
      </c>
      <c r="M459">
        <v>10</v>
      </c>
      <c r="N459">
        <v>1</v>
      </c>
      <c r="O459">
        <v>0</v>
      </c>
      <c r="P459">
        <v>1</v>
      </c>
      <c r="Q459">
        <v>0</v>
      </c>
      <c r="R459">
        <v>0</v>
      </c>
      <c r="S459">
        <v>1</v>
      </c>
      <c r="T459" t="str">
        <f>IF(mental_health[Sleep_Hours]&lt;5,"Low",IF(mental_health[Sleep_Hours]&lt;7,"Medium","Good"))</f>
        <v>Medium</v>
      </c>
      <c r="U459" t="str">
        <f>IF(mental_health[Stress_Level]&lt;=3,"Low",IF(mental_health[Stress_Level]&lt;=7,"Medium","High"))</f>
        <v>Low</v>
      </c>
      <c r="V459" t="str">
        <f>IF(mental_health[Daily_Screen_Time]&lt;=4,"Low",IF(mental_health[Daily_Screen_Time]&lt;=8,"Medium","High"))</f>
        <v>Medium</v>
      </c>
    </row>
    <row r="460" spans="1:22" x14ac:dyDescent="0.3">
      <c r="A460">
        <v>459</v>
      </c>
      <c r="B460">
        <v>16</v>
      </c>
      <c r="C460" t="s">
        <v>23</v>
      </c>
      <c r="D460" t="s">
        <v>24</v>
      </c>
      <c r="E460">
        <v>6</v>
      </c>
      <c r="F460">
        <v>2.8</v>
      </c>
      <c r="G460">
        <v>0</v>
      </c>
      <c r="H460" t="str">
        <f t="shared" si="7"/>
        <v>No Night Usage</v>
      </c>
      <c r="I460">
        <v>4.7</v>
      </c>
      <c r="J460" s="3">
        <v>10</v>
      </c>
      <c r="K460">
        <v>3.3</v>
      </c>
      <c r="L460" t="s">
        <v>25</v>
      </c>
      <c r="M460">
        <v>3</v>
      </c>
      <c r="N460">
        <v>0</v>
      </c>
      <c r="O460">
        <v>0</v>
      </c>
      <c r="P460">
        <v>1</v>
      </c>
      <c r="Q460">
        <v>1</v>
      </c>
      <c r="R460">
        <v>1</v>
      </c>
      <c r="S460">
        <v>0</v>
      </c>
      <c r="T460" t="str">
        <f>IF(mental_health[Sleep_Hours]&lt;5,"Low",IF(mental_health[Sleep_Hours]&lt;7,"Medium","Good"))</f>
        <v>Low</v>
      </c>
      <c r="U460" t="str">
        <f>IF(mental_health[Stress_Level]&lt;=3,"Low",IF(mental_health[Stress_Level]&lt;=7,"Medium","High"))</f>
        <v>High</v>
      </c>
      <c r="V460" t="str">
        <f>IF(mental_health[Daily_Screen_Time]&lt;=4,"Low",IF(mental_health[Daily_Screen_Time]&lt;=8,"Medium","High"))</f>
        <v>Medium</v>
      </c>
    </row>
    <row r="461" spans="1:22" x14ac:dyDescent="0.3">
      <c r="A461">
        <v>460</v>
      </c>
      <c r="B461">
        <v>20</v>
      </c>
      <c r="C461" t="s">
        <v>23</v>
      </c>
      <c r="D461" t="s">
        <v>24</v>
      </c>
      <c r="E461">
        <v>5.4</v>
      </c>
      <c r="F461">
        <v>3.6</v>
      </c>
      <c r="G461">
        <v>0</v>
      </c>
      <c r="H461" t="str">
        <f t="shared" si="7"/>
        <v>No Night Usage</v>
      </c>
      <c r="I461">
        <v>6.2</v>
      </c>
      <c r="J461" s="3">
        <v>6</v>
      </c>
      <c r="K461">
        <v>5.5</v>
      </c>
      <c r="L461" t="s">
        <v>20</v>
      </c>
      <c r="M461">
        <v>8</v>
      </c>
      <c r="N461">
        <v>1</v>
      </c>
      <c r="O461">
        <v>1</v>
      </c>
      <c r="P461">
        <v>0</v>
      </c>
      <c r="Q461">
        <v>0</v>
      </c>
      <c r="R461">
        <v>1</v>
      </c>
      <c r="S461">
        <v>0</v>
      </c>
      <c r="T461" t="str">
        <f>IF(mental_health[Sleep_Hours]&lt;5,"Low",IF(mental_health[Sleep_Hours]&lt;7,"Medium","Good"))</f>
        <v>Medium</v>
      </c>
      <c r="U461" t="str">
        <f>IF(mental_health[Stress_Level]&lt;=3,"Low",IF(mental_health[Stress_Level]&lt;=7,"Medium","High"))</f>
        <v>Medium</v>
      </c>
      <c r="V461" t="str">
        <f>IF(mental_health[Daily_Screen_Time]&lt;=4,"Low",IF(mental_health[Daily_Screen_Time]&lt;=8,"Medium","High"))</f>
        <v>Medium</v>
      </c>
    </row>
    <row r="462" spans="1:22" x14ac:dyDescent="0.3">
      <c r="A462">
        <v>461</v>
      </c>
      <c r="B462">
        <v>19</v>
      </c>
      <c r="C462" t="s">
        <v>23</v>
      </c>
      <c r="D462" t="s">
        <v>22</v>
      </c>
      <c r="E462">
        <v>3.3</v>
      </c>
      <c r="F462">
        <v>6.9</v>
      </c>
      <c r="G462">
        <v>1</v>
      </c>
      <c r="H462" t="str">
        <f t="shared" si="7"/>
        <v>Night Usage</v>
      </c>
      <c r="I462">
        <v>3.1</v>
      </c>
      <c r="J462" s="3">
        <v>7</v>
      </c>
      <c r="K462">
        <v>5.4</v>
      </c>
      <c r="L462" t="s">
        <v>21</v>
      </c>
      <c r="M462">
        <v>3</v>
      </c>
      <c r="N462">
        <v>4</v>
      </c>
      <c r="O462">
        <v>1</v>
      </c>
      <c r="P462">
        <v>0</v>
      </c>
      <c r="Q462">
        <v>1</v>
      </c>
      <c r="R462">
        <v>1</v>
      </c>
      <c r="S462">
        <v>0</v>
      </c>
      <c r="T462" t="str">
        <f>IF(mental_health[Sleep_Hours]&lt;5,"Low",IF(mental_health[Sleep_Hours]&lt;7,"Medium","Good"))</f>
        <v>Low</v>
      </c>
      <c r="U462" t="str">
        <f>IF(mental_health[Stress_Level]&lt;=3,"Low",IF(mental_health[Stress_Level]&lt;=7,"Medium","High"))</f>
        <v>Medium</v>
      </c>
      <c r="V462" t="str">
        <f>IF(mental_health[Daily_Screen_Time]&lt;=4,"Low",IF(mental_health[Daily_Screen_Time]&lt;=8,"Medium","High"))</f>
        <v>Low</v>
      </c>
    </row>
    <row r="463" spans="1:22" x14ac:dyDescent="0.3">
      <c r="A463">
        <v>462</v>
      </c>
      <c r="B463">
        <v>31</v>
      </c>
      <c r="C463" t="s">
        <v>18</v>
      </c>
      <c r="D463" t="s">
        <v>22</v>
      </c>
      <c r="E463">
        <v>5.9</v>
      </c>
      <c r="F463">
        <v>2.4</v>
      </c>
      <c r="G463">
        <v>1</v>
      </c>
      <c r="H463" t="str">
        <f t="shared" si="7"/>
        <v>Night Usage</v>
      </c>
      <c r="I463">
        <v>3.5</v>
      </c>
      <c r="J463" s="3">
        <v>9</v>
      </c>
      <c r="K463">
        <v>7.7</v>
      </c>
      <c r="L463" t="s">
        <v>25</v>
      </c>
      <c r="M463">
        <v>4</v>
      </c>
      <c r="N463">
        <v>3</v>
      </c>
      <c r="O463">
        <v>0</v>
      </c>
      <c r="P463">
        <v>0</v>
      </c>
      <c r="Q463">
        <v>1</v>
      </c>
      <c r="R463">
        <v>1</v>
      </c>
      <c r="S463">
        <v>1</v>
      </c>
      <c r="T463" t="str">
        <f>IF(mental_health[Sleep_Hours]&lt;5,"Low",IF(mental_health[Sleep_Hours]&lt;7,"Medium","Good"))</f>
        <v>Low</v>
      </c>
      <c r="U463" t="str">
        <f>IF(mental_health[Stress_Level]&lt;=3,"Low",IF(mental_health[Stress_Level]&lt;=7,"Medium","High"))</f>
        <v>High</v>
      </c>
      <c r="V463" t="str">
        <f>IF(mental_health[Daily_Screen_Time]&lt;=4,"Low",IF(mental_health[Daily_Screen_Time]&lt;=8,"Medium","High"))</f>
        <v>Medium</v>
      </c>
    </row>
    <row r="464" spans="1:22" x14ac:dyDescent="0.3">
      <c r="A464">
        <v>463</v>
      </c>
      <c r="B464">
        <v>39</v>
      </c>
      <c r="C464" t="s">
        <v>18</v>
      </c>
      <c r="D464" t="s">
        <v>19</v>
      </c>
      <c r="E464">
        <v>3.6</v>
      </c>
      <c r="F464">
        <v>6.8</v>
      </c>
      <c r="G464">
        <v>0</v>
      </c>
      <c r="H464" t="str">
        <f t="shared" si="7"/>
        <v>No Night Usage</v>
      </c>
      <c r="I464">
        <v>5.5</v>
      </c>
      <c r="J464" s="3">
        <v>10</v>
      </c>
      <c r="K464">
        <v>4.9000000000000004</v>
      </c>
      <c r="L464" t="s">
        <v>21</v>
      </c>
      <c r="M464">
        <v>10</v>
      </c>
      <c r="N464">
        <v>1</v>
      </c>
      <c r="O464">
        <v>0</v>
      </c>
      <c r="P464">
        <v>0</v>
      </c>
      <c r="Q464">
        <v>1</v>
      </c>
      <c r="R464">
        <v>1</v>
      </c>
      <c r="S464">
        <v>1</v>
      </c>
      <c r="T464" t="str">
        <f>IF(mental_health[Sleep_Hours]&lt;5,"Low",IF(mental_health[Sleep_Hours]&lt;7,"Medium","Good"))</f>
        <v>Medium</v>
      </c>
      <c r="U464" t="str">
        <f>IF(mental_health[Stress_Level]&lt;=3,"Low",IF(mental_health[Stress_Level]&lt;=7,"Medium","High"))</f>
        <v>High</v>
      </c>
      <c r="V464" t="str">
        <f>IF(mental_health[Daily_Screen_Time]&lt;=4,"Low",IF(mental_health[Daily_Screen_Time]&lt;=8,"Medium","High"))</f>
        <v>Low</v>
      </c>
    </row>
    <row r="465" spans="1:22" x14ac:dyDescent="0.3">
      <c r="A465">
        <v>464</v>
      </c>
      <c r="B465">
        <v>31</v>
      </c>
      <c r="C465" t="s">
        <v>18</v>
      </c>
      <c r="D465" t="s">
        <v>24</v>
      </c>
      <c r="E465">
        <v>9.3000000000000007</v>
      </c>
      <c r="F465">
        <v>4.9000000000000004</v>
      </c>
      <c r="G465">
        <v>1</v>
      </c>
      <c r="H465" t="str">
        <f t="shared" si="7"/>
        <v>Night Usage</v>
      </c>
      <c r="I465">
        <v>8.6999999999999993</v>
      </c>
      <c r="J465" s="3">
        <v>10</v>
      </c>
      <c r="K465">
        <v>3.2</v>
      </c>
      <c r="L465" t="s">
        <v>25</v>
      </c>
      <c r="M465">
        <v>7</v>
      </c>
      <c r="N465">
        <v>2</v>
      </c>
      <c r="O465">
        <v>1</v>
      </c>
      <c r="P465">
        <v>0</v>
      </c>
      <c r="Q465">
        <v>1</v>
      </c>
      <c r="R465">
        <v>0</v>
      </c>
      <c r="S465">
        <v>0</v>
      </c>
      <c r="T465" t="str">
        <f>IF(mental_health[Sleep_Hours]&lt;5,"Low",IF(mental_health[Sleep_Hours]&lt;7,"Medium","Good"))</f>
        <v>Good</v>
      </c>
      <c r="U465" t="str">
        <f>IF(mental_health[Stress_Level]&lt;=3,"Low",IF(mental_health[Stress_Level]&lt;=7,"Medium","High"))</f>
        <v>High</v>
      </c>
      <c r="V465" t="str">
        <f>IF(mental_health[Daily_Screen_Time]&lt;=4,"Low",IF(mental_health[Daily_Screen_Time]&lt;=8,"Medium","High"))</f>
        <v>High</v>
      </c>
    </row>
    <row r="466" spans="1:22" x14ac:dyDescent="0.3">
      <c r="A466">
        <v>465</v>
      </c>
      <c r="B466">
        <v>17</v>
      </c>
      <c r="C466" t="s">
        <v>18</v>
      </c>
      <c r="D466" t="s">
        <v>19</v>
      </c>
      <c r="E466">
        <v>4.0999999999999996</v>
      </c>
      <c r="F466">
        <v>6.3</v>
      </c>
      <c r="G466">
        <v>0</v>
      </c>
      <c r="H466" t="str">
        <f t="shared" si="7"/>
        <v>No Night Usage</v>
      </c>
      <c r="I466">
        <v>7.3</v>
      </c>
      <c r="J466" s="3">
        <v>4</v>
      </c>
      <c r="K466">
        <v>8.5</v>
      </c>
      <c r="L466" t="s">
        <v>25</v>
      </c>
      <c r="M466">
        <v>3</v>
      </c>
      <c r="N466">
        <v>0</v>
      </c>
      <c r="O466">
        <v>1</v>
      </c>
      <c r="P466">
        <v>0</v>
      </c>
      <c r="Q466">
        <v>0</v>
      </c>
      <c r="R466">
        <v>1</v>
      </c>
      <c r="S466">
        <v>1</v>
      </c>
      <c r="T466" t="str">
        <f>IF(mental_health[Sleep_Hours]&lt;5,"Low",IF(mental_health[Sleep_Hours]&lt;7,"Medium","Good"))</f>
        <v>Good</v>
      </c>
      <c r="U466" t="str">
        <f>IF(mental_health[Stress_Level]&lt;=3,"Low",IF(mental_health[Stress_Level]&lt;=7,"Medium","High"))</f>
        <v>Medium</v>
      </c>
      <c r="V466" t="str">
        <f>IF(mental_health[Daily_Screen_Time]&lt;=4,"Low",IF(mental_health[Daily_Screen_Time]&lt;=8,"Medium","High"))</f>
        <v>Medium</v>
      </c>
    </row>
    <row r="467" spans="1:22" x14ac:dyDescent="0.3">
      <c r="A467">
        <v>466</v>
      </c>
      <c r="B467">
        <v>43</v>
      </c>
      <c r="C467" t="s">
        <v>18</v>
      </c>
      <c r="D467" t="s">
        <v>19</v>
      </c>
      <c r="E467">
        <v>2.6</v>
      </c>
      <c r="F467">
        <v>6</v>
      </c>
      <c r="G467">
        <v>0</v>
      </c>
      <c r="H467" t="str">
        <f t="shared" si="7"/>
        <v>No Night Usage</v>
      </c>
      <c r="I467">
        <v>3.5</v>
      </c>
      <c r="J467" s="3">
        <v>5</v>
      </c>
      <c r="K467">
        <v>10.5</v>
      </c>
      <c r="L467" t="s">
        <v>21</v>
      </c>
      <c r="M467">
        <v>4</v>
      </c>
      <c r="N467">
        <v>4</v>
      </c>
      <c r="O467">
        <v>1</v>
      </c>
      <c r="P467">
        <v>1</v>
      </c>
      <c r="Q467">
        <v>0</v>
      </c>
      <c r="R467">
        <v>0</v>
      </c>
      <c r="S467">
        <v>0</v>
      </c>
      <c r="T467" t="str">
        <f>IF(mental_health[Sleep_Hours]&lt;5,"Low",IF(mental_health[Sleep_Hours]&lt;7,"Medium","Good"))</f>
        <v>Low</v>
      </c>
      <c r="U467" t="str">
        <f>IF(mental_health[Stress_Level]&lt;=3,"Low",IF(mental_health[Stress_Level]&lt;=7,"Medium","High"))</f>
        <v>Medium</v>
      </c>
      <c r="V467" t="str">
        <f>IF(mental_health[Daily_Screen_Time]&lt;=4,"Low",IF(mental_health[Daily_Screen_Time]&lt;=8,"Medium","High"))</f>
        <v>Low</v>
      </c>
    </row>
    <row r="468" spans="1:22" x14ac:dyDescent="0.3">
      <c r="A468">
        <v>467</v>
      </c>
      <c r="B468">
        <v>47</v>
      </c>
      <c r="C468" t="s">
        <v>18</v>
      </c>
      <c r="D468" t="s">
        <v>22</v>
      </c>
      <c r="E468">
        <v>7.5</v>
      </c>
      <c r="F468">
        <v>2.5</v>
      </c>
      <c r="G468">
        <v>0</v>
      </c>
      <c r="H468" t="str">
        <f t="shared" si="7"/>
        <v>No Night Usage</v>
      </c>
      <c r="I468">
        <v>8.1</v>
      </c>
      <c r="J468" s="3">
        <v>8</v>
      </c>
      <c r="K468">
        <v>11.3</v>
      </c>
      <c r="L468" t="s">
        <v>20</v>
      </c>
      <c r="M468">
        <v>8</v>
      </c>
      <c r="N468">
        <v>3</v>
      </c>
      <c r="O468">
        <v>0</v>
      </c>
      <c r="P468">
        <v>1</v>
      </c>
      <c r="Q468">
        <v>1</v>
      </c>
      <c r="R468">
        <v>1</v>
      </c>
      <c r="S468">
        <v>0</v>
      </c>
      <c r="T468" t="str">
        <f>IF(mental_health[Sleep_Hours]&lt;5,"Low",IF(mental_health[Sleep_Hours]&lt;7,"Medium","Good"))</f>
        <v>Good</v>
      </c>
      <c r="U468" t="str">
        <f>IF(mental_health[Stress_Level]&lt;=3,"Low",IF(mental_health[Stress_Level]&lt;=7,"Medium","High"))</f>
        <v>High</v>
      </c>
      <c r="V468" t="str">
        <f>IF(mental_health[Daily_Screen_Time]&lt;=4,"Low",IF(mental_health[Daily_Screen_Time]&lt;=8,"Medium","High"))</f>
        <v>Medium</v>
      </c>
    </row>
    <row r="469" spans="1:22" x14ac:dyDescent="0.3">
      <c r="A469">
        <v>468</v>
      </c>
      <c r="B469">
        <v>42</v>
      </c>
      <c r="C469" t="s">
        <v>23</v>
      </c>
      <c r="D469" t="s">
        <v>24</v>
      </c>
      <c r="E469">
        <v>8</v>
      </c>
      <c r="F469">
        <v>5</v>
      </c>
      <c r="G469">
        <v>0</v>
      </c>
      <c r="H469" t="str">
        <f t="shared" si="7"/>
        <v>No Night Usage</v>
      </c>
      <c r="I469">
        <v>7.4</v>
      </c>
      <c r="J469" s="3">
        <v>1</v>
      </c>
      <c r="K469">
        <v>11.7</v>
      </c>
      <c r="L469" t="s">
        <v>20</v>
      </c>
      <c r="M469">
        <v>4</v>
      </c>
      <c r="N469">
        <v>1</v>
      </c>
      <c r="O469">
        <v>1</v>
      </c>
      <c r="P469">
        <v>0</v>
      </c>
      <c r="Q469">
        <v>0</v>
      </c>
      <c r="R469">
        <v>0</v>
      </c>
      <c r="S469">
        <v>0</v>
      </c>
      <c r="T469" t="str">
        <f>IF(mental_health[Sleep_Hours]&lt;5,"Low",IF(mental_health[Sleep_Hours]&lt;7,"Medium","Good"))</f>
        <v>Good</v>
      </c>
      <c r="U469" t="str">
        <f>IF(mental_health[Stress_Level]&lt;=3,"Low",IF(mental_health[Stress_Level]&lt;=7,"Medium","High"))</f>
        <v>Low</v>
      </c>
      <c r="V469" t="str">
        <f>IF(mental_health[Daily_Screen_Time]&lt;=4,"Low",IF(mental_health[Daily_Screen_Time]&lt;=8,"Medium","High"))</f>
        <v>Medium</v>
      </c>
    </row>
    <row r="470" spans="1:22" x14ac:dyDescent="0.3">
      <c r="A470">
        <v>469</v>
      </c>
      <c r="B470">
        <v>35</v>
      </c>
      <c r="C470" t="s">
        <v>23</v>
      </c>
      <c r="D470" t="s">
        <v>24</v>
      </c>
      <c r="E470">
        <v>10.7</v>
      </c>
      <c r="F470">
        <v>7.1</v>
      </c>
      <c r="G470">
        <v>1</v>
      </c>
      <c r="H470" t="str">
        <f t="shared" si="7"/>
        <v>Night Usage</v>
      </c>
      <c r="I470">
        <v>6.7</v>
      </c>
      <c r="J470" s="3">
        <v>6</v>
      </c>
      <c r="K470">
        <v>9.8000000000000007</v>
      </c>
      <c r="L470" t="s">
        <v>21</v>
      </c>
      <c r="M470">
        <v>9</v>
      </c>
      <c r="N470">
        <v>0</v>
      </c>
      <c r="O470">
        <v>0</v>
      </c>
      <c r="P470">
        <v>0</v>
      </c>
      <c r="Q470">
        <v>1</v>
      </c>
      <c r="R470">
        <v>0</v>
      </c>
      <c r="S470">
        <v>1</v>
      </c>
      <c r="T470" t="str">
        <f>IF(mental_health[Sleep_Hours]&lt;5,"Low",IF(mental_health[Sleep_Hours]&lt;7,"Medium","Good"))</f>
        <v>Medium</v>
      </c>
      <c r="U470" t="str">
        <f>IF(mental_health[Stress_Level]&lt;=3,"Low",IF(mental_health[Stress_Level]&lt;=7,"Medium","High"))</f>
        <v>Medium</v>
      </c>
      <c r="V470" t="str">
        <f>IF(mental_health[Daily_Screen_Time]&lt;=4,"Low",IF(mental_health[Daily_Screen_Time]&lt;=8,"Medium","High"))</f>
        <v>High</v>
      </c>
    </row>
    <row r="471" spans="1:22" x14ac:dyDescent="0.3">
      <c r="A471">
        <v>470</v>
      </c>
      <c r="B471">
        <v>39</v>
      </c>
      <c r="C471" t="s">
        <v>18</v>
      </c>
      <c r="D471" t="s">
        <v>24</v>
      </c>
      <c r="E471">
        <v>7.8</v>
      </c>
      <c r="F471">
        <v>4</v>
      </c>
      <c r="G471">
        <v>0</v>
      </c>
      <c r="H471" t="str">
        <f t="shared" si="7"/>
        <v>No Night Usage</v>
      </c>
      <c r="I471">
        <v>7.9</v>
      </c>
      <c r="J471" s="3">
        <v>4</v>
      </c>
      <c r="K471">
        <v>3.4</v>
      </c>
      <c r="L471" t="s">
        <v>20</v>
      </c>
      <c r="M471">
        <v>4</v>
      </c>
      <c r="N471">
        <v>3</v>
      </c>
      <c r="O471">
        <v>0</v>
      </c>
      <c r="P471">
        <v>1</v>
      </c>
      <c r="Q471">
        <v>0</v>
      </c>
      <c r="R471">
        <v>0</v>
      </c>
      <c r="S471">
        <v>0</v>
      </c>
      <c r="T471" t="str">
        <f>IF(mental_health[Sleep_Hours]&lt;5,"Low",IF(mental_health[Sleep_Hours]&lt;7,"Medium","Good"))</f>
        <v>Good</v>
      </c>
      <c r="U471" t="str">
        <f>IF(mental_health[Stress_Level]&lt;=3,"Low",IF(mental_health[Stress_Level]&lt;=7,"Medium","High"))</f>
        <v>Medium</v>
      </c>
      <c r="V471" t="str">
        <f>IF(mental_health[Daily_Screen_Time]&lt;=4,"Low",IF(mental_health[Daily_Screen_Time]&lt;=8,"Medium","High"))</f>
        <v>Medium</v>
      </c>
    </row>
    <row r="472" spans="1:22" x14ac:dyDescent="0.3">
      <c r="A472">
        <v>471</v>
      </c>
      <c r="B472">
        <v>27</v>
      </c>
      <c r="C472" t="s">
        <v>23</v>
      </c>
      <c r="D472" t="s">
        <v>22</v>
      </c>
      <c r="E472">
        <v>5.5</v>
      </c>
      <c r="F472">
        <v>7.8</v>
      </c>
      <c r="G472">
        <v>1</v>
      </c>
      <c r="H472" t="str">
        <f t="shared" si="7"/>
        <v>Night Usage</v>
      </c>
      <c r="I472">
        <v>5.4</v>
      </c>
      <c r="J472" s="3">
        <v>5</v>
      </c>
      <c r="K472">
        <v>10.5</v>
      </c>
      <c r="L472" t="s">
        <v>25</v>
      </c>
      <c r="M472">
        <v>4</v>
      </c>
      <c r="N472">
        <v>1</v>
      </c>
      <c r="O472">
        <v>0</v>
      </c>
      <c r="P472">
        <v>1</v>
      </c>
      <c r="Q472">
        <v>1</v>
      </c>
      <c r="R472">
        <v>1</v>
      </c>
      <c r="S472">
        <v>0</v>
      </c>
      <c r="T472" t="str">
        <f>IF(mental_health[Sleep_Hours]&lt;5,"Low",IF(mental_health[Sleep_Hours]&lt;7,"Medium","Good"))</f>
        <v>Medium</v>
      </c>
      <c r="U472" t="str">
        <f>IF(mental_health[Stress_Level]&lt;=3,"Low",IF(mental_health[Stress_Level]&lt;=7,"Medium","High"))</f>
        <v>Medium</v>
      </c>
      <c r="V472" t="str">
        <f>IF(mental_health[Daily_Screen_Time]&lt;=4,"Low",IF(mental_health[Daily_Screen_Time]&lt;=8,"Medium","High"))</f>
        <v>Medium</v>
      </c>
    </row>
    <row r="473" spans="1:22" x14ac:dyDescent="0.3">
      <c r="A473">
        <v>472</v>
      </c>
      <c r="B473">
        <v>50</v>
      </c>
      <c r="C473" t="s">
        <v>23</v>
      </c>
      <c r="D473" t="s">
        <v>22</v>
      </c>
      <c r="E473">
        <v>10</v>
      </c>
      <c r="F473">
        <v>4.2</v>
      </c>
      <c r="G473">
        <v>0</v>
      </c>
      <c r="H473" t="str">
        <f t="shared" si="7"/>
        <v>No Night Usage</v>
      </c>
      <c r="I473">
        <v>4.3</v>
      </c>
      <c r="J473" s="3">
        <v>5</v>
      </c>
      <c r="K473">
        <v>6</v>
      </c>
      <c r="L473" t="s">
        <v>25</v>
      </c>
      <c r="M473">
        <v>5</v>
      </c>
      <c r="N473">
        <v>4</v>
      </c>
      <c r="O473">
        <v>1</v>
      </c>
      <c r="P473">
        <v>1</v>
      </c>
      <c r="Q473">
        <v>1</v>
      </c>
      <c r="R473">
        <v>1</v>
      </c>
      <c r="S473">
        <v>0</v>
      </c>
      <c r="T473" t="str">
        <f>IF(mental_health[Sleep_Hours]&lt;5,"Low",IF(mental_health[Sleep_Hours]&lt;7,"Medium","Good"))</f>
        <v>Low</v>
      </c>
      <c r="U473" t="str">
        <f>IF(mental_health[Stress_Level]&lt;=3,"Low",IF(mental_health[Stress_Level]&lt;=7,"Medium","High"))</f>
        <v>Medium</v>
      </c>
      <c r="V473" t="str">
        <f>IF(mental_health[Daily_Screen_Time]&lt;=4,"Low",IF(mental_health[Daily_Screen_Time]&lt;=8,"Medium","High"))</f>
        <v>High</v>
      </c>
    </row>
    <row r="474" spans="1:22" x14ac:dyDescent="0.3">
      <c r="A474">
        <v>473</v>
      </c>
      <c r="B474">
        <v>48</v>
      </c>
      <c r="C474" t="s">
        <v>18</v>
      </c>
      <c r="D474" t="s">
        <v>22</v>
      </c>
      <c r="E474">
        <v>7.4</v>
      </c>
      <c r="F474">
        <v>2</v>
      </c>
      <c r="G474">
        <v>0</v>
      </c>
      <c r="H474" t="str">
        <f t="shared" si="7"/>
        <v>No Night Usage</v>
      </c>
      <c r="I474">
        <v>6.1</v>
      </c>
      <c r="J474" s="3">
        <v>2</v>
      </c>
      <c r="K474">
        <v>9.3000000000000007</v>
      </c>
      <c r="L474" t="s">
        <v>25</v>
      </c>
      <c r="M474">
        <v>1</v>
      </c>
      <c r="N474">
        <v>2</v>
      </c>
      <c r="O474">
        <v>1</v>
      </c>
      <c r="P474">
        <v>0</v>
      </c>
      <c r="Q474">
        <v>0</v>
      </c>
      <c r="R474">
        <v>0</v>
      </c>
      <c r="S474">
        <v>0</v>
      </c>
      <c r="T474" t="str">
        <f>IF(mental_health[Sleep_Hours]&lt;5,"Low",IF(mental_health[Sleep_Hours]&lt;7,"Medium","Good"))</f>
        <v>Medium</v>
      </c>
      <c r="U474" t="str">
        <f>IF(mental_health[Stress_Level]&lt;=3,"Low",IF(mental_health[Stress_Level]&lt;=7,"Medium","High"))</f>
        <v>Low</v>
      </c>
      <c r="V474" t="str">
        <f>IF(mental_health[Daily_Screen_Time]&lt;=4,"Low",IF(mental_health[Daily_Screen_Time]&lt;=8,"Medium","High"))</f>
        <v>Medium</v>
      </c>
    </row>
    <row r="475" spans="1:22" x14ac:dyDescent="0.3">
      <c r="A475">
        <v>474</v>
      </c>
      <c r="B475">
        <v>48</v>
      </c>
      <c r="C475" t="s">
        <v>23</v>
      </c>
      <c r="D475" t="s">
        <v>22</v>
      </c>
      <c r="E475">
        <v>2.8</v>
      </c>
      <c r="F475">
        <v>3.7</v>
      </c>
      <c r="G475">
        <v>1</v>
      </c>
      <c r="H475" t="str">
        <f t="shared" si="7"/>
        <v>Night Usage</v>
      </c>
      <c r="I475">
        <v>6.3</v>
      </c>
      <c r="J475" s="3">
        <v>8</v>
      </c>
      <c r="K475">
        <v>7.3</v>
      </c>
      <c r="L475" t="s">
        <v>20</v>
      </c>
      <c r="M475">
        <v>7</v>
      </c>
      <c r="N475">
        <v>2</v>
      </c>
      <c r="O475">
        <v>1</v>
      </c>
      <c r="P475">
        <v>1</v>
      </c>
      <c r="Q475">
        <v>1</v>
      </c>
      <c r="R475">
        <v>1</v>
      </c>
      <c r="S475">
        <v>1</v>
      </c>
      <c r="T475" t="str">
        <f>IF(mental_health[Sleep_Hours]&lt;5,"Low",IF(mental_health[Sleep_Hours]&lt;7,"Medium","Good"))</f>
        <v>Medium</v>
      </c>
      <c r="U475" t="str">
        <f>IF(mental_health[Stress_Level]&lt;=3,"Low",IF(mental_health[Stress_Level]&lt;=7,"Medium","High"))</f>
        <v>High</v>
      </c>
      <c r="V475" t="str">
        <f>IF(mental_health[Daily_Screen_Time]&lt;=4,"Low",IF(mental_health[Daily_Screen_Time]&lt;=8,"Medium","High"))</f>
        <v>Low</v>
      </c>
    </row>
    <row r="476" spans="1:22" x14ac:dyDescent="0.3">
      <c r="A476">
        <v>475</v>
      </c>
      <c r="B476">
        <v>58</v>
      </c>
      <c r="C476" t="s">
        <v>18</v>
      </c>
      <c r="D476" t="s">
        <v>22</v>
      </c>
      <c r="E476">
        <v>7.7</v>
      </c>
      <c r="F476">
        <v>7.7</v>
      </c>
      <c r="G476">
        <v>0</v>
      </c>
      <c r="H476" t="str">
        <f t="shared" si="7"/>
        <v>No Night Usage</v>
      </c>
      <c r="I476">
        <v>6.2</v>
      </c>
      <c r="J476" s="3">
        <v>2</v>
      </c>
      <c r="K476">
        <v>10.3</v>
      </c>
      <c r="L476" t="s">
        <v>20</v>
      </c>
      <c r="M476">
        <v>9</v>
      </c>
      <c r="N476">
        <v>4</v>
      </c>
      <c r="O476">
        <v>0</v>
      </c>
      <c r="P476">
        <v>1</v>
      </c>
      <c r="Q476">
        <v>0</v>
      </c>
      <c r="R476">
        <v>0</v>
      </c>
      <c r="S476">
        <v>1</v>
      </c>
      <c r="T476" t="str">
        <f>IF(mental_health[Sleep_Hours]&lt;5,"Low",IF(mental_health[Sleep_Hours]&lt;7,"Medium","Good"))</f>
        <v>Medium</v>
      </c>
      <c r="U476" t="str">
        <f>IF(mental_health[Stress_Level]&lt;=3,"Low",IF(mental_health[Stress_Level]&lt;=7,"Medium","High"))</f>
        <v>Low</v>
      </c>
      <c r="V476" t="str">
        <f>IF(mental_health[Daily_Screen_Time]&lt;=4,"Low",IF(mental_health[Daily_Screen_Time]&lt;=8,"Medium","High"))</f>
        <v>Medium</v>
      </c>
    </row>
    <row r="477" spans="1:22" x14ac:dyDescent="0.3">
      <c r="A477">
        <v>476</v>
      </c>
      <c r="B477">
        <v>52</v>
      </c>
      <c r="C477" t="s">
        <v>18</v>
      </c>
      <c r="D477" t="s">
        <v>24</v>
      </c>
      <c r="E477">
        <v>11.1</v>
      </c>
      <c r="F477">
        <v>3.2</v>
      </c>
      <c r="G477">
        <v>0</v>
      </c>
      <c r="H477" t="str">
        <f t="shared" si="7"/>
        <v>No Night Usage</v>
      </c>
      <c r="I477">
        <v>6.4</v>
      </c>
      <c r="J477" s="3">
        <v>4</v>
      </c>
      <c r="K477">
        <v>6.3</v>
      </c>
      <c r="L477" t="s">
        <v>21</v>
      </c>
      <c r="M477">
        <v>9</v>
      </c>
      <c r="N477">
        <v>0</v>
      </c>
      <c r="O477">
        <v>0</v>
      </c>
      <c r="P477">
        <v>1</v>
      </c>
      <c r="Q477">
        <v>0</v>
      </c>
      <c r="R477">
        <v>0</v>
      </c>
      <c r="S477">
        <v>0</v>
      </c>
      <c r="T477" t="str">
        <f>IF(mental_health[Sleep_Hours]&lt;5,"Low",IF(mental_health[Sleep_Hours]&lt;7,"Medium","Good"))</f>
        <v>Medium</v>
      </c>
      <c r="U477" t="str">
        <f>IF(mental_health[Stress_Level]&lt;=3,"Low",IF(mental_health[Stress_Level]&lt;=7,"Medium","High"))</f>
        <v>Medium</v>
      </c>
      <c r="V477" t="str">
        <f>IF(mental_health[Daily_Screen_Time]&lt;=4,"Low",IF(mental_health[Daily_Screen_Time]&lt;=8,"Medium","High"))</f>
        <v>High</v>
      </c>
    </row>
    <row r="478" spans="1:22" x14ac:dyDescent="0.3">
      <c r="A478">
        <v>477</v>
      </c>
      <c r="B478">
        <v>27</v>
      </c>
      <c r="C478" t="s">
        <v>23</v>
      </c>
      <c r="D478" t="s">
        <v>19</v>
      </c>
      <c r="E478">
        <v>6</v>
      </c>
      <c r="F478">
        <v>7.1</v>
      </c>
      <c r="G478">
        <v>1</v>
      </c>
      <c r="H478" t="str">
        <f t="shared" si="7"/>
        <v>Night Usage</v>
      </c>
      <c r="I478">
        <v>8.6999999999999993</v>
      </c>
      <c r="J478" s="3">
        <v>5</v>
      </c>
      <c r="K478">
        <v>2.6</v>
      </c>
      <c r="L478" t="s">
        <v>25</v>
      </c>
      <c r="M478">
        <v>1</v>
      </c>
      <c r="N478">
        <v>4</v>
      </c>
      <c r="O478">
        <v>1</v>
      </c>
      <c r="P478">
        <v>1</v>
      </c>
      <c r="Q478">
        <v>0</v>
      </c>
      <c r="R478">
        <v>0</v>
      </c>
      <c r="S478">
        <v>1</v>
      </c>
      <c r="T478" t="str">
        <f>IF(mental_health[Sleep_Hours]&lt;5,"Low",IF(mental_health[Sleep_Hours]&lt;7,"Medium","Good"))</f>
        <v>Good</v>
      </c>
      <c r="U478" t="str">
        <f>IF(mental_health[Stress_Level]&lt;=3,"Low",IF(mental_health[Stress_Level]&lt;=7,"Medium","High"))</f>
        <v>Medium</v>
      </c>
      <c r="V478" t="str">
        <f>IF(mental_health[Daily_Screen_Time]&lt;=4,"Low",IF(mental_health[Daily_Screen_Time]&lt;=8,"Medium","High"))</f>
        <v>Medium</v>
      </c>
    </row>
    <row r="479" spans="1:22" x14ac:dyDescent="0.3">
      <c r="A479">
        <v>478</v>
      </c>
      <c r="B479">
        <v>18</v>
      </c>
      <c r="C479" t="s">
        <v>18</v>
      </c>
      <c r="D479" t="s">
        <v>24</v>
      </c>
      <c r="E479">
        <v>5</v>
      </c>
      <c r="F479">
        <v>7.2</v>
      </c>
      <c r="G479">
        <v>1</v>
      </c>
      <c r="H479" t="str">
        <f t="shared" si="7"/>
        <v>Night Usage</v>
      </c>
      <c r="I479">
        <v>8.4</v>
      </c>
      <c r="J479" s="3">
        <v>1</v>
      </c>
      <c r="K479">
        <v>7.6</v>
      </c>
      <c r="L479" t="s">
        <v>21</v>
      </c>
      <c r="M479">
        <v>6</v>
      </c>
      <c r="N479">
        <v>1</v>
      </c>
      <c r="O479">
        <v>1</v>
      </c>
      <c r="P479">
        <v>1</v>
      </c>
      <c r="Q479">
        <v>0</v>
      </c>
      <c r="R479">
        <v>1</v>
      </c>
      <c r="S479">
        <v>0</v>
      </c>
      <c r="T479" t="str">
        <f>IF(mental_health[Sleep_Hours]&lt;5,"Low",IF(mental_health[Sleep_Hours]&lt;7,"Medium","Good"))</f>
        <v>Good</v>
      </c>
      <c r="U479" t="str">
        <f>IF(mental_health[Stress_Level]&lt;=3,"Low",IF(mental_health[Stress_Level]&lt;=7,"Medium","High"))</f>
        <v>Low</v>
      </c>
      <c r="V479" t="str">
        <f>IF(mental_health[Daily_Screen_Time]&lt;=4,"Low",IF(mental_health[Daily_Screen_Time]&lt;=8,"Medium","High"))</f>
        <v>Medium</v>
      </c>
    </row>
    <row r="480" spans="1:22" x14ac:dyDescent="0.3">
      <c r="A480">
        <v>479</v>
      </c>
      <c r="B480">
        <v>16</v>
      </c>
      <c r="C480" t="s">
        <v>18</v>
      </c>
      <c r="D480" t="s">
        <v>19</v>
      </c>
      <c r="E480">
        <v>3.4</v>
      </c>
      <c r="F480">
        <v>3.5</v>
      </c>
      <c r="G480">
        <v>1</v>
      </c>
      <c r="H480" t="str">
        <f t="shared" si="7"/>
        <v>Night Usage</v>
      </c>
      <c r="I480">
        <v>8.3000000000000007</v>
      </c>
      <c r="J480" s="3">
        <v>6</v>
      </c>
      <c r="K480">
        <v>3.7</v>
      </c>
      <c r="L480" t="s">
        <v>20</v>
      </c>
      <c r="M480">
        <v>3</v>
      </c>
      <c r="N480">
        <v>0</v>
      </c>
      <c r="O480">
        <v>0</v>
      </c>
      <c r="P480">
        <v>0</v>
      </c>
      <c r="Q480">
        <v>1</v>
      </c>
      <c r="R480">
        <v>0</v>
      </c>
      <c r="S480">
        <v>1</v>
      </c>
      <c r="T480" t="str">
        <f>IF(mental_health[Sleep_Hours]&lt;5,"Low",IF(mental_health[Sleep_Hours]&lt;7,"Medium","Good"))</f>
        <v>Good</v>
      </c>
      <c r="U480" t="str">
        <f>IF(mental_health[Stress_Level]&lt;=3,"Low",IF(mental_health[Stress_Level]&lt;=7,"Medium","High"))</f>
        <v>Medium</v>
      </c>
      <c r="V480" t="str">
        <f>IF(mental_health[Daily_Screen_Time]&lt;=4,"Low",IF(mental_health[Daily_Screen_Time]&lt;=8,"Medium","High"))</f>
        <v>Low</v>
      </c>
    </row>
    <row r="481" spans="1:22" x14ac:dyDescent="0.3">
      <c r="A481">
        <v>480</v>
      </c>
      <c r="B481">
        <v>48</v>
      </c>
      <c r="C481" t="s">
        <v>18</v>
      </c>
      <c r="D481" t="s">
        <v>22</v>
      </c>
      <c r="E481">
        <v>3.5</v>
      </c>
      <c r="F481">
        <v>1.6</v>
      </c>
      <c r="G481">
        <v>0</v>
      </c>
      <c r="H481" t="str">
        <f t="shared" si="7"/>
        <v>No Night Usage</v>
      </c>
      <c r="I481">
        <v>7.8</v>
      </c>
      <c r="J481" s="3">
        <v>2</v>
      </c>
      <c r="K481">
        <v>11.7</v>
      </c>
      <c r="L481" t="s">
        <v>21</v>
      </c>
      <c r="M481">
        <v>4</v>
      </c>
      <c r="N481">
        <v>2</v>
      </c>
      <c r="O481">
        <v>0</v>
      </c>
      <c r="P481">
        <v>0</v>
      </c>
      <c r="Q481">
        <v>0</v>
      </c>
      <c r="R481">
        <v>0</v>
      </c>
      <c r="S481">
        <v>1</v>
      </c>
      <c r="T481" t="str">
        <f>IF(mental_health[Sleep_Hours]&lt;5,"Low",IF(mental_health[Sleep_Hours]&lt;7,"Medium","Good"))</f>
        <v>Good</v>
      </c>
      <c r="U481" t="str">
        <f>IF(mental_health[Stress_Level]&lt;=3,"Low",IF(mental_health[Stress_Level]&lt;=7,"Medium","High"))</f>
        <v>Low</v>
      </c>
      <c r="V481" t="str">
        <f>IF(mental_health[Daily_Screen_Time]&lt;=4,"Low",IF(mental_health[Daily_Screen_Time]&lt;=8,"Medium","High"))</f>
        <v>Low</v>
      </c>
    </row>
    <row r="482" spans="1:22" x14ac:dyDescent="0.3">
      <c r="A482">
        <v>481</v>
      </c>
      <c r="B482">
        <v>55</v>
      </c>
      <c r="C482" t="s">
        <v>18</v>
      </c>
      <c r="D482" t="s">
        <v>19</v>
      </c>
      <c r="E482">
        <v>6.3</v>
      </c>
      <c r="F482">
        <v>6.1</v>
      </c>
      <c r="G482">
        <v>0</v>
      </c>
      <c r="H482" t="str">
        <f t="shared" si="7"/>
        <v>No Night Usage</v>
      </c>
      <c r="I482">
        <v>8.6999999999999993</v>
      </c>
      <c r="J482" s="3">
        <v>5</v>
      </c>
      <c r="K482">
        <v>7.3</v>
      </c>
      <c r="L482" t="s">
        <v>20</v>
      </c>
      <c r="M482">
        <v>8</v>
      </c>
      <c r="N482">
        <v>1</v>
      </c>
      <c r="O482">
        <v>0</v>
      </c>
      <c r="P482">
        <v>1</v>
      </c>
      <c r="Q482">
        <v>1</v>
      </c>
      <c r="R482">
        <v>0</v>
      </c>
      <c r="S482">
        <v>0</v>
      </c>
      <c r="T482" t="str">
        <f>IF(mental_health[Sleep_Hours]&lt;5,"Low",IF(mental_health[Sleep_Hours]&lt;7,"Medium","Good"))</f>
        <v>Good</v>
      </c>
      <c r="U482" t="str">
        <f>IF(mental_health[Stress_Level]&lt;=3,"Low",IF(mental_health[Stress_Level]&lt;=7,"Medium","High"))</f>
        <v>Medium</v>
      </c>
      <c r="V482" t="str">
        <f>IF(mental_health[Daily_Screen_Time]&lt;=4,"Low",IF(mental_health[Daily_Screen_Time]&lt;=8,"Medium","High"))</f>
        <v>Medium</v>
      </c>
    </row>
    <row r="483" spans="1:22" x14ac:dyDescent="0.3">
      <c r="A483">
        <v>482</v>
      </c>
      <c r="B483">
        <v>25</v>
      </c>
      <c r="C483" t="s">
        <v>18</v>
      </c>
      <c r="D483" t="s">
        <v>24</v>
      </c>
      <c r="E483">
        <v>8</v>
      </c>
      <c r="F483">
        <v>3.2</v>
      </c>
      <c r="G483">
        <v>1</v>
      </c>
      <c r="H483" t="str">
        <f t="shared" si="7"/>
        <v>Night Usage</v>
      </c>
      <c r="I483">
        <v>3.6</v>
      </c>
      <c r="J483" s="3">
        <v>6</v>
      </c>
      <c r="K483">
        <v>7.5</v>
      </c>
      <c r="L483" t="s">
        <v>25</v>
      </c>
      <c r="M483">
        <v>4</v>
      </c>
      <c r="N483">
        <v>3</v>
      </c>
      <c r="O483">
        <v>0</v>
      </c>
      <c r="P483">
        <v>0</v>
      </c>
      <c r="Q483">
        <v>1</v>
      </c>
      <c r="R483">
        <v>1</v>
      </c>
      <c r="S483">
        <v>0</v>
      </c>
      <c r="T483" t="str">
        <f>IF(mental_health[Sleep_Hours]&lt;5,"Low",IF(mental_health[Sleep_Hours]&lt;7,"Medium","Good"))</f>
        <v>Low</v>
      </c>
      <c r="U483" t="str">
        <f>IF(mental_health[Stress_Level]&lt;=3,"Low",IF(mental_health[Stress_Level]&lt;=7,"Medium","High"))</f>
        <v>Medium</v>
      </c>
      <c r="V483" t="str">
        <f>IF(mental_health[Daily_Screen_Time]&lt;=4,"Low",IF(mental_health[Daily_Screen_Time]&lt;=8,"Medium","High"))</f>
        <v>Medium</v>
      </c>
    </row>
    <row r="484" spans="1:22" x14ac:dyDescent="0.3">
      <c r="A484">
        <v>483</v>
      </c>
      <c r="B484">
        <v>58</v>
      </c>
      <c r="C484" t="s">
        <v>18</v>
      </c>
      <c r="D484" t="s">
        <v>24</v>
      </c>
      <c r="E484">
        <v>2.8</v>
      </c>
      <c r="F484">
        <v>6.5</v>
      </c>
      <c r="G484">
        <v>1</v>
      </c>
      <c r="H484" t="str">
        <f t="shared" si="7"/>
        <v>Night Usage</v>
      </c>
      <c r="I484">
        <v>4.5999999999999996</v>
      </c>
      <c r="J484" s="3">
        <v>8</v>
      </c>
      <c r="K484">
        <v>11.1</v>
      </c>
      <c r="L484" t="s">
        <v>25</v>
      </c>
      <c r="M484">
        <v>8</v>
      </c>
      <c r="N484">
        <v>3</v>
      </c>
      <c r="O484">
        <v>1</v>
      </c>
      <c r="P484">
        <v>0</v>
      </c>
      <c r="Q484">
        <v>1</v>
      </c>
      <c r="R484">
        <v>0</v>
      </c>
      <c r="S484">
        <v>1</v>
      </c>
      <c r="T484" t="str">
        <f>IF(mental_health[Sleep_Hours]&lt;5,"Low",IF(mental_health[Sleep_Hours]&lt;7,"Medium","Good"))</f>
        <v>Low</v>
      </c>
      <c r="U484" t="str">
        <f>IF(mental_health[Stress_Level]&lt;=3,"Low",IF(mental_health[Stress_Level]&lt;=7,"Medium","High"))</f>
        <v>High</v>
      </c>
      <c r="V484" t="str">
        <f>IF(mental_health[Daily_Screen_Time]&lt;=4,"Low",IF(mental_health[Daily_Screen_Time]&lt;=8,"Medium","High"))</f>
        <v>Low</v>
      </c>
    </row>
    <row r="485" spans="1:22" x14ac:dyDescent="0.3">
      <c r="A485">
        <v>484</v>
      </c>
      <c r="B485">
        <v>59</v>
      </c>
      <c r="C485" t="s">
        <v>18</v>
      </c>
      <c r="D485" t="s">
        <v>19</v>
      </c>
      <c r="E485">
        <v>11.4</v>
      </c>
      <c r="F485">
        <v>4.0999999999999996</v>
      </c>
      <c r="G485">
        <v>0</v>
      </c>
      <c r="H485" t="str">
        <f t="shared" si="7"/>
        <v>No Night Usage</v>
      </c>
      <c r="I485">
        <v>6</v>
      </c>
      <c r="J485" s="3">
        <v>9</v>
      </c>
      <c r="K485">
        <v>8.1999999999999993</v>
      </c>
      <c r="L485" t="s">
        <v>20</v>
      </c>
      <c r="M485">
        <v>4</v>
      </c>
      <c r="N485">
        <v>3</v>
      </c>
      <c r="O485">
        <v>0</v>
      </c>
      <c r="P485">
        <v>1</v>
      </c>
      <c r="Q485">
        <v>1</v>
      </c>
      <c r="R485">
        <v>0</v>
      </c>
      <c r="S485">
        <v>0</v>
      </c>
      <c r="T485" t="str">
        <f>IF(mental_health[Sleep_Hours]&lt;5,"Low",IF(mental_health[Sleep_Hours]&lt;7,"Medium","Good"))</f>
        <v>Medium</v>
      </c>
      <c r="U485" t="str">
        <f>IF(mental_health[Stress_Level]&lt;=3,"Low",IF(mental_health[Stress_Level]&lt;=7,"Medium","High"))</f>
        <v>High</v>
      </c>
      <c r="V485" t="str">
        <f>IF(mental_health[Daily_Screen_Time]&lt;=4,"Low",IF(mental_health[Daily_Screen_Time]&lt;=8,"Medium","High"))</f>
        <v>High</v>
      </c>
    </row>
    <row r="486" spans="1:22" x14ac:dyDescent="0.3">
      <c r="A486">
        <v>485</v>
      </c>
      <c r="B486">
        <v>44</v>
      </c>
      <c r="C486" t="s">
        <v>18</v>
      </c>
      <c r="D486" t="s">
        <v>22</v>
      </c>
      <c r="E486">
        <v>9.6</v>
      </c>
      <c r="F486">
        <v>4.4000000000000004</v>
      </c>
      <c r="G486">
        <v>0</v>
      </c>
      <c r="H486" t="str">
        <f t="shared" si="7"/>
        <v>No Night Usage</v>
      </c>
      <c r="I486">
        <v>8.1</v>
      </c>
      <c r="J486" s="3">
        <v>6</v>
      </c>
      <c r="K486">
        <v>5</v>
      </c>
      <c r="L486" t="s">
        <v>20</v>
      </c>
      <c r="M486">
        <v>9</v>
      </c>
      <c r="N486">
        <v>2</v>
      </c>
      <c r="O486">
        <v>0</v>
      </c>
      <c r="P486">
        <v>0</v>
      </c>
      <c r="Q486">
        <v>1</v>
      </c>
      <c r="R486">
        <v>0</v>
      </c>
      <c r="S486">
        <v>0</v>
      </c>
      <c r="T486" t="str">
        <f>IF(mental_health[Sleep_Hours]&lt;5,"Low",IF(mental_health[Sleep_Hours]&lt;7,"Medium","Good"))</f>
        <v>Good</v>
      </c>
      <c r="U486" t="str">
        <f>IF(mental_health[Stress_Level]&lt;=3,"Low",IF(mental_health[Stress_Level]&lt;=7,"Medium","High"))</f>
        <v>Medium</v>
      </c>
      <c r="V486" t="str">
        <f>IF(mental_health[Daily_Screen_Time]&lt;=4,"Low",IF(mental_health[Daily_Screen_Time]&lt;=8,"Medium","High"))</f>
        <v>High</v>
      </c>
    </row>
    <row r="487" spans="1:22" x14ac:dyDescent="0.3">
      <c r="A487">
        <v>486</v>
      </c>
      <c r="B487">
        <v>28</v>
      </c>
      <c r="C487" t="s">
        <v>23</v>
      </c>
      <c r="D487" t="s">
        <v>22</v>
      </c>
      <c r="E487">
        <v>7.9</v>
      </c>
      <c r="F487">
        <v>6.4</v>
      </c>
      <c r="G487">
        <v>1</v>
      </c>
      <c r="H487" t="str">
        <f t="shared" si="7"/>
        <v>Night Usage</v>
      </c>
      <c r="I487">
        <v>6</v>
      </c>
      <c r="J487" s="3">
        <v>5</v>
      </c>
      <c r="K487">
        <v>5</v>
      </c>
      <c r="L487" t="s">
        <v>20</v>
      </c>
      <c r="M487">
        <v>6</v>
      </c>
      <c r="N487">
        <v>4</v>
      </c>
      <c r="O487">
        <v>1</v>
      </c>
      <c r="P487">
        <v>0</v>
      </c>
      <c r="Q487">
        <v>0</v>
      </c>
      <c r="R487">
        <v>1</v>
      </c>
      <c r="S487">
        <v>0</v>
      </c>
      <c r="T487" t="str">
        <f>IF(mental_health[Sleep_Hours]&lt;5,"Low",IF(mental_health[Sleep_Hours]&lt;7,"Medium","Good"))</f>
        <v>Medium</v>
      </c>
      <c r="U487" t="str">
        <f>IF(mental_health[Stress_Level]&lt;=3,"Low",IF(mental_health[Stress_Level]&lt;=7,"Medium","High"))</f>
        <v>Medium</v>
      </c>
      <c r="V487" t="str">
        <f>IF(mental_health[Daily_Screen_Time]&lt;=4,"Low",IF(mental_health[Daily_Screen_Time]&lt;=8,"Medium","High"))</f>
        <v>Medium</v>
      </c>
    </row>
    <row r="488" spans="1:22" x14ac:dyDescent="0.3">
      <c r="A488">
        <v>487</v>
      </c>
      <c r="B488">
        <v>27</v>
      </c>
      <c r="C488" t="s">
        <v>23</v>
      </c>
      <c r="D488" t="s">
        <v>24</v>
      </c>
      <c r="E488">
        <v>10.3</v>
      </c>
      <c r="F488">
        <v>3.7</v>
      </c>
      <c r="G488">
        <v>1</v>
      </c>
      <c r="H488" t="str">
        <f t="shared" si="7"/>
        <v>Night Usage</v>
      </c>
      <c r="I488">
        <v>7.5</v>
      </c>
      <c r="J488" s="3">
        <v>4</v>
      </c>
      <c r="K488">
        <v>7</v>
      </c>
      <c r="L488" t="s">
        <v>25</v>
      </c>
      <c r="M488">
        <v>1</v>
      </c>
      <c r="N488">
        <v>0</v>
      </c>
      <c r="O488">
        <v>1</v>
      </c>
      <c r="P488">
        <v>1</v>
      </c>
      <c r="Q488">
        <v>0</v>
      </c>
      <c r="R488">
        <v>0</v>
      </c>
      <c r="S488">
        <v>1</v>
      </c>
      <c r="T488" t="str">
        <f>IF(mental_health[Sleep_Hours]&lt;5,"Low",IF(mental_health[Sleep_Hours]&lt;7,"Medium","Good"))</f>
        <v>Good</v>
      </c>
      <c r="U488" t="str">
        <f>IF(mental_health[Stress_Level]&lt;=3,"Low",IF(mental_health[Stress_Level]&lt;=7,"Medium","High"))</f>
        <v>Medium</v>
      </c>
      <c r="V488" t="str">
        <f>IF(mental_health[Daily_Screen_Time]&lt;=4,"Low",IF(mental_health[Daily_Screen_Time]&lt;=8,"Medium","High"))</f>
        <v>High</v>
      </c>
    </row>
    <row r="489" spans="1:22" x14ac:dyDescent="0.3">
      <c r="A489">
        <v>488</v>
      </c>
      <c r="B489">
        <v>46</v>
      </c>
      <c r="C489" t="s">
        <v>23</v>
      </c>
      <c r="D489" t="s">
        <v>19</v>
      </c>
      <c r="E489">
        <v>2.8</v>
      </c>
      <c r="F489">
        <v>4.0999999999999996</v>
      </c>
      <c r="G489">
        <v>1</v>
      </c>
      <c r="H489" t="str">
        <f t="shared" si="7"/>
        <v>Night Usage</v>
      </c>
      <c r="I489">
        <v>3.8</v>
      </c>
      <c r="J489" s="3">
        <v>2</v>
      </c>
      <c r="K489">
        <v>10.7</v>
      </c>
      <c r="L489" t="s">
        <v>20</v>
      </c>
      <c r="M489">
        <v>10</v>
      </c>
      <c r="N489">
        <v>2</v>
      </c>
      <c r="O489">
        <v>1</v>
      </c>
      <c r="P489">
        <v>1</v>
      </c>
      <c r="Q489">
        <v>0</v>
      </c>
      <c r="R489">
        <v>0</v>
      </c>
      <c r="S489">
        <v>0</v>
      </c>
      <c r="T489" t="str">
        <f>IF(mental_health[Sleep_Hours]&lt;5,"Low",IF(mental_health[Sleep_Hours]&lt;7,"Medium","Good"))</f>
        <v>Low</v>
      </c>
      <c r="U489" t="str">
        <f>IF(mental_health[Stress_Level]&lt;=3,"Low",IF(mental_health[Stress_Level]&lt;=7,"Medium","High"))</f>
        <v>Low</v>
      </c>
      <c r="V489" t="str">
        <f>IF(mental_health[Daily_Screen_Time]&lt;=4,"Low",IF(mental_health[Daily_Screen_Time]&lt;=8,"Medium","High"))</f>
        <v>Low</v>
      </c>
    </row>
    <row r="490" spans="1:22" x14ac:dyDescent="0.3">
      <c r="A490">
        <v>489</v>
      </c>
      <c r="B490">
        <v>17</v>
      </c>
      <c r="C490" t="s">
        <v>18</v>
      </c>
      <c r="D490" t="s">
        <v>22</v>
      </c>
      <c r="E490">
        <v>6.8</v>
      </c>
      <c r="F490">
        <v>3.6</v>
      </c>
      <c r="G490">
        <v>1</v>
      </c>
      <c r="H490" t="str">
        <f t="shared" si="7"/>
        <v>Night Usage</v>
      </c>
      <c r="I490">
        <v>4.5</v>
      </c>
      <c r="J490" s="3">
        <v>2</v>
      </c>
      <c r="K490">
        <v>9.9</v>
      </c>
      <c r="L490" t="s">
        <v>25</v>
      </c>
      <c r="M490">
        <v>2</v>
      </c>
      <c r="N490">
        <v>1</v>
      </c>
      <c r="O490">
        <v>1</v>
      </c>
      <c r="P490">
        <v>0</v>
      </c>
      <c r="Q490">
        <v>1</v>
      </c>
      <c r="R490">
        <v>1</v>
      </c>
      <c r="S490">
        <v>0</v>
      </c>
      <c r="T490" t="str">
        <f>IF(mental_health[Sleep_Hours]&lt;5,"Low",IF(mental_health[Sleep_Hours]&lt;7,"Medium","Good"))</f>
        <v>Low</v>
      </c>
      <c r="U490" t="str">
        <f>IF(mental_health[Stress_Level]&lt;=3,"Low",IF(mental_health[Stress_Level]&lt;=7,"Medium","High"))</f>
        <v>Low</v>
      </c>
      <c r="V490" t="str">
        <f>IF(mental_health[Daily_Screen_Time]&lt;=4,"Low",IF(mental_health[Daily_Screen_Time]&lt;=8,"Medium","High"))</f>
        <v>Medium</v>
      </c>
    </row>
    <row r="491" spans="1:22" x14ac:dyDescent="0.3">
      <c r="A491">
        <v>490</v>
      </c>
      <c r="B491">
        <v>50</v>
      </c>
      <c r="C491" t="s">
        <v>18</v>
      </c>
      <c r="D491" t="s">
        <v>22</v>
      </c>
      <c r="E491">
        <v>8.3000000000000007</v>
      </c>
      <c r="F491">
        <v>3.6</v>
      </c>
      <c r="G491">
        <v>0</v>
      </c>
      <c r="H491" t="str">
        <f t="shared" si="7"/>
        <v>No Night Usage</v>
      </c>
      <c r="I491">
        <v>7.4</v>
      </c>
      <c r="J491" s="3">
        <v>7</v>
      </c>
      <c r="K491">
        <v>11.6</v>
      </c>
      <c r="L491" t="s">
        <v>21</v>
      </c>
      <c r="M491">
        <v>7</v>
      </c>
      <c r="N491">
        <v>1</v>
      </c>
      <c r="O491">
        <v>0</v>
      </c>
      <c r="P491">
        <v>0</v>
      </c>
      <c r="Q491">
        <v>0</v>
      </c>
      <c r="R491">
        <v>0</v>
      </c>
      <c r="S491">
        <v>1</v>
      </c>
      <c r="T491" t="str">
        <f>IF(mental_health[Sleep_Hours]&lt;5,"Low",IF(mental_health[Sleep_Hours]&lt;7,"Medium","Good"))</f>
        <v>Good</v>
      </c>
      <c r="U491" t="str">
        <f>IF(mental_health[Stress_Level]&lt;=3,"Low",IF(mental_health[Stress_Level]&lt;=7,"Medium","High"))</f>
        <v>Medium</v>
      </c>
      <c r="V491" t="str">
        <f>IF(mental_health[Daily_Screen_Time]&lt;=4,"Low",IF(mental_health[Daily_Screen_Time]&lt;=8,"Medium","High"))</f>
        <v>High</v>
      </c>
    </row>
    <row r="492" spans="1:22" x14ac:dyDescent="0.3">
      <c r="A492">
        <v>491</v>
      </c>
      <c r="B492">
        <v>38</v>
      </c>
      <c r="C492" t="s">
        <v>23</v>
      </c>
      <c r="D492" t="s">
        <v>24</v>
      </c>
      <c r="E492">
        <v>10.3</v>
      </c>
      <c r="F492">
        <v>4.7</v>
      </c>
      <c r="G492">
        <v>0</v>
      </c>
      <c r="H492" t="str">
        <f t="shared" si="7"/>
        <v>No Night Usage</v>
      </c>
      <c r="I492">
        <v>4</v>
      </c>
      <c r="J492" s="3">
        <v>5</v>
      </c>
      <c r="K492">
        <v>2.7</v>
      </c>
      <c r="L492" t="s">
        <v>25</v>
      </c>
      <c r="M492">
        <v>10</v>
      </c>
      <c r="N492">
        <v>3</v>
      </c>
      <c r="O492">
        <v>0</v>
      </c>
      <c r="P492">
        <v>0</v>
      </c>
      <c r="Q492">
        <v>1</v>
      </c>
      <c r="R492">
        <v>0</v>
      </c>
      <c r="S492">
        <v>0</v>
      </c>
      <c r="T492" t="str">
        <f>IF(mental_health[Sleep_Hours]&lt;5,"Low",IF(mental_health[Sleep_Hours]&lt;7,"Medium","Good"))</f>
        <v>Low</v>
      </c>
      <c r="U492" t="str">
        <f>IF(mental_health[Stress_Level]&lt;=3,"Low",IF(mental_health[Stress_Level]&lt;=7,"Medium","High"))</f>
        <v>Medium</v>
      </c>
      <c r="V492" t="str">
        <f>IF(mental_health[Daily_Screen_Time]&lt;=4,"Low",IF(mental_health[Daily_Screen_Time]&lt;=8,"Medium","High"))</f>
        <v>High</v>
      </c>
    </row>
    <row r="493" spans="1:22" x14ac:dyDescent="0.3">
      <c r="A493">
        <v>492</v>
      </c>
      <c r="B493">
        <v>32</v>
      </c>
      <c r="C493" t="s">
        <v>23</v>
      </c>
      <c r="D493" t="s">
        <v>22</v>
      </c>
      <c r="E493">
        <v>9.8000000000000007</v>
      </c>
      <c r="F493">
        <v>6.7</v>
      </c>
      <c r="G493">
        <v>0</v>
      </c>
      <c r="H493" t="str">
        <f t="shared" si="7"/>
        <v>No Night Usage</v>
      </c>
      <c r="I493">
        <v>5.0999999999999996</v>
      </c>
      <c r="J493" s="3">
        <v>7</v>
      </c>
      <c r="K493">
        <v>4.7</v>
      </c>
      <c r="L493" t="s">
        <v>21</v>
      </c>
      <c r="M493">
        <v>7</v>
      </c>
      <c r="N493">
        <v>0</v>
      </c>
      <c r="O493">
        <v>0</v>
      </c>
      <c r="P493">
        <v>1</v>
      </c>
      <c r="Q493">
        <v>1</v>
      </c>
      <c r="R493">
        <v>0</v>
      </c>
      <c r="S493">
        <v>0</v>
      </c>
      <c r="T493" t="str">
        <f>IF(mental_health[Sleep_Hours]&lt;5,"Low",IF(mental_health[Sleep_Hours]&lt;7,"Medium","Good"))</f>
        <v>Medium</v>
      </c>
      <c r="U493" t="str">
        <f>IF(mental_health[Stress_Level]&lt;=3,"Low",IF(mental_health[Stress_Level]&lt;=7,"Medium","High"))</f>
        <v>Medium</v>
      </c>
      <c r="V493" t="str">
        <f>IF(mental_health[Daily_Screen_Time]&lt;=4,"Low",IF(mental_health[Daily_Screen_Time]&lt;=8,"Medium","High"))</f>
        <v>High</v>
      </c>
    </row>
    <row r="494" spans="1:22" x14ac:dyDescent="0.3">
      <c r="A494">
        <v>493</v>
      </c>
      <c r="B494">
        <v>41</v>
      </c>
      <c r="C494" t="s">
        <v>23</v>
      </c>
      <c r="D494" t="s">
        <v>19</v>
      </c>
      <c r="E494">
        <v>4.8</v>
      </c>
      <c r="F494">
        <v>3.5</v>
      </c>
      <c r="G494">
        <v>0</v>
      </c>
      <c r="H494" t="str">
        <f t="shared" si="7"/>
        <v>No Night Usage</v>
      </c>
      <c r="I494">
        <v>4.5999999999999996</v>
      </c>
      <c r="J494" s="3">
        <v>1</v>
      </c>
      <c r="K494">
        <v>2.8</v>
      </c>
      <c r="L494" t="s">
        <v>25</v>
      </c>
      <c r="M494">
        <v>3</v>
      </c>
      <c r="N494">
        <v>3</v>
      </c>
      <c r="O494">
        <v>0</v>
      </c>
      <c r="P494">
        <v>0</v>
      </c>
      <c r="Q494">
        <v>0</v>
      </c>
      <c r="R494">
        <v>0</v>
      </c>
      <c r="S494">
        <v>0</v>
      </c>
      <c r="T494" t="str">
        <f>IF(mental_health[Sleep_Hours]&lt;5,"Low",IF(mental_health[Sleep_Hours]&lt;7,"Medium","Good"))</f>
        <v>Low</v>
      </c>
      <c r="U494" t="str">
        <f>IF(mental_health[Stress_Level]&lt;=3,"Low",IF(mental_health[Stress_Level]&lt;=7,"Medium","High"))</f>
        <v>Low</v>
      </c>
      <c r="V494" t="str">
        <f>IF(mental_health[Daily_Screen_Time]&lt;=4,"Low",IF(mental_health[Daily_Screen_Time]&lt;=8,"Medium","High"))</f>
        <v>Medium</v>
      </c>
    </row>
    <row r="495" spans="1:22" x14ac:dyDescent="0.3">
      <c r="A495">
        <v>494</v>
      </c>
      <c r="B495">
        <v>23</v>
      </c>
      <c r="C495" t="s">
        <v>18</v>
      </c>
      <c r="D495" t="s">
        <v>24</v>
      </c>
      <c r="E495">
        <v>11.4</v>
      </c>
      <c r="F495">
        <v>4.7</v>
      </c>
      <c r="G495">
        <v>1</v>
      </c>
      <c r="H495" t="str">
        <f t="shared" si="7"/>
        <v>Night Usage</v>
      </c>
      <c r="I495">
        <v>5.0999999999999996</v>
      </c>
      <c r="J495" s="3">
        <v>1</v>
      </c>
      <c r="K495">
        <v>9.5</v>
      </c>
      <c r="L495" t="s">
        <v>25</v>
      </c>
      <c r="M495">
        <v>1</v>
      </c>
      <c r="N495">
        <v>1</v>
      </c>
      <c r="O495">
        <v>0</v>
      </c>
      <c r="P495">
        <v>0</v>
      </c>
      <c r="Q495">
        <v>0</v>
      </c>
      <c r="R495">
        <v>1</v>
      </c>
      <c r="S495">
        <v>0</v>
      </c>
      <c r="T495" t="str">
        <f>IF(mental_health[Sleep_Hours]&lt;5,"Low",IF(mental_health[Sleep_Hours]&lt;7,"Medium","Good"))</f>
        <v>Medium</v>
      </c>
      <c r="U495" t="str">
        <f>IF(mental_health[Stress_Level]&lt;=3,"Low",IF(mental_health[Stress_Level]&lt;=7,"Medium","High"))</f>
        <v>Low</v>
      </c>
      <c r="V495" t="str">
        <f>IF(mental_health[Daily_Screen_Time]&lt;=4,"Low",IF(mental_health[Daily_Screen_Time]&lt;=8,"Medium","High"))</f>
        <v>High</v>
      </c>
    </row>
    <row r="496" spans="1:22" x14ac:dyDescent="0.3">
      <c r="A496">
        <v>495</v>
      </c>
      <c r="B496">
        <v>44</v>
      </c>
      <c r="C496" t="s">
        <v>23</v>
      </c>
      <c r="D496" t="s">
        <v>24</v>
      </c>
      <c r="E496">
        <v>3.2</v>
      </c>
      <c r="F496">
        <v>5.7</v>
      </c>
      <c r="G496">
        <v>0</v>
      </c>
      <c r="H496" t="str">
        <f t="shared" si="7"/>
        <v>No Night Usage</v>
      </c>
      <c r="I496">
        <v>7.2</v>
      </c>
      <c r="J496" s="3">
        <v>5</v>
      </c>
      <c r="K496">
        <v>3.4</v>
      </c>
      <c r="L496" t="s">
        <v>20</v>
      </c>
      <c r="M496">
        <v>8</v>
      </c>
      <c r="N496">
        <v>1</v>
      </c>
      <c r="O496">
        <v>1</v>
      </c>
      <c r="P496">
        <v>1</v>
      </c>
      <c r="Q496">
        <v>1</v>
      </c>
      <c r="R496">
        <v>0</v>
      </c>
      <c r="S496">
        <v>0</v>
      </c>
      <c r="T496" t="str">
        <f>IF(mental_health[Sleep_Hours]&lt;5,"Low",IF(mental_health[Sleep_Hours]&lt;7,"Medium","Good"))</f>
        <v>Good</v>
      </c>
      <c r="U496" t="str">
        <f>IF(mental_health[Stress_Level]&lt;=3,"Low",IF(mental_health[Stress_Level]&lt;=7,"Medium","High"))</f>
        <v>Medium</v>
      </c>
      <c r="V496" t="str">
        <f>IF(mental_health[Daily_Screen_Time]&lt;=4,"Low",IF(mental_health[Daily_Screen_Time]&lt;=8,"Medium","High"))</f>
        <v>Low</v>
      </c>
    </row>
    <row r="497" spans="1:22" x14ac:dyDescent="0.3">
      <c r="A497">
        <v>496</v>
      </c>
      <c r="B497">
        <v>41</v>
      </c>
      <c r="C497" t="s">
        <v>23</v>
      </c>
      <c r="D497" t="s">
        <v>19</v>
      </c>
      <c r="E497">
        <v>10.8</v>
      </c>
      <c r="F497">
        <v>2.9</v>
      </c>
      <c r="G497">
        <v>1</v>
      </c>
      <c r="H497" t="str">
        <f t="shared" si="7"/>
        <v>Night Usage</v>
      </c>
      <c r="I497">
        <v>5.2</v>
      </c>
      <c r="J497" s="3">
        <v>2</v>
      </c>
      <c r="K497">
        <v>3</v>
      </c>
      <c r="L497" t="s">
        <v>25</v>
      </c>
      <c r="M497">
        <v>10</v>
      </c>
      <c r="N497">
        <v>4</v>
      </c>
      <c r="O497">
        <v>1</v>
      </c>
      <c r="P497">
        <v>0</v>
      </c>
      <c r="Q497">
        <v>0</v>
      </c>
      <c r="R497">
        <v>1</v>
      </c>
      <c r="S497">
        <v>1</v>
      </c>
      <c r="T497" t="str">
        <f>IF(mental_health[Sleep_Hours]&lt;5,"Low",IF(mental_health[Sleep_Hours]&lt;7,"Medium","Good"))</f>
        <v>Medium</v>
      </c>
      <c r="U497" t="str">
        <f>IF(mental_health[Stress_Level]&lt;=3,"Low",IF(mental_health[Stress_Level]&lt;=7,"Medium","High"))</f>
        <v>Low</v>
      </c>
      <c r="V497" t="str">
        <f>IF(mental_health[Daily_Screen_Time]&lt;=4,"Low",IF(mental_health[Daily_Screen_Time]&lt;=8,"Medium","High"))</f>
        <v>High</v>
      </c>
    </row>
    <row r="498" spans="1:22" x14ac:dyDescent="0.3">
      <c r="A498">
        <v>497</v>
      </c>
      <c r="B498">
        <v>25</v>
      </c>
      <c r="C498" t="s">
        <v>18</v>
      </c>
      <c r="D498" t="s">
        <v>24</v>
      </c>
      <c r="E498">
        <v>11.7</v>
      </c>
      <c r="F498">
        <v>2.9</v>
      </c>
      <c r="G498">
        <v>0</v>
      </c>
      <c r="H498" t="str">
        <f t="shared" si="7"/>
        <v>No Night Usage</v>
      </c>
      <c r="I498">
        <v>6.3</v>
      </c>
      <c r="J498" s="3">
        <v>8</v>
      </c>
      <c r="K498">
        <v>7.6</v>
      </c>
      <c r="L498" t="s">
        <v>20</v>
      </c>
      <c r="M498">
        <v>10</v>
      </c>
      <c r="N498">
        <v>4</v>
      </c>
      <c r="O498">
        <v>0</v>
      </c>
      <c r="P498">
        <v>1</v>
      </c>
      <c r="Q498">
        <v>0</v>
      </c>
      <c r="R498">
        <v>0</v>
      </c>
      <c r="S498">
        <v>0</v>
      </c>
      <c r="T498" t="str">
        <f>IF(mental_health[Sleep_Hours]&lt;5,"Low",IF(mental_health[Sleep_Hours]&lt;7,"Medium","Good"))</f>
        <v>Medium</v>
      </c>
      <c r="U498" t="str">
        <f>IF(mental_health[Stress_Level]&lt;=3,"Low",IF(mental_health[Stress_Level]&lt;=7,"Medium","High"))</f>
        <v>High</v>
      </c>
      <c r="V498" t="str">
        <f>IF(mental_health[Daily_Screen_Time]&lt;=4,"Low",IF(mental_health[Daily_Screen_Time]&lt;=8,"Medium","High"))</f>
        <v>High</v>
      </c>
    </row>
    <row r="499" spans="1:22" x14ac:dyDescent="0.3">
      <c r="A499">
        <v>498</v>
      </c>
      <c r="B499">
        <v>41</v>
      </c>
      <c r="C499" t="s">
        <v>23</v>
      </c>
      <c r="D499" t="s">
        <v>22</v>
      </c>
      <c r="E499">
        <v>3.8</v>
      </c>
      <c r="F499">
        <v>7.5</v>
      </c>
      <c r="G499">
        <v>0</v>
      </c>
      <c r="H499" t="str">
        <f t="shared" si="7"/>
        <v>No Night Usage</v>
      </c>
      <c r="I499">
        <v>3.6</v>
      </c>
      <c r="J499" s="3">
        <v>3</v>
      </c>
      <c r="K499">
        <v>6.1</v>
      </c>
      <c r="L499" t="s">
        <v>20</v>
      </c>
      <c r="M499">
        <v>7</v>
      </c>
      <c r="N499">
        <v>4</v>
      </c>
      <c r="O499">
        <v>1</v>
      </c>
      <c r="P499">
        <v>0</v>
      </c>
      <c r="Q499">
        <v>0</v>
      </c>
      <c r="R499">
        <v>1</v>
      </c>
      <c r="S499">
        <v>0</v>
      </c>
      <c r="T499" t="str">
        <f>IF(mental_health[Sleep_Hours]&lt;5,"Low",IF(mental_health[Sleep_Hours]&lt;7,"Medium","Good"))</f>
        <v>Low</v>
      </c>
      <c r="U499" t="str">
        <f>IF(mental_health[Stress_Level]&lt;=3,"Low",IF(mental_health[Stress_Level]&lt;=7,"Medium","High"))</f>
        <v>Low</v>
      </c>
      <c r="V499" t="str">
        <f>IF(mental_health[Daily_Screen_Time]&lt;=4,"Low",IF(mental_health[Daily_Screen_Time]&lt;=8,"Medium","High"))</f>
        <v>Low</v>
      </c>
    </row>
    <row r="500" spans="1:22" x14ac:dyDescent="0.3">
      <c r="A500">
        <v>499</v>
      </c>
      <c r="B500">
        <v>49</v>
      </c>
      <c r="C500" t="s">
        <v>18</v>
      </c>
      <c r="D500" t="s">
        <v>22</v>
      </c>
      <c r="E500">
        <v>9.1999999999999993</v>
      </c>
      <c r="F500">
        <v>6.1</v>
      </c>
      <c r="G500">
        <v>0</v>
      </c>
      <c r="H500" t="str">
        <f t="shared" si="7"/>
        <v>No Night Usage</v>
      </c>
      <c r="I500">
        <v>7.8</v>
      </c>
      <c r="J500" s="3">
        <v>1</v>
      </c>
      <c r="K500">
        <v>9.1999999999999993</v>
      </c>
      <c r="L500" t="s">
        <v>20</v>
      </c>
      <c r="M500">
        <v>10</v>
      </c>
      <c r="N500">
        <v>3</v>
      </c>
      <c r="O500">
        <v>0</v>
      </c>
      <c r="P500">
        <v>1</v>
      </c>
      <c r="Q500">
        <v>0</v>
      </c>
      <c r="R500">
        <v>0</v>
      </c>
      <c r="S500">
        <v>0</v>
      </c>
      <c r="T500" t="str">
        <f>IF(mental_health[Sleep_Hours]&lt;5,"Low",IF(mental_health[Sleep_Hours]&lt;7,"Medium","Good"))</f>
        <v>Good</v>
      </c>
      <c r="U500" t="str">
        <f>IF(mental_health[Stress_Level]&lt;=3,"Low",IF(mental_health[Stress_Level]&lt;=7,"Medium","High"))</f>
        <v>Low</v>
      </c>
      <c r="V500" t="str">
        <f>IF(mental_health[Daily_Screen_Time]&lt;=4,"Low",IF(mental_health[Daily_Screen_Time]&lt;=8,"Medium","High"))</f>
        <v>High</v>
      </c>
    </row>
    <row r="501" spans="1:22" x14ac:dyDescent="0.3">
      <c r="A501">
        <v>500</v>
      </c>
      <c r="B501">
        <v>56</v>
      </c>
      <c r="C501" t="s">
        <v>18</v>
      </c>
      <c r="D501" t="s">
        <v>19</v>
      </c>
      <c r="E501">
        <v>2.4</v>
      </c>
      <c r="F501">
        <v>5</v>
      </c>
      <c r="G501">
        <v>1</v>
      </c>
      <c r="H501" t="str">
        <f t="shared" si="7"/>
        <v>Night Usage</v>
      </c>
      <c r="I501">
        <v>5.2</v>
      </c>
      <c r="J501" s="3">
        <v>2</v>
      </c>
      <c r="K501">
        <v>6.9</v>
      </c>
      <c r="L501" t="s">
        <v>25</v>
      </c>
      <c r="M501">
        <v>8</v>
      </c>
      <c r="N501">
        <v>0</v>
      </c>
      <c r="O501">
        <v>0</v>
      </c>
      <c r="P501">
        <v>0</v>
      </c>
      <c r="Q501">
        <v>0</v>
      </c>
      <c r="R501">
        <v>0</v>
      </c>
      <c r="S501">
        <v>0</v>
      </c>
      <c r="T501" t="str">
        <f>IF(mental_health[Sleep_Hours]&lt;5,"Low",IF(mental_health[Sleep_Hours]&lt;7,"Medium","Good"))</f>
        <v>Medium</v>
      </c>
      <c r="U501" t="str">
        <f>IF(mental_health[Stress_Level]&lt;=3,"Low",IF(mental_health[Stress_Level]&lt;=7,"Medium","High"))</f>
        <v>Low</v>
      </c>
      <c r="V501" t="str">
        <f>IF(mental_health[Daily_Screen_Time]&lt;=4,"Low",IF(mental_health[Daily_Screen_Time]&lt;=8,"Medium","High"))</f>
        <v>Low</v>
      </c>
    </row>
    <row r="502" spans="1:22" x14ac:dyDescent="0.3">
      <c r="A502">
        <v>501</v>
      </c>
      <c r="B502">
        <v>22</v>
      </c>
      <c r="C502" t="s">
        <v>18</v>
      </c>
      <c r="D502" t="s">
        <v>22</v>
      </c>
      <c r="E502">
        <v>6.1</v>
      </c>
      <c r="F502">
        <v>5.5</v>
      </c>
      <c r="G502">
        <v>0</v>
      </c>
      <c r="H502" t="str">
        <f t="shared" si="7"/>
        <v>No Night Usage</v>
      </c>
      <c r="I502">
        <v>6.9</v>
      </c>
      <c r="J502" s="3">
        <v>10</v>
      </c>
      <c r="K502">
        <v>6.3</v>
      </c>
      <c r="L502" t="s">
        <v>20</v>
      </c>
      <c r="M502">
        <v>1</v>
      </c>
      <c r="N502">
        <v>4</v>
      </c>
      <c r="O502">
        <v>0</v>
      </c>
      <c r="P502">
        <v>0</v>
      </c>
      <c r="Q502">
        <v>0</v>
      </c>
      <c r="R502">
        <v>0</v>
      </c>
      <c r="S502">
        <v>1</v>
      </c>
      <c r="T502" t="str">
        <f>IF(mental_health[Sleep_Hours]&lt;5,"Low",IF(mental_health[Sleep_Hours]&lt;7,"Medium","Good"))</f>
        <v>Medium</v>
      </c>
      <c r="U502" t="str">
        <f>IF(mental_health[Stress_Level]&lt;=3,"Low",IF(mental_health[Stress_Level]&lt;=7,"Medium","High"))</f>
        <v>High</v>
      </c>
      <c r="V502" t="str">
        <f>IF(mental_health[Daily_Screen_Time]&lt;=4,"Low",IF(mental_health[Daily_Screen_Time]&lt;=8,"Medium","High"))</f>
        <v>Medium</v>
      </c>
    </row>
    <row r="503" spans="1:22" x14ac:dyDescent="0.3">
      <c r="A503">
        <v>502</v>
      </c>
      <c r="B503">
        <v>19</v>
      </c>
      <c r="C503" t="s">
        <v>23</v>
      </c>
      <c r="D503" t="s">
        <v>19</v>
      </c>
      <c r="E503">
        <v>7.2</v>
      </c>
      <c r="F503">
        <v>1.2</v>
      </c>
      <c r="G503">
        <v>1</v>
      </c>
      <c r="H503" t="str">
        <f t="shared" si="7"/>
        <v>Night Usage</v>
      </c>
      <c r="I503">
        <v>7.4</v>
      </c>
      <c r="J503" s="3">
        <v>10</v>
      </c>
      <c r="K503">
        <v>6.3</v>
      </c>
      <c r="L503" t="s">
        <v>21</v>
      </c>
      <c r="M503">
        <v>3</v>
      </c>
      <c r="N503">
        <v>2</v>
      </c>
      <c r="O503">
        <v>0</v>
      </c>
      <c r="P503">
        <v>1</v>
      </c>
      <c r="Q503">
        <v>1</v>
      </c>
      <c r="R503">
        <v>1</v>
      </c>
      <c r="S503">
        <v>1</v>
      </c>
      <c r="T503" t="str">
        <f>IF(mental_health[Sleep_Hours]&lt;5,"Low",IF(mental_health[Sleep_Hours]&lt;7,"Medium","Good"))</f>
        <v>Good</v>
      </c>
      <c r="U503" t="str">
        <f>IF(mental_health[Stress_Level]&lt;=3,"Low",IF(mental_health[Stress_Level]&lt;=7,"Medium","High"))</f>
        <v>High</v>
      </c>
      <c r="V503" t="str">
        <f>IF(mental_health[Daily_Screen_Time]&lt;=4,"Low",IF(mental_health[Daily_Screen_Time]&lt;=8,"Medium","High"))</f>
        <v>Medium</v>
      </c>
    </row>
    <row r="504" spans="1:22" x14ac:dyDescent="0.3">
      <c r="A504">
        <v>503</v>
      </c>
      <c r="B504">
        <v>26</v>
      </c>
      <c r="C504" t="s">
        <v>23</v>
      </c>
      <c r="D504" t="s">
        <v>19</v>
      </c>
      <c r="E504">
        <v>7.8</v>
      </c>
      <c r="F504">
        <v>5.3</v>
      </c>
      <c r="G504">
        <v>1</v>
      </c>
      <c r="H504" t="str">
        <f t="shared" si="7"/>
        <v>Night Usage</v>
      </c>
      <c r="I504">
        <v>4.3</v>
      </c>
      <c r="J504" s="3">
        <v>7</v>
      </c>
      <c r="K504">
        <v>10.7</v>
      </c>
      <c r="L504" t="s">
        <v>21</v>
      </c>
      <c r="M504">
        <v>2</v>
      </c>
      <c r="N504">
        <v>4</v>
      </c>
      <c r="O504">
        <v>0</v>
      </c>
      <c r="P504">
        <v>1</v>
      </c>
      <c r="Q504">
        <v>1</v>
      </c>
      <c r="R504">
        <v>1</v>
      </c>
      <c r="S504">
        <v>1</v>
      </c>
      <c r="T504" t="str">
        <f>IF(mental_health[Sleep_Hours]&lt;5,"Low",IF(mental_health[Sleep_Hours]&lt;7,"Medium","Good"))</f>
        <v>Low</v>
      </c>
      <c r="U504" t="str">
        <f>IF(mental_health[Stress_Level]&lt;=3,"Low",IF(mental_health[Stress_Level]&lt;=7,"Medium","High"))</f>
        <v>Medium</v>
      </c>
      <c r="V504" t="str">
        <f>IF(mental_health[Daily_Screen_Time]&lt;=4,"Low",IF(mental_health[Daily_Screen_Time]&lt;=8,"Medium","High"))</f>
        <v>Medium</v>
      </c>
    </row>
    <row r="505" spans="1:22" x14ac:dyDescent="0.3">
      <c r="A505">
        <v>504</v>
      </c>
      <c r="B505">
        <v>44</v>
      </c>
      <c r="C505" t="s">
        <v>18</v>
      </c>
      <c r="D505" t="s">
        <v>22</v>
      </c>
      <c r="E505">
        <v>11.4</v>
      </c>
      <c r="F505">
        <v>4.5999999999999996</v>
      </c>
      <c r="G505">
        <v>0</v>
      </c>
      <c r="H505" t="str">
        <f t="shared" si="7"/>
        <v>No Night Usage</v>
      </c>
      <c r="I505">
        <v>8.3000000000000007</v>
      </c>
      <c r="J505" s="3">
        <v>6</v>
      </c>
      <c r="K505">
        <v>6</v>
      </c>
      <c r="L505" t="s">
        <v>25</v>
      </c>
      <c r="M505">
        <v>1</v>
      </c>
      <c r="N505">
        <v>3</v>
      </c>
      <c r="O505">
        <v>1</v>
      </c>
      <c r="P505">
        <v>1</v>
      </c>
      <c r="Q505">
        <v>1</v>
      </c>
      <c r="R505">
        <v>0</v>
      </c>
      <c r="S505">
        <v>1</v>
      </c>
      <c r="T505" t="str">
        <f>IF(mental_health[Sleep_Hours]&lt;5,"Low",IF(mental_health[Sleep_Hours]&lt;7,"Medium","Good"))</f>
        <v>Good</v>
      </c>
      <c r="U505" t="str">
        <f>IF(mental_health[Stress_Level]&lt;=3,"Low",IF(mental_health[Stress_Level]&lt;=7,"Medium","High"))</f>
        <v>Medium</v>
      </c>
      <c r="V505" t="str">
        <f>IF(mental_health[Daily_Screen_Time]&lt;=4,"Low",IF(mental_health[Daily_Screen_Time]&lt;=8,"Medium","High"))</f>
        <v>High</v>
      </c>
    </row>
    <row r="506" spans="1:22" x14ac:dyDescent="0.3">
      <c r="A506">
        <v>505</v>
      </c>
      <c r="B506">
        <v>51</v>
      </c>
      <c r="C506" t="s">
        <v>23</v>
      </c>
      <c r="D506" t="s">
        <v>19</v>
      </c>
      <c r="E506">
        <v>8.6999999999999993</v>
      </c>
      <c r="F506">
        <v>4.8</v>
      </c>
      <c r="G506">
        <v>1</v>
      </c>
      <c r="H506" t="str">
        <f t="shared" si="7"/>
        <v>Night Usage</v>
      </c>
      <c r="I506">
        <v>6.7</v>
      </c>
      <c r="J506" s="3">
        <v>8</v>
      </c>
      <c r="K506">
        <v>5.3</v>
      </c>
      <c r="L506" t="s">
        <v>20</v>
      </c>
      <c r="M506">
        <v>5</v>
      </c>
      <c r="N506">
        <v>0</v>
      </c>
      <c r="O506">
        <v>1</v>
      </c>
      <c r="P506">
        <v>1</v>
      </c>
      <c r="Q506">
        <v>1</v>
      </c>
      <c r="R506">
        <v>0</v>
      </c>
      <c r="S506">
        <v>1</v>
      </c>
      <c r="T506" t="str">
        <f>IF(mental_health[Sleep_Hours]&lt;5,"Low",IF(mental_health[Sleep_Hours]&lt;7,"Medium","Good"))</f>
        <v>Medium</v>
      </c>
      <c r="U506" t="str">
        <f>IF(mental_health[Stress_Level]&lt;=3,"Low",IF(mental_health[Stress_Level]&lt;=7,"Medium","High"))</f>
        <v>High</v>
      </c>
      <c r="V506" t="str">
        <f>IF(mental_health[Daily_Screen_Time]&lt;=4,"Low",IF(mental_health[Daily_Screen_Time]&lt;=8,"Medium","High"))</f>
        <v>High</v>
      </c>
    </row>
    <row r="507" spans="1:22" x14ac:dyDescent="0.3">
      <c r="A507">
        <v>506</v>
      </c>
      <c r="B507">
        <v>40</v>
      </c>
      <c r="C507" t="s">
        <v>23</v>
      </c>
      <c r="D507" t="s">
        <v>22</v>
      </c>
      <c r="E507">
        <v>6.8</v>
      </c>
      <c r="F507">
        <v>3.5</v>
      </c>
      <c r="G507">
        <v>0</v>
      </c>
      <c r="H507" t="str">
        <f t="shared" si="7"/>
        <v>No Night Usage</v>
      </c>
      <c r="I507">
        <v>5.6</v>
      </c>
      <c r="J507" s="3">
        <v>7</v>
      </c>
      <c r="K507">
        <v>5.4</v>
      </c>
      <c r="L507" t="s">
        <v>21</v>
      </c>
      <c r="M507">
        <v>3</v>
      </c>
      <c r="N507">
        <v>4</v>
      </c>
      <c r="O507">
        <v>0</v>
      </c>
      <c r="P507">
        <v>1</v>
      </c>
      <c r="Q507">
        <v>0</v>
      </c>
      <c r="R507">
        <v>1</v>
      </c>
      <c r="S507">
        <v>0</v>
      </c>
      <c r="T507" t="str">
        <f>IF(mental_health[Sleep_Hours]&lt;5,"Low",IF(mental_health[Sleep_Hours]&lt;7,"Medium","Good"))</f>
        <v>Medium</v>
      </c>
      <c r="U507" t="str">
        <f>IF(mental_health[Stress_Level]&lt;=3,"Low",IF(mental_health[Stress_Level]&lt;=7,"Medium","High"))</f>
        <v>Medium</v>
      </c>
      <c r="V507" t="str">
        <f>IF(mental_health[Daily_Screen_Time]&lt;=4,"Low",IF(mental_health[Daily_Screen_Time]&lt;=8,"Medium","High"))</f>
        <v>Medium</v>
      </c>
    </row>
    <row r="508" spans="1:22" x14ac:dyDescent="0.3">
      <c r="A508">
        <v>507</v>
      </c>
      <c r="B508">
        <v>36</v>
      </c>
      <c r="C508" t="s">
        <v>23</v>
      </c>
      <c r="D508" t="s">
        <v>24</v>
      </c>
      <c r="E508">
        <v>10.1</v>
      </c>
      <c r="F508">
        <v>1.6</v>
      </c>
      <c r="G508">
        <v>1</v>
      </c>
      <c r="H508" t="str">
        <f t="shared" si="7"/>
        <v>Night Usage</v>
      </c>
      <c r="I508">
        <v>4.0999999999999996</v>
      </c>
      <c r="J508" s="3">
        <v>10</v>
      </c>
      <c r="K508">
        <v>4</v>
      </c>
      <c r="L508" t="s">
        <v>25</v>
      </c>
      <c r="M508">
        <v>10</v>
      </c>
      <c r="N508">
        <v>0</v>
      </c>
      <c r="O508">
        <v>0</v>
      </c>
      <c r="P508">
        <v>1</v>
      </c>
      <c r="Q508">
        <v>0</v>
      </c>
      <c r="R508">
        <v>1</v>
      </c>
      <c r="S508">
        <v>1</v>
      </c>
      <c r="T508" t="str">
        <f>IF(mental_health[Sleep_Hours]&lt;5,"Low",IF(mental_health[Sleep_Hours]&lt;7,"Medium","Good"))</f>
        <v>Low</v>
      </c>
      <c r="U508" t="str">
        <f>IF(mental_health[Stress_Level]&lt;=3,"Low",IF(mental_health[Stress_Level]&lt;=7,"Medium","High"))</f>
        <v>High</v>
      </c>
      <c r="V508" t="str">
        <f>IF(mental_health[Daily_Screen_Time]&lt;=4,"Low",IF(mental_health[Daily_Screen_Time]&lt;=8,"Medium","High"))</f>
        <v>High</v>
      </c>
    </row>
    <row r="509" spans="1:22" x14ac:dyDescent="0.3">
      <c r="A509">
        <v>508</v>
      </c>
      <c r="B509">
        <v>51</v>
      </c>
      <c r="C509" t="s">
        <v>23</v>
      </c>
      <c r="D509" t="s">
        <v>24</v>
      </c>
      <c r="E509">
        <v>11.5</v>
      </c>
      <c r="F509">
        <v>2.4</v>
      </c>
      <c r="G509">
        <v>0</v>
      </c>
      <c r="H509" t="str">
        <f t="shared" si="7"/>
        <v>No Night Usage</v>
      </c>
      <c r="I509">
        <v>8.6999999999999993</v>
      </c>
      <c r="J509" s="3">
        <v>8</v>
      </c>
      <c r="K509">
        <v>10.6</v>
      </c>
      <c r="L509" t="s">
        <v>25</v>
      </c>
      <c r="M509">
        <v>8</v>
      </c>
      <c r="N509">
        <v>2</v>
      </c>
      <c r="O509">
        <v>1</v>
      </c>
      <c r="P509">
        <v>1</v>
      </c>
      <c r="Q509">
        <v>0</v>
      </c>
      <c r="R509">
        <v>0</v>
      </c>
      <c r="S509">
        <v>1</v>
      </c>
      <c r="T509" t="str">
        <f>IF(mental_health[Sleep_Hours]&lt;5,"Low",IF(mental_health[Sleep_Hours]&lt;7,"Medium","Good"))</f>
        <v>Good</v>
      </c>
      <c r="U509" t="str">
        <f>IF(mental_health[Stress_Level]&lt;=3,"Low",IF(mental_health[Stress_Level]&lt;=7,"Medium","High"))</f>
        <v>High</v>
      </c>
      <c r="V509" t="str">
        <f>IF(mental_health[Daily_Screen_Time]&lt;=4,"Low",IF(mental_health[Daily_Screen_Time]&lt;=8,"Medium","High"))</f>
        <v>High</v>
      </c>
    </row>
    <row r="510" spans="1:22" x14ac:dyDescent="0.3">
      <c r="A510">
        <v>509</v>
      </c>
      <c r="B510">
        <v>25</v>
      </c>
      <c r="C510" t="s">
        <v>18</v>
      </c>
      <c r="D510" t="s">
        <v>19</v>
      </c>
      <c r="E510">
        <v>2.2000000000000002</v>
      </c>
      <c r="F510">
        <v>7.7</v>
      </c>
      <c r="G510">
        <v>1</v>
      </c>
      <c r="H510" t="str">
        <f t="shared" si="7"/>
        <v>Night Usage</v>
      </c>
      <c r="I510">
        <v>7.5</v>
      </c>
      <c r="J510" s="3">
        <v>3</v>
      </c>
      <c r="K510">
        <v>3.5</v>
      </c>
      <c r="L510" t="s">
        <v>25</v>
      </c>
      <c r="M510">
        <v>6</v>
      </c>
      <c r="N510">
        <v>1</v>
      </c>
      <c r="O510">
        <v>0</v>
      </c>
      <c r="P510">
        <v>0</v>
      </c>
      <c r="Q510">
        <v>0</v>
      </c>
      <c r="R510">
        <v>0</v>
      </c>
      <c r="S510">
        <v>0</v>
      </c>
      <c r="T510" t="str">
        <f>IF(mental_health[Sleep_Hours]&lt;5,"Low",IF(mental_health[Sleep_Hours]&lt;7,"Medium","Good"))</f>
        <v>Good</v>
      </c>
      <c r="U510" t="str">
        <f>IF(mental_health[Stress_Level]&lt;=3,"Low",IF(mental_health[Stress_Level]&lt;=7,"Medium","High"))</f>
        <v>Low</v>
      </c>
      <c r="V510" t="str">
        <f>IF(mental_health[Daily_Screen_Time]&lt;=4,"Low",IF(mental_health[Daily_Screen_Time]&lt;=8,"Medium","High"))</f>
        <v>Low</v>
      </c>
    </row>
    <row r="511" spans="1:22" x14ac:dyDescent="0.3">
      <c r="A511">
        <v>510</v>
      </c>
      <c r="B511">
        <v>52</v>
      </c>
      <c r="C511" t="s">
        <v>23</v>
      </c>
      <c r="D511" t="s">
        <v>22</v>
      </c>
      <c r="E511">
        <v>11.8</v>
      </c>
      <c r="F511">
        <v>3.9</v>
      </c>
      <c r="G511">
        <v>1</v>
      </c>
      <c r="H511" t="str">
        <f t="shared" si="7"/>
        <v>Night Usage</v>
      </c>
      <c r="I511">
        <v>4.2</v>
      </c>
      <c r="J511" s="3">
        <v>6</v>
      </c>
      <c r="K511">
        <v>11.1</v>
      </c>
      <c r="L511" t="s">
        <v>25</v>
      </c>
      <c r="M511">
        <v>10</v>
      </c>
      <c r="N511">
        <v>0</v>
      </c>
      <c r="O511">
        <v>0</v>
      </c>
      <c r="P511">
        <v>0</v>
      </c>
      <c r="Q511">
        <v>1</v>
      </c>
      <c r="R511">
        <v>0</v>
      </c>
      <c r="S511">
        <v>1</v>
      </c>
      <c r="T511" t="str">
        <f>IF(mental_health[Sleep_Hours]&lt;5,"Low",IF(mental_health[Sleep_Hours]&lt;7,"Medium","Good"))</f>
        <v>Low</v>
      </c>
      <c r="U511" t="str">
        <f>IF(mental_health[Stress_Level]&lt;=3,"Low",IF(mental_health[Stress_Level]&lt;=7,"Medium","High"))</f>
        <v>Medium</v>
      </c>
      <c r="V511" t="str">
        <f>IF(mental_health[Daily_Screen_Time]&lt;=4,"Low",IF(mental_health[Daily_Screen_Time]&lt;=8,"Medium","High"))</f>
        <v>High</v>
      </c>
    </row>
    <row r="512" spans="1:22" x14ac:dyDescent="0.3">
      <c r="A512">
        <v>511</v>
      </c>
      <c r="B512">
        <v>24</v>
      </c>
      <c r="C512" t="s">
        <v>18</v>
      </c>
      <c r="D512" t="s">
        <v>22</v>
      </c>
      <c r="E512">
        <v>2.9</v>
      </c>
      <c r="F512">
        <v>4.3</v>
      </c>
      <c r="G512">
        <v>0</v>
      </c>
      <c r="H512" t="str">
        <f t="shared" si="7"/>
        <v>No Night Usage</v>
      </c>
      <c r="I512">
        <v>5</v>
      </c>
      <c r="J512" s="3">
        <v>7</v>
      </c>
      <c r="K512">
        <v>4.8</v>
      </c>
      <c r="L512" t="s">
        <v>25</v>
      </c>
      <c r="M512">
        <v>9</v>
      </c>
      <c r="N512">
        <v>4</v>
      </c>
      <c r="O512">
        <v>0</v>
      </c>
      <c r="P512">
        <v>0</v>
      </c>
      <c r="Q512">
        <v>1</v>
      </c>
      <c r="R512">
        <v>0</v>
      </c>
      <c r="S512">
        <v>0</v>
      </c>
      <c r="T512" t="str">
        <f>IF(mental_health[Sleep_Hours]&lt;5,"Low",IF(mental_health[Sleep_Hours]&lt;7,"Medium","Good"))</f>
        <v>Medium</v>
      </c>
      <c r="U512" t="str">
        <f>IF(mental_health[Stress_Level]&lt;=3,"Low",IF(mental_health[Stress_Level]&lt;=7,"Medium","High"))</f>
        <v>Medium</v>
      </c>
      <c r="V512" t="str">
        <f>IF(mental_health[Daily_Screen_Time]&lt;=4,"Low",IF(mental_health[Daily_Screen_Time]&lt;=8,"Medium","High"))</f>
        <v>Low</v>
      </c>
    </row>
    <row r="513" spans="1:22" x14ac:dyDescent="0.3">
      <c r="A513">
        <v>512</v>
      </c>
      <c r="B513">
        <v>39</v>
      </c>
      <c r="C513" t="s">
        <v>18</v>
      </c>
      <c r="D513" t="s">
        <v>24</v>
      </c>
      <c r="E513">
        <v>10.1</v>
      </c>
      <c r="F513">
        <v>1.4</v>
      </c>
      <c r="G513">
        <v>0</v>
      </c>
      <c r="H513" t="str">
        <f t="shared" si="7"/>
        <v>No Night Usage</v>
      </c>
      <c r="I513">
        <v>7.9</v>
      </c>
      <c r="J513" s="3">
        <v>10</v>
      </c>
      <c r="K513">
        <v>11</v>
      </c>
      <c r="L513" t="s">
        <v>20</v>
      </c>
      <c r="M513">
        <v>9</v>
      </c>
      <c r="N513">
        <v>3</v>
      </c>
      <c r="O513">
        <v>1</v>
      </c>
      <c r="P513">
        <v>0</v>
      </c>
      <c r="Q513">
        <v>0</v>
      </c>
      <c r="R513">
        <v>0</v>
      </c>
      <c r="S513">
        <v>0</v>
      </c>
      <c r="T513" t="str">
        <f>IF(mental_health[Sleep_Hours]&lt;5,"Low",IF(mental_health[Sleep_Hours]&lt;7,"Medium","Good"))</f>
        <v>Good</v>
      </c>
      <c r="U513" t="str">
        <f>IF(mental_health[Stress_Level]&lt;=3,"Low",IF(mental_health[Stress_Level]&lt;=7,"Medium","High"))</f>
        <v>High</v>
      </c>
      <c r="V513" t="str">
        <f>IF(mental_health[Daily_Screen_Time]&lt;=4,"Low",IF(mental_health[Daily_Screen_Time]&lt;=8,"Medium","High"))</f>
        <v>High</v>
      </c>
    </row>
    <row r="514" spans="1:22" x14ac:dyDescent="0.3">
      <c r="A514">
        <v>513</v>
      </c>
      <c r="B514">
        <v>50</v>
      </c>
      <c r="C514" t="s">
        <v>23</v>
      </c>
      <c r="D514" t="s">
        <v>24</v>
      </c>
      <c r="E514">
        <v>4.8</v>
      </c>
      <c r="F514">
        <v>1.3</v>
      </c>
      <c r="G514">
        <v>0</v>
      </c>
      <c r="H514" t="str">
        <f t="shared" ref="H514:H577" si="8">IF(G514=1,"Night Usage","No Night Usage")</f>
        <v>No Night Usage</v>
      </c>
      <c r="I514">
        <v>7.2</v>
      </c>
      <c r="J514" s="3">
        <v>1</v>
      </c>
      <c r="K514">
        <v>9.9</v>
      </c>
      <c r="L514" t="s">
        <v>20</v>
      </c>
      <c r="M514">
        <v>6</v>
      </c>
      <c r="N514">
        <v>3</v>
      </c>
      <c r="O514">
        <v>0</v>
      </c>
      <c r="P514">
        <v>0</v>
      </c>
      <c r="Q514">
        <v>1</v>
      </c>
      <c r="R514">
        <v>0</v>
      </c>
      <c r="S514">
        <v>1</v>
      </c>
      <c r="T514" t="str">
        <f>IF(mental_health[Sleep_Hours]&lt;5,"Low",IF(mental_health[Sleep_Hours]&lt;7,"Medium","Good"))</f>
        <v>Good</v>
      </c>
      <c r="U514" t="str">
        <f>IF(mental_health[Stress_Level]&lt;=3,"Low",IF(mental_health[Stress_Level]&lt;=7,"Medium","High"))</f>
        <v>Low</v>
      </c>
      <c r="V514" t="str">
        <f>IF(mental_health[Daily_Screen_Time]&lt;=4,"Low",IF(mental_health[Daily_Screen_Time]&lt;=8,"Medium","High"))</f>
        <v>Medium</v>
      </c>
    </row>
    <row r="515" spans="1:22" x14ac:dyDescent="0.3">
      <c r="A515">
        <v>514</v>
      </c>
      <c r="B515">
        <v>50</v>
      </c>
      <c r="C515" t="s">
        <v>18</v>
      </c>
      <c r="D515" t="s">
        <v>22</v>
      </c>
      <c r="E515">
        <v>3.3</v>
      </c>
      <c r="F515">
        <v>6</v>
      </c>
      <c r="G515">
        <v>0</v>
      </c>
      <c r="H515" t="str">
        <f t="shared" si="8"/>
        <v>No Night Usage</v>
      </c>
      <c r="I515">
        <v>7.6</v>
      </c>
      <c r="J515" s="3">
        <v>1</v>
      </c>
      <c r="K515">
        <v>7.8</v>
      </c>
      <c r="L515" t="s">
        <v>20</v>
      </c>
      <c r="M515">
        <v>2</v>
      </c>
      <c r="N515">
        <v>3</v>
      </c>
      <c r="O515">
        <v>0</v>
      </c>
      <c r="P515">
        <v>0</v>
      </c>
      <c r="Q515">
        <v>1</v>
      </c>
      <c r="R515">
        <v>0</v>
      </c>
      <c r="S515">
        <v>0</v>
      </c>
      <c r="T515" t="str">
        <f>IF(mental_health[Sleep_Hours]&lt;5,"Low",IF(mental_health[Sleep_Hours]&lt;7,"Medium","Good"))</f>
        <v>Good</v>
      </c>
      <c r="U515" t="str">
        <f>IF(mental_health[Stress_Level]&lt;=3,"Low",IF(mental_health[Stress_Level]&lt;=7,"Medium","High"))</f>
        <v>Low</v>
      </c>
      <c r="V515" t="str">
        <f>IF(mental_health[Daily_Screen_Time]&lt;=4,"Low",IF(mental_health[Daily_Screen_Time]&lt;=8,"Medium","High"))</f>
        <v>Low</v>
      </c>
    </row>
    <row r="516" spans="1:22" x14ac:dyDescent="0.3">
      <c r="A516">
        <v>515</v>
      </c>
      <c r="B516">
        <v>51</v>
      </c>
      <c r="C516" t="s">
        <v>23</v>
      </c>
      <c r="D516" t="s">
        <v>19</v>
      </c>
      <c r="E516">
        <v>6.4</v>
      </c>
      <c r="F516">
        <v>4.8</v>
      </c>
      <c r="G516">
        <v>1</v>
      </c>
      <c r="H516" t="str">
        <f t="shared" si="8"/>
        <v>Night Usage</v>
      </c>
      <c r="I516">
        <v>5.6</v>
      </c>
      <c r="J516" s="3">
        <v>7</v>
      </c>
      <c r="K516">
        <v>8.6999999999999993</v>
      </c>
      <c r="L516" t="s">
        <v>20</v>
      </c>
      <c r="M516">
        <v>9</v>
      </c>
      <c r="N516">
        <v>3</v>
      </c>
      <c r="O516">
        <v>1</v>
      </c>
      <c r="P516">
        <v>0</v>
      </c>
      <c r="Q516">
        <v>1</v>
      </c>
      <c r="R516">
        <v>1</v>
      </c>
      <c r="S516">
        <v>1</v>
      </c>
      <c r="T516" t="str">
        <f>IF(mental_health[Sleep_Hours]&lt;5,"Low",IF(mental_health[Sleep_Hours]&lt;7,"Medium","Good"))</f>
        <v>Medium</v>
      </c>
      <c r="U516" t="str">
        <f>IF(mental_health[Stress_Level]&lt;=3,"Low",IF(mental_health[Stress_Level]&lt;=7,"Medium","High"))</f>
        <v>Medium</v>
      </c>
      <c r="V516" t="str">
        <f>IF(mental_health[Daily_Screen_Time]&lt;=4,"Low",IF(mental_health[Daily_Screen_Time]&lt;=8,"Medium","High"))</f>
        <v>Medium</v>
      </c>
    </row>
    <row r="517" spans="1:22" x14ac:dyDescent="0.3">
      <c r="A517">
        <v>516</v>
      </c>
      <c r="B517">
        <v>33</v>
      </c>
      <c r="C517" t="s">
        <v>23</v>
      </c>
      <c r="D517" t="s">
        <v>24</v>
      </c>
      <c r="E517">
        <v>8.4</v>
      </c>
      <c r="F517">
        <v>4.5999999999999996</v>
      </c>
      <c r="G517">
        <v>1</v>
      </c>
      <c r="H517" t="str">
        <f t="shared" si="8"/>
        <v>Night Usage</v>
      </c>
      <c r="I517">
        <v>7.3</v>
      </c>
      <c r="J517" s="3">
        <v>3</v>
      </c>
      <c r="K517">
        <v>5.3</v>
      </c>
      <c r="L517" t="s">
        <v>25</v>
      </c>
      <c r="M517">
        <v>2</v>
      </c>
      <c r="N517">
        <v>0</v>
      </c>
      <c r="O517">
        <v>0</v>
      </c>
      <c r="P517">
        <v>1</v>
      </c>
      <c r="Q517">
        <v>1</v>
      </c>
      <c r="R517">
        <v>0</v>
      </c>
      <c r="S517">
        <v>1</v>
      </c>
      <c r="T517" t="str">
        <f>IF(mental_health[Sleep_Hours]&lt;5,"Low",IF(mental_health[Sleep_Hours]&lt;7,"Medium","Good"))</f>
        <v>Good</v>
      </c>
      <c r="U517" t="str">
        <f>IF(mental_health[Stress_Level]&lt;=3,"Low",IF(mental_health[Stress_Level]&lt;=7,"Medium","High"))</f>
        <v>Low</v>
      </c>
      <c r="V517" t="str">
        <f>IF(mental_health[Daily_Screen_Time]&lt;=4,"Low",IF(mental_health[Daily_Screen_Time]&lt;=8,"Medium","High"))</f>
        <v>High</v>
      </c>
    </row>
    <row r="518" spans="1:22" x14ac:dyDescent="0.3">
      <c r="A518">
        <v>517</v>
      </c>
      <c r="B518">
        <v>54</v>
      </c>
      <c r="C518" t="s">
        <v>18</v>
      </c>
      <c r="D518" t="s">
        <v>19</v>
      </c>
      <c r="E518">
        <v>5.8</v>
      </c>
      <c r="F518">
        <v>2.7</v>
      </c>
      <c r="G518">
        <v>1</v>
      </c>
      <c r="H518" t="str">
        <f t="shared" si="8"/>
        <v>Night Usage</v>
      </c>
      <c r="I518">
        <v>5.3</v>
      </c>
      <c r="J518" s="3">
        <v>3</v>
      </c>
      <c r="K518">
        <v>7.7</v>
      </c>
      <c r="L518" t="s">
        <v>25</v>
      </c>
      <c r="M518">
        <v>3</v>
      </c>
      <c r="N518">
        <v>3</v>
      </c>
      <c r="O518">
        <v>0</v>
      </c>
      <c r="P518">
        <v>0</v>
      </c>
      <c r="Q518">
        <v>1</v>
      </c>
      <c r="R518">
        <v>1</v>
      </c>
      <c r="S518">
        <v>0</v>
      </c>
      <c r="T518" t="str">
        <f>IF(mental_health[Sleep_Hours]&lt;5,"Low",IF(mental_health[Sleep_Hours]&lt;7,"Medium","Good"))</f>
        <v>Medium</v>
      </c>
      <c r="U518" t="str">
        <f>IF(mental_health[Stress_Level]&lt;=3,"Low",IF(mental_health[Stress_Level]&lt;=7,"Medium","High"))</f>
        <v>Low</v>
      </c>
      <c r="V518" t="str">
        <f>IF(mental_health[Daily_Screen_Time]&lt;=4,"Low",IF(mental_health[Daily_Screen_Time]&lt;=8,"Medium","High"))</f>
        <v>Medium</v>
      </c>
    </row>
    <row r="519" spans="1:22" x14ac:dyDescent="0.3">
      <c r="A519">
        <v>518</v>
      </c>
      <c r="B519">
        <v>47</v>
      </c>
      <c r="C519" t="s">
        <v>18</v>
      </c>
      <c r="D519" t="s">
        <v>19</v>
      </c>
      <c r="E519">
        <v>2.5</v>
      </c>
      <c r="F519">
        <v>6.2</v>
      </c>
      <c r="G519">
        <v>1</v>
      </c>
      <c r="H519" t="str">
        <f t="shared" si="8"/>
        <v>Night Usage</v>
      </c>
      <c r="I519">
        <v>4.3</v>
      </c>
      <c r="J519" s="3">
        <v>5</v>
      </c>
      <c r="K519">
        <v>4.9000000000000004</v>
      </c>
      <c r="L519" t="s">
        <v>21</v>
      </c>
      <c r="M519">
        <v>6</v>
      </c>
      <c r="N519">
        <v>1</v>
      </c>
      <c r="O519">
        <v>1</v>
      </c>
      <c r="P519">
        <v>1</v>
      </c>
      <c r="Q519">
        <v>1</v>
      </c>
      <c r="R519">
        <v>0</v>
      </c>
      <c r="S519">
        <v>0</v>
      </c>
      <c r="T519" t="str">
        <f>IF(mental_health[Sleep_Hours]&lt;5,"Low",IF(mental_health[Sleep_Hours]&lt;7,"Medium","Good"))</f>
        <v>Low</v>
      </c>
      <c r="U519" t="str">
        <f>IF(mental_health[Stress_Level]&lt;=3,"Low",IF(mental_health[Stress_Level]&lt;=7,"Medium","High"))</f>
        <v>Medium</v>
      </c>
      <c r="V519" t="str">
        <f>IF(mental_health[Daily_Screen_Time]&lt;=4,"Low",IF(mental_health[Daily_Screen_Time]&lt;=8,"Medium","High"))</f>
        <v>Low</v>
      </c>
    </row>
    <row r="520" spans="1:22" x14ac:dyDescent="0.3">
      <c r="A520">
        <v>519</v>
      </c>
      <c r="B520">
        <v>39</v>
      </c>
      <c r="C520" t="s">
        <v>18</v>
      </c>
      <c r="D520" t="s">
        <v>24</v>
      </c>
      <c r="E520">
        <v>8</v>
      </c>
      <c r="F520">
        <v>2.2000000000000002</v>
      </c>
      <c r="G520">
        <v>0</v>
      </c>
      <c r="H520" t="str">
        <f t="shared" si="8"/>
        <v>No Night Usage</v>
      </c>
      <c r="I520">
        <v>6.8</v>
      </c>
      <c r="J520" s="3">
        <v>6</v>
      </c>
      <c r="K520">
        <v>6</v>
      </c>
      <c r="L520" t="s">
        <v>21</v>
      </c>
      <c r="M520">
        <v>2</v>
      </c>
      <c r="N520">
        <v>2</v>
      </c>
      <c r="O520">
        <v>1</v>
      </c>
      <c r="P520">
        <v>0</v>
      </c>
      <c r="Q520">
        <v>0</v>
      </c>
      <c r="R520">
        <v>0</v>
      </c>
      <c r="S520">
        <v>0</v>
      </c>
      <c r="T520" t="str">
        <f>IF(mental_health[Sleep_Hours]&lt;5,"Low",IF(mental_health[Sleep_Hours]&lt;7,"Medium","Good"))</f>
        <v>Medium</v>
      </c>
      <c r="U520" t="str">
        <f>IF(mental_health[Stress_Level]&lt;=3,"Low",IF(mental_health[Stress_Level]&lt;=7,"Medium","High"))</f>
        <v>Medium</v>
      </c>
      <c r="V520" t="str">
        <f>IF(mental_health[Daily_Screen_Time]&lt;=4,"Low",IF(mental_health[Daily_Screen_Time]&lt;=8,"Medium","High"))</f>
        <v>Medium</v>
      </c>
    </row>
    <row r="521" spans="1:22" x14ac:dyDescent="0.3">
      <c r="A521">
        <v>520</v>
      </c>
      <c r="B521">
        <v>38</v>
      </c>
      <c r="C521" t="s">
        <v>18</v>
      </c>
      <c r="D521" t="s">
        <v>19</v>
      </c>
      <c r="E521">
        <v>11</v>
      </c>
      <c r="F521">
        <v>2.2999999999999998</v>
      </c>
      <c r="G521">
        <v>1</v>
      </c>
      <c r="H521" t="str">
        <f t="shared" si="8"/>
        <v>Night Usage</v>
      </c>
      <c r="I521">
        <v>8.9</v>
      </c>
      <c r="J521" s="3">
        <v>2</v>
      </c>
      <c r="K521">
        <v>9.6</v>
      </c>
      <c r="L521" t="s">
        <v>20</v>
      </c>
      <c r="M521">
        <v>5</v>
      </c>
      <c r="N521">
        <v>0</v>
      </c>
      <c r="O521">
        <v>0</v>
      </c>
      <c r="P521">
        <v>1</v>
      </c>
      <c r="Q521">
        <v>1</v>
      </c>
      <c r="R521">
        <v>1</v>
      </c>
      <c r="S521">
        <v>0</v>
      </c>
      <c r="T521" t="str">
        <f>IF(mental_health[Sleep_Hours]&lt;5,"Low",IF(mental_health[Sleep_Hours]&lt;7,"Medium","Good"))</f>
        <v>Good</v>
      </c>
      <c r="U521" t="str">
        <f>IF(mental_health[Stress_Level]&lt;=3,"Low",IF(mental_health[Stress_Level]&lt;=7,"Medium","High"))</f>
        <v>Low</v>
      </c>
      <c r="V521" t="str">
        <f>IF(mental_health[Daily_Screen_Time]&lt;=4,"Low",IF(mental_health[Daily_Screen_Time]&lt;=8,"Medium","High"))</f>
        <v>High</v>
      </c>
    </row>
    <row r="522" spans="1:22" x14ac:dyDescent="0.3">
      <c r="A522">
        <v>521</v>
      </c>
      <c r="B522">
        <v>47</v>
      </c>
      <c r="C522" t="s">
        <v>23</v>
      </c>
      <c r="D522" t="s">
        <v>19</v>
      </c>
      <c r="E522">
        <v>5.8</v>
      </c>
      <c r="F522">
        <v>4.2</v>
      </c>
      <c r="G522">
        <v>0</v>
      </c>
      <c r="H522" t="str">
        <f t="shared" si="8"/>
        <v>No Night Usage</v>
      </c>
      <c r="I522">
        <v>4.9000000000000004</v>
      </c>
      <c r="J522" s="3">
        <v>3</v>
      </c>
      <c r="K522">
        <v>4.4000000000000004</v>
      </c>
      <c r="L522" t="s">
        <v>25</v>
      </c>
      <c r="M522">
        <v>2</v>
      </c>
      <c r="N522">
        <v>0</v>
      </c>
      <c r="O522">
        <v>1</v>
      </c>
      <c r="P522">
        <v>0</v>
      </c>
      <c r="Q522">
        <v>0</v>
      </c>
      <c r="R522">
        <v>0</v>
      </c>
      <c r="S522">
        <v>1</v>
      </c>
      <c r="T522" t="str">
        <f>IF(mental_health[Sleep_Hours]&lt;5,"Low",IF(mental_health[Sleep_Hours]&lt;7,"Medium","Good"))</f>
        <v>Low</v>
      </c>
      <c r="U522" t="str">
        <f>IF(mental_health[Stress_Level]&lt;=3,"Low",IF(mental_health[Stress_Level]&lt;=7,"Medium","High"))</f>
        <v>Low</v>
      </c>
      <c r="V522" t="str">
        <f>IF(mental_health[Daily_Screen_Time]&lt;=4,"Low",IF(mental_health[Daily_Screen_Time]&lt;=8,"Medium","High"))</f>
        <v>Medium</v>
      </c>
    </row>
    <row r="523" spans="1:22" x14ac:dyDescent="0.3">
      <c r="A523">
        <v>522</v>
      </c>
      <c r="B523">
        <v>52</v>
      </c>
      <c r="C523" t="s">
        <v>23</v>
      </c>
      <c r="D523" t="s">
        <v>22</v>
      </c>
      <c r="E523">
        <v>4.2</v>
      </c>
      <c r="F523">
        <v>3</v>
      </c>
      <c r="G523">
        <v>1</v>
      </c>
      <c r="H523" t="str">
        <f t="shared" si="8"/>
        <v>Night Usage</v>
      </c>
      <c r="I523">
        <v>5.8</v>
      </c>
      <c r="J523" s="3">
        <v>6</v>
      </c>
      <c r="K523">
        <v>10.4</v>
      </c>
      <c r="L523" t="s">
        <v>21</v>
      </c>
      <c r="M523">
        <v>4</v>
      </c>
      <c r="N523">
        <v>3</v>
      </c>
      <c r="O523">
        <v>0</v>
      </c>
      <c r="P523">
        <v>0</v>
      </c>
      <c r="Q523">
        <v>1</v>
      </c>
      <c r="R523">
        <v>0</v>
      </c>
      <c r="S523">
        <v>0</v>
      </c>
      <c r="T523" t="str">
        <f>IF(mental_health[Sleep_Hours]&lt;5,"Low",IF(mental_health[Sleep_Hours]&lt;7,"Medium","Good"))</f>
        <v>Medium</v>
      </c>
      <c r="U523" t="str">
        <f>IF(mental_health[Stress_Level]&lt;=3,"Low",IF(mental_health[Stress_Level]&lt;=7,"Medium","High"))</f>
        <v>Medium</v>
      </c>
      <c r="V523" t="str">
        <f>IF(mental_health[Daily_Screen_Time]&lt;=4,"Low",IF(mental_health[Daily_Screen_Time]&lt;=8,"Medium","High"))</f>
        <v>Medium</v>
      </c>
    </row>
    <row r="524" spans="1:22" x14ac:dyDescent="0.3">
      <c r="A524">
        <v>523</v>
      </c>
      <c r="B524">
        <v>27</v>
      </c>
      <c r="C524" t="s">
        <v>23</v>
      </c>
      <c r="D524" t="s">
        <v>19</v>
      </c>
      <c r="E524">
        <v>6.4</v>
      </c>
      <c r="F524">
        <v>2.7</v>
      </c>
      <c r="G524">
        <v>0</v>
      </c>
      <c r="H524" t="str">
        <f t="shared" si="8"/>
        <v>No Night Usage</v>
      </c>
      <c r="I524">
        <v>7</v>
      </c>
      <c r="J524" s="3">
        <v>3</v>
      </c>
      <c r="K524">
        <v>5.8</v>
      </c>
      <c r="L524" t="s">
        <v>21</v>
      </c>
      <c r="M524">
        <v>3</v>
      </c>
      <c r="N524">
        <v>3</v>
      </c>
      <c r="O524">
        <v>0</v>
      </c>
      <c r="P524">
        <v>0</v>
      </c>
      <c r="Q524">
        <v>0</v>
      </c>
      <c r="R524">
        <v>0</v>
      </c>
      <c r="S524">
        <v>0</v>
      </c>
      <c r="T524" t="str">
        <f>IF(mental_health[Sleep_Hours]&lt;5,"Low",IF(mental_health[Sleep_Hours]&lt;7,"Medium","Good"))</f>
        <v>Good</v>
      </c>
      <c r="U524" t="str">
        <f>IF(mental_health[Stress_Level]&lt;=3,"Low",IF(mental_health[Stress_Level]&lt;=7,"Medium","High"))</f>
        <v>Low</v>
      </c>
      <c r="V524" t="str">
        <f>IF(mental_health[Daily_Screen_Time]&lt;=4,"Low",IF(mental_health[Daily_Screen_Time]&lt;=8,"Medium","High"))</f>
        <v>Medium</v>
      </c>
    </row>
    <row r="525" spans="1:22" x14ac:dyDescent="0.3">
      <c r="A525">
        <v>524</v>
      </c>
      <c r="B525">
        <v>28</v>
      </c>
      <c r="C525" t="s">
        <v>18</v>
      </c>
      <c r="D525" t="s">
        <v>22</v>
      </c>
      <c r="E525">
        <v>2.5</v>
      </c>
      <c r="F525">
        <v>5.5</v>
      </c>
      <c r="G525">
        <v>0</v>
      </c>
      <c r="H525" t="str">
        <f t="shared" si="8"/>
        <v>No Night Usage</v>
      </c>
      <c r="I525">
        <v>6.2</v>
      </c>
      <c r="J525" s="3">
        <v>5</v>
      </c>
      <c r="K525">
        <v>7.3</v>
      </c>
      <c r="L525" t="s">
        <v>21</v>
      </c>
      <c r="M525">
        <v>5</v>
      </c>
      <c r="N525">
        <v>0</v>
      </c>
      <c r="O525">
        <v>1</v>
      </c>
      <c r="P525">
        <v>0</v>
      </c>
      <c r="Q525">
        <v>0</v>
      </c>
      <c r="R525">
        <v>0</v>
      </c>
      <c r="S525">
        <v>0</v>
      </c>
      <c r="T525" t="str">
        <f>IF(mental_health[Sleep_Hours]&lt;5,"Low",IF(mental_health[Sleep_Hours]&lt;7,"Medium","Good"))</f>
        <v>Medium</v>
      </c>
      <c r="U525" t="str">
        <f>IF(mental_health[Stress_Level]&lt;=3,"Low",IF(mental_health[Stress_Level]&lt;=7,"Medium","High"))</f>
        <v>Medium</v>
      </c>
      <c r="V525" t="str">
        <f>IF(mental_health[Daily_Screen_Time]&lt;=4,"Low",IF(mental_health[Daily_Screen_Time]&lt;=8,"Medium","High"))</f>
        <v>Low</v>
      </c>
    </row>
    <row r="526" spans="1:22" x14ac:dyDescent="0.3">
      <c r="A526">
        <v>525</v>
      </c>
      <c r="B526">
        <v>38</v>
      </c>
      <c r="C526" t="s">
        <v>18</v>
      </c>
      <c r="D526" t="s">
        <v>24</v>
      </c>
      <c r="E526">
        <v>10.199999999999999</v>
      </c>
      <c r="F526">
        <v>5.6</v>
      </c>
      <c r="G526">
        <v>0</v>
      </c>
      <c r="H526" t="str">
        <f t="shared" si="8"/>
        <v>No Night Usage</v>
      </c>
      <c r="I526">
        <v>8.1</v>
      </c>
      <c r="J526" s="3">
        <v>9</v>
      </c>
      <c r="K526">
        <v>11.4</v>
      </c>
      <c r="L526" t="s">
        <v>21</v>
      </c>
      <c r="M526">
        <v>6</v>
      </c>
      <c r="N526">
        <v>3</v>
      </c>
      <c r="O526">
        <v>0</v>
      </c>
      <c r="P526">
        <v>1</v>
      </c>
      <c r="Q526">
        <v>0</v>
      </c>
      <c r="R526">
        <v>0</v>
      </c>
      <c r="S526">
        <v>1</v>
      </c>
      <c r="T526" t="str">
        <f>IF(mental_health[Sleep_Hours]&lt;5,"Low",IF(mental_health[Sleep_Hours]&lt;7,"Medium","Good"))</f>
        <v>Good</v>
      </c>
      <c r="U526" t="str">
        <f>IF(mental_health[Stress_Level]&lt;=3,"Low",IF(mental_health[Stress_Level]&lt;=7,"Medium","High"))</f>
        <v>High</v>
      </c>
      <c r="V526" t="str">
        <f>IF(mental_health[Daily_Screen_Time]&lt;=4,"Low",IF(mental_health[Daily_Screen_Time]&lt;=8,"Medium","High"))</f>
        <v>High</v>
      </c>
    </row>
    <row r="527" spans="1:22" x14ac:dyDescent="0.3">
      <c r="A527">
        <v>526</v>
      </c>
      <c r="B527">
        <v>40</v>
      </c>
      <c r="C527" t="s">
        <v>18</v>
      </c>
      <c r="D527" t="s">
        <v>24</v>
      </c>
      <c r="E527">
        <v>10.3</v>
      </c>
      <c r="F527">
        <v>6.8</v>
      </c>
      <c r="G527">
        <v>0</v>
      </c>
      <c r="H527" t="str">
        <f t="shared" si="8"/>
        <v>No Night Usage</v>
      </c>
      <c r="I527">
        <v>7.6</v>
      </c>
      <c r="J527" s="3">
        <v>3</v>
      </c>
      <c r="K527">
        <v>8.8000000000000007</v>
      </c>
      <c r="L527" t="s">
        <v>20</v>
      </c>
      <c r="M527">
        <v>7</v>
      </c>
      <c r="N527">
        <v>3</v>
      </c>
      <c r="O527">
        <v>1</v>
      </c>
      <c r="P527">
        <v>0</v>
      </c>
      <c r="Q527">
        <v>0</v>
      </c>
      <c r="R527">
        <v>0</v>
      </c>
      <c r="S527">
        <v>0</v>
      </c>
      <c r="T527" t="str">
        <f>IF(mental_health[Sleep_Hours]&lt;5,"Low",IF(mental_health[Sleep_Hours]&lt;7,"Medium","Good"))</f>
        <v>Good</v>
      </c>
      <c r="U527" t="str">
        <f>IF(mental_health[Stress_Level]&lt;=3,"Low",IF(mental_health[Stress_Level]&lt;=7,"Medium","High"))</f>
        <v>Low</v>
      </c>
      <c r="V527" t="str">
        <f>IF(mental_health[Daily_Screen_Time]&lt;=4,"Low",IF(mental_health[Daily_Screen_Time]&lt;=8,"Medium","High"))</f>
        <v>High</v>
      </c>
    </row>
    <row r="528" spans="1:22" x14ac:dyDescent="0.3">
      <c r="A528">
        <v>527</v>
      </c>
      <c r="B528">
        <v>50</v>
      </c>
      <c r="C528" t="s">
        <v>23</v>
      </c>
      <c r="D528" t="s">
        <v>22</v>
      </c>
      <c r="E528">
        <v>7.9</v>
      </c>
      <c r="F528">
        <v>3.9</v>
      </c>
      <c r="G528">
        <v>0</v>
      </c>
      <c r="H528" t="str">
        <f t="shared" si="8"/>
        <v>No Night Usage</v>
      </c>
      <c r="I528">
        <v>3.3</v>
      </c>
      <c r="J528" s="3">
        <v>6</v>
      </c>
      <c r="K528">
        <v>8.5</v>
      </c>
      <c r="L528" t="s">
        <v>25</v>
      </c>
      <c r="M528">
        <v>10</v>
      </c>
      <c r="N528">
        <v>3</v>
      </c>
      <c r="O528">
        <v>1</v>
      </c>
      <c r="P528">
        <v>1</v>
      </c>
      <c r="Q528">
        <v>0</v>
      </c>
      <c r="R528">
        <v>1</v>
      </c>
      <c r="S528">
        <v>0</v>
      </c>
      <c r="T528" t="str">
        <f>IF(mental_health[Sleep_Hours]&lt;5,"Low",IF(mental_health[Sleep_Hours]&lt;7,"Medium","Good"))</f>
        <v>Low</v>
      </c>
      <c r="U528" t="str">
        <f>IF(mental_health[Stress_Level]&lt;=3,"Low",IF(mental_health[Stress_Level]&lt;=7,"Medium","High"))</f>
        <v>Medium</v>
      </c>
      <c r="V528" t="str">
        <f>IF(mental_health[Daily_Screen_Time]&lt;=4,"Low",IF(mental_health[Daily_Screen_Time]&lt;=8,"Medium","High"))</f>
        <v>Medium</v>
      </c>
    </row>
    <row r="529" spans="1:22" x14ac:dyDescent="0.3">
      <c r="A529">
        <v>528</v>
      </c>
      <c r="B529">
        <v>56</v>
      </c>
      <c r="C529" t="s">
        <v>18</v>
      </c>
      <c r="D529" t="s">
        <v>24</v>
      </c>
      <c r="E529">
        <v>5.5</v>
      </c>
      <c r="F529">
        <v>1.5</v>
      </c>
      <c r="G529">
        <v>1</v>
      </c>
      <c r="H529" t="str">
        <f t="shared" si="8"/>
        <v>Night Usage</v>
      </c>
      <c r="I529">
        <v>9</v>
      </c>
      <c r="J529" s="3">
        <v>5</v>
      </c>
      <c r="K529">
        <v>9.1</v>
      </c>
      <c r="L529" t="s">
        <v>20</v>
      </c>
      <c r="M529">
        <v>8</v>
      </c>
      <c r="N529">
        <v>3</v>
      </c>
      <c r="O529">
        <v>1</v>
      </c>
      <c r="P529">
        <v>0</v>
      </c>
      <c r="Q529">
        <v>0</v>
      </c>
      <c r="R529">
        <v>1</v>
      </c>
      <c r="S529">
        <v>0</v>
      </c>
      <c r="T529" t="str">
        <f>IF(mental_health[Sleep_Hours]&lt;5,"Low",IF(mental_health[Sleep_Hours]&lt;7,"Medium","Good"))</f>
        <v>Good</v>
      </c>
      <c r="U529" t="str">
        <f>IF(mental_health[Stress_Level]&lt;=3,"Low",IF(mental_health[Stress_Level]&lt;=7,"Medium","High"))</f>
        <v>Medium</v>
      </c>
      <c r="V529" t="str">
        <f>IF(mental_health[Daily_Screen_Time]&lt;=4,"Low",IF(mental_health[Daily_Screen_Time]&lt;=8,"Medium","High"))</f>
        <v>Medium</v>
      </c>
    </row>
    <row r="530" spans="1:22" x14ac:dyDescent="0.3">
      <c r="A530">
        <v>529</v>
      </c>
      <c r="B530">
        <v>45</v>
      </c>
      <c r="C530" t="s">
        <v>23</v>
      </c>
      <c r="D530" t="s">
        <v>19</v>
      </c>
      <c r="E530">
        <v>10</v>
      </c>
      <c r="F530">
        <v>2.9</v>
      </c>
      <c r="G530">
        <v>0</v>
      </c>
      <c r="H530" t="str">
        <f t="shared" si="8"/>
        <v>No Night Usage</v>
      </c>
      <c r="I530">
        <v>7.5</v>
      </c>
      <c r="J530" s="3">
        <v>5</v>
      </c>
      <c r="K530">
        <v>11.2</v>
      </c>
      <c r="L530" t="s">
        <v>21</v>
      </c>
      <c r="M530">
        <v>9</v>
      </c>
      <c r="N530">
        <v>3</v>
      </c>
      <c r="O530">
        <v>0</v>
      </c>
      <c r="P530">
        <v>0</v>
      </c>
      <c r="Q530">
        <v>0</v>
      </c>
      <c r="R530">
        <v>0</v>
      </c>
      <c r="S530">
        <v>0</v>
      </c>
      <c r="T530" t="str">
        <f>IF(mental_health[Sleep_Hours]&lt;5,"Low",IF(mental_health[Sleep_Hours]&lt;7,"Medium","Good"))</f>
        <v>Good</v>
      </c>
      <c r="U530" t="str">
        <f>IF(mental_health[Stress_Level]&lt;=3,"Low",IF(mental_health[Stress_Level]&lt;=7,"Medium","High"))</f>
        <v>Medium</v>
      </c>
      <c r="V530" t="str">
        <f>IF(mental_health[Daily_Screen_Time]&lt;=4,"Low",IF(mental_health[Daily_Screen_Time]&lt;=8,"Medium","High"))</f>
        <v>High</v>
      </c>
    </row>
    <row r="531" spans="1:22" x14ac:dyDescent="0.3">
      <c r="A531">
        <v>530</v>
      </c>
      <c r="B531">
        <v>32</v>
      </c>
      <c r="C531" t="s">
        <v>18</v>
      </c>
      <c r="D531" t="s">
        <v>19</v>
      </c>
      <c r="E531">
        <v>7.5</v>
      </c>
      <c r="F531">
        <v>7.9</v>
      </c>
      <c r="G531">
        <v>1</v>
      </c>
      <c r="H531" t="str">
        <f t="shared" si="8"/>
        <v>Night Usage</v>
      </c>
      <c r="I531">
        <v>8.1999999999999993</v>
      </c>
      <c r="J531" s="3">
        <v>6</v>
      </c>
      <c r="K531">
        <v>4.5</v>
      </c>
      <c r="L531" t="s">
        <v>21</v>
      </c>
      <c r="M531">
        <v>4</v>
      </c>
      <c r="N531">
        <v>4</v>
      </c>
      <c r="O531">
        <v>1</v>
      </c>
      <c r="P531">
        <v>0</v>
      </c>
      <c r="Q531">
        <v>0</v>
      </c>
      <c r="R531">
        <v>0</v>
      </c>
      <c r="S531">
        <v>0</v>
      </c>
      <c r="T531" t="str">
        <f>IF(mental_health[Sleep_Hours]&lt;5,"Low",IF(mental_health[Sleep_Hours]&lt;7,"Medium","Good"))</f>
        <v>Good</v>
      </c>
      <c r="U531" t="str">
        <f>IF(mental_health[Stress_Level]&lt;=3,"Low",IF(mental_health[Stress_Level]&lt;=7,"Medium","High"))</f>
        <v>Medium</v>
      </c>
      <c r="V531" t="str">
        <f>IF(mental_health[Daily_Screen_Time]&lt;=4,"Low",IF(mental_health[Daily_Screen_Time]&lt;=8,"Medium","High"))</f>
        <v>Medium</v>
      </c>
    </row>
    <row r="532" spans="1:22" x14ac:dyDescent="0.3">
      <c r="A532">
        <v>531</v>
      </c>
      <c r="B532">
        <v>35</v>
      </c>
      <c r="C532" t="s">
        <v>23</v>
      </c>
      <c r="D532" t="s">
        <v>19</v>
      </c>
      <c r="E532">
        <v>10.3</v>
      </c>
      <c r="F532">
        <v>5.2</v>
      </c>
      <c r="G532">
        <v>1</v>
      </c>
      <c r="H532" t="str">
        <f t="shared" si="8"/>
        <v>Night Usage</v>
      </c>
      <c r="I532">
        <v>6.9</v>
      </c>
      <c r="J532" s="3">
        <v>6</v>
      </c>
      <c r="K532">
        <v>8.1</v>
      </c>
      <c r="L532" t="s">
        <v>25</v>
      </c>
      <c r="M532">
        <v>4</v>
      </c>
      <c r="N532">
        <v>4</v>
      </c>
      <c r="O532">
        <v>0</v>
      </c>
      <c r="P532">
        <v>0</v>
      </c>
      <c r="Q532">
        <v>1</v>
      </c>
      <c r="R532">
        <v>1</v>
      </c>
      <c r="S532">
        <v>1</v>
      </c>
      <c r="T532" t="str">
        <f>IF(mental_health[Sleep_Hours]&lt;5,"Low",IF(mental_health[Sleep_Hours]&lt;7,"Medium","Good"))</f>
        <v>Medium</v>
      </c>
      <c r="U532" t="str">
        <f>IF(mental_health[Stress_Level]&lt;=3,"Low",IF(mental_health[Stress_Level]&lt;=7,"Medium","High"))</f>
        <v>Medium</v>
      </c>
      <c r="V532" t="str">
        <f>IF(mental_health[Daily_Screen_Time]&lt;=4,"Low",IF(mental_health[Daily_Screen_Time]&lt;=8,"Medium","High"))</f>
        <v>High</v>
      </c>
    </row>
    <row r="533" spans="1:22" x14ac:dyDescent="0.3">
      <c r="A533">
        <v>532</v>
      </c>
      <c r="B533">
        <v>40</v>
      </c>
      <c r="C533" t="s">
        <v>23</v>
      </c>
      <c r="D533" t="s">
        <v>24</v>
      </c>
      <c r="E533">
        <v>8.3000000000000007</v>
      </c>
      <c r="F533">
        <v>6</v>
      </c>
      <c r="G533">
        <v>0</v>
      </c>
      <c r="H533" t="str">
        <f t="shared" si="8"/>
        <v>No Night Usage</v>
      </c>
      <c r="I533">
        <v>8.1</v>
      </c>
      <c r="J533" s="3">
        <v>1</v>
      </c>
      <c r="K533">
        <v>6</v>
      </c>
      <c r="L533" t="s">
        <v>25</v>
      </c>
      <c r="M533">
        <v>7</v>
      </c>
      <c r="N533">
        <v>4</v>
      </c>
      <c r="O533">
        <v>1</v>
      </c>
      <c r="P533">
        <v>1</v>
      </c>
      <c r="Q533">
        <v>0</v>
      </c>
      <c r="R533">
        <v>0</v>
      </c>
      <c r="S533">
        <v>0</v>
      </c>
      <c r="T533" t="str">
        <f>IF(mental_health[Sleep_Hours]&lt;5,"Low",IF(mental_health[Sleep_Hours]&lt;7,"Medium","Good"))</f>
        <v>Good</v>
      </c>
      <c r="U533" t="str">
        <f>IF(mental_health[Stress_Level]&lt;=3,"Low",IF(mental_health[Stress_Level]&lt;=7,"Medium","High"))</f>
        <v>Low</v>
      </c>
      <c r="V533" t="str">
        <f>IF(mental_health[Daily_Screen_Time]&lt;=4,"Low",IF(mental_health[Daily_Screen_Time]&lt;=8,"Medium","High"))</f>
        <v>High</v>
      </c>
    </row>
    <row r="534" spans="1:22" x14ac:dyDescent="0.3">
      <c r="A534">
        <v>533</v>
      </c>
      <c r="B534">
        <v>37</v>
      </c>
      <c r="C534" t="s">
        <v>18</v>
      </c>
      <c r="D534" t="s">
        <v>19</v>
      </c>
      <c r="E534">
        <v>9.8000000000000007</v>
      </c>
      <c r="F534">
        <v>1.1000000000000001</v>
      </c>
      <c r="G534">
        <v>1</v>
      </c>
      <c r="H534" t="str">
        <f t="shared" si="8"/>
        <v>Night Usage</v>
      </c>
      <c r="I534">
        <v>3.7</v>
      </c>
      <c r="J534" s="3">
        <v>9</v>
      </c>
      <c r="K534">
        <v>2.1</v>
      </c>
      <c r="L534" t="s">
        <v>20</v>
      </c>
      <c r="M534">
        <v>10</v>
      </c>
      <c r="N534">
        <v>0</v>
      </c>
      <c r="O534">
        <v>1</v>
      </c>
      <c r="P534">
        <v>1</v>
      </c>
      <c r="Q534">
        <v>0</v>
      </c>
      <c r="R534">
        <v>1</v>
      </c>
      <c r="S534">
        <v>1</v>
      </c>
      <c r="T534" t="str">
        <f>IF(mental_health[Sleep_Hours]&lt;5,"Low",IF(mental_health[Sleep_Hours]&lt;7,"Medium","Good"))</f>
        <v>Low</v>
      </c>
      <c r="U534" t="str">
        <f>IF(mental_health[Stress_Level]&lt;=3,"Low",IF(mental_health[Stress_Level]&lt;=7,"Medium","High"))</f>
        <v>High</v>
      </c>
      <c r="V534" t="str">
        <f>IF(mental_health[Daily_Screen_Time]&lt;=4,"Low",IF(mental_health[Daily_Screen_Time]&lt;=8,"Medium","High"))</f>
        <v>High</v>
      </c>
    </row>
    <row r="535" spans="1:22" x14ac:dyDescent="0.3">
      <c r="A535">
        <v>534</v>
      </c>
      <c r="B535">
        <v>28</v>
      </c>
      <c r="C535" t="s">
        <v>18</v>
      </c>
      <c r="D535" t="s">
        <v>24</v>
      </c>
      <c r="E535">
        <v>8</v>
      </c>
      <c r="F535">
        <v>4.5999999999999996</v>
      </c>
      <c r="G535">
        <v>1</v>
      </c>
      <c r="H535" t="str">
        <f t="shared" si="8"/>
        <v>Night Usage</v>
      </c>
      <c r="I535">
        <v>5.0999999999999996</v>
      </c>
      <c r="J535" s="3">
        <v>5</v>
      </c>
      <c r="K535">
        <v>3.3</v>
      </c>
      <c r="L535" t="s">
        <v>25</v>
      </c>
      <c r="M535">
        <v>10</v>
      </c>
      <c r="N535">
        <v>2</v>
      </c>
      <c r="O535">
        <v>0</v>
      </c>
      <c r="P535">
        <v>1</v>
      </c>
      <c r="Q535">
        <v>1</v>
      </c>
      <c r="R535">
        <v>0</v>
      </c>
      <c r="S535">
        <v>1</v>
      </c>
      <c r="T535" t="str">
        <f>IF(mental_health[Sleep_Hours]&lt;5,"Low",IF(mental_health[Sleep_Hours]&lt;7,"Medium","Good"))</f>
        <v>Medium</v>
      </c>
      <c r="U535" t="str">
        <f>IF(mental_health[Stress_Level]&lt;=3,"Low",IF(mental_health[Stress_Level]&lt;=7,"Medium","High"))</f>
        <v>Medium</v>
      </c>
      <c r="V535" t="str">
        <f>IF(mental_health[Daily_Screen_Time]&lt;=4,"Low",IF(mental_health[Daily_Screen_Time]&lt;=8,"Medium","High"))</f>
        <v>Medium</v>
      </c>
    </row>
    <row r="536" spans="1:22" x14ac:dyDescent="0.3">
      <c r="A536">
        <v>535</v>
      </c>
      <c r="B536">
        <v>34</v>
      </c>
      <c r="C536" t="s">
        <v>23</v>
      </c>
      <c r="D536" t="s">
        <v>19</v>
      </c>
      <c r="E536">
        <v>6.1</v>
      </c>
      <c r="F536">
        <v>1.3</v>
      </c>
      <c r="G536">
        <v>1</v>
      </c>
      <c r="H536" t="str">
        <f t="shared" si="8"/>
        <v>Night Usage</v>
      </c>
      <c r="I536">
        <v>8.3000000000000007</v>
      </c>
      <c r="J536" s="3">
        <v>1</v>
      </c>
      <c r="K536">
        <v>5.2</v>
      </c>
      <c r="L536" t="s">
        <v>20</v>
      </c>
      <c r="M536">
        <v>9</v>
      </c>
      <c r="N536">
        <v>0</v>
      </c>
      <c r="O536">
        <v>0</v>
      </c>
      <c r="P536">
        <v>0</v>
      </c>
      <c r="Q536">
        <v>0</v>
      </c>
      <c r="R536">
        <v>0</v>
      </c>
      <c r="S536">
        <v>1</v>
      </c>
      <c r="T536" t="str">
        <f>IF(mental_health[Sleep_Hours]&lt;5,"Low",IF(mental_health[Sleep_Hours]&lt;7,"Medium","Good"))</f>
        <v>Good</v>
      </c>
      <c r="U536" t="str">
        <f>IF(mental_health[Stress_Level]&lt;=3,"Low",IF(mental_health[Stress_Level]&lt;=7,"Medium","High"))</f>
        <v>Low</v>
      </c>
      <c r="V536" t="str">
        <f>IF(mental_health[Daily_Screen_Time]&lt;=4,"Low",IF(mental_health[Daily_Screen_Time]&lt;=8,"Medium","High"))</f>
        <v>Medium</v>
      </c>
    </row>
    <row r="537" spans="1:22" x14ac:dyDescent="0.3">
      <c r="A537">
        <v>536</v>
      </c>
      <c r="B537">
        <v>51</v>
      </c>
      <c r="C537" t="s">
        <v>23</v>
      </c>
      <c r="D537" t="s">
        <v>22</v>
      </c>
      <c r="E537">
        <v>11.6</v>
      </c>
      <c r="F537">
        <v>5</v>
      </c>
      <c r="G537">
        <v>0</v>
      </c>
      <c r="H537" t="str">
        <f t="shared" si="8"/>
        <v>No Night Usage</v>
      </c>
      <c r="I537">
        <v>4.2</v>
      </c>
      <c r="J537" s="3">
        <v>8</v>
      </c>
      <c r="K537">
        <v>7.6</v>
      </c>
      <c r="L537" t="s">
        <v>20</v>
      </c>
      <c r="M537">
        <v>2</v>
      </c>
      <c r="N537">
        <v>4</v>
      </c>
      <c r="O537">
        <v>1</v>
      </c>
      <c r="P537">
        <v>0</v>
      </c>
      <c r="Q537">
        <v>0</v>
      </c>
      <c r="R537">
        <v>1</v>
      </c>
      <c r="S537">
        <v>0</v>
      </c>
      <c r="T537" t="str">
        <f>IF(mental_health[Sleep_Hours]&lt;5,"Low",IF(mental_health[Sleep_Hours]&lt;7,"Medium","Good"))</f>
        <v>Low</v>
      </c>
      <c r="U537" t="str">
        <f>IF(mental_health[Stress_Level]&lt;=3,"Low",IF(mental_health[Stress_Level]&lt;=7,"Medium","High"))</f>
        <v>High</v>
      </c>
      <c r="V537" t="str">
        <f>IF(mental_health[Daily_Screen_Time]&lt;=4,"Low",IF(mental_health[Daily_Screen_Time]&lt;=8,"Medium","High"))</f>
        <v>High</v>
      </c>
    </row>
    <row r="538" spans="1:22" x14ac:dyDescent="0.3">
      <c r="A538">
        <v>537</v>
      </c>
      <c r="B538">
        <v>27</v>
      </c>
      <c r="C538" t="s">
        <v>18</v>
      </c>
      <c r="D538" t="s">
        <v>24</v>
      </c>
      <c r="E538">
        <v>7.4</v>
      </c>
      <c r="F538">
        <v>7.4</v>
      </c>
      <c r="G538">
        <v>0</v>
      </c>
      <c r="H538" t="str">
        <f t="shared" si="8"/>
        <v>No Night Usage</v>
      </c>
      <c r="I538">
        <v>3.5</v>
      </c>
      <c r="J538" s="3">
        <v>7</v>
      </c>
      <c r="K538">
        <v>10.8</v>
      </c>
      <c r="L538" t="s">
        <v>21</v>
      </c>
      <c r="M538">
        <v>6</v>
      </c>
      <c r="N538">
        <v>0</v>
      </c>
      <c r="O538">
        <v>0</v>
      </c>
      <c r="P538">
        <v>0</v>
      </c>
      <c r="Q538">
        <v>0</v>
      </c>
      <c r="R538">
        <v>1</v>
      </c>
      <c r="S538">
        <v>0</v>
      </c>
      <c r="T538" t="str">
        <f>IF(mental_health[Sleep_Hours]&lt;5,"Low",IF(mental_health[Sleep_Hours]&lt;7,"Medium","Good"))</f>
        <v>Low</v>
      </c>
      <c r="U538" t="str">
        <f>IF(mental_health[Stress_Level]&lt;=3,"Low",IF(mental_health[Stress_Level]&lt;=7,"Medium","High"))</f>
        <v>Medium</v>
      </c>
      <c r="V538" t="str">
        <f>IF(mental_health[Daily_Screen_Time]&lt;=4,"Low",IF(mental_health[Daily_Screen_Time]&lt;=8,"Medium","High"))</f>
        <v>Medium</v>
      </c>
    </row>
    <row r="539" spans="1:22" x14ac:dyDescent="0.3">
      <c r="A539">
        <v>538</v>
      </c>
      <c r="B539">
        <v>56</v>
      </c>
      <c r="C539" t="s">
        <v>18</v>
      </c>
      <c r="D539" t="s">
        <v>24</v>
      </c>
      <c r="E539">
        <v>8.1</v>
      </c>
      <c r="F539">
        <v>7.8</v>
      </c>
      <c r="G539">
        <v>0</v>
      </c>
      <c r="H539" t="str">
        <f t="shared" si="8"/>
        <v>No Night Usage</v>
      </c>
      <c r="I539">
        <v>7.7</v>
      </c>
      <c r="J539" s="3">
        <v>7</v>
      </c>
      <c r="K539">
        <v>9.9</v>
      </c>
      <c r="L539" t="s">
        <v>20</v>
      </c>
      <c r="M539">
        <v>10</v>
      </c>
      <c r="N539">
        <v>2</v>
      </c>
      <c r="O539">
        <v>0</v>
      </c>
      <c r="P539">
        <v>0</v>
      </c>
      <c r="Q539">
        <v>0</v>
      </c>
      <c r="R539">
        <v>1</v>
      </c>
      <c r="S539">
        <v>1</v>
      </c>
      <c r="T539" t="str">
        <f>IF(mental_health[Sleep_Hours]&lt;5,"Low",IF(mental_health[Sleep_Hours]&lt;7,"Medium","Good"))</f>
        <v>Good</v>
      </c>
      <c r="U539" t="str">
        <f>IF(mental_health[Stress_Level]&lt;=3,"Low",IF(mental_health[Stress_Level]&lt;=7,"Medium","High"))</f>
        <v>Medium</v>
      </c>
      <c r="V539" t="str">
        <f>IF(mental_health[Daily_Screen_Time]&lt;=4,"Low",IF(mental_health[Daily_Screen_Time]&lt;=8,"Medium","High"))</f>
        <v>High</v>
      </c>
    </row>
    <row r="540" spans="1:22" x14ac:dyDescent="0.3">
      <c r="A540">
        <v>539</v>
      </c>
      <c r="B540">
        <v>34</v>
      </c>
      <c r="C540" t="s">
        <v>23</v>
      </c>
      <c r="D540" t="s">
        <v>19</v>
      </c>
      <c r="E540">
        <v>4.2</v>
      </c>
      <c r="F540">
        <v>4.8</v>
      </c>
      <c r="G540">
        <v>0</v>
      </c>
      <c r="H540" t="str">
        <f t="shared" si="8"/>
        <v>No Night Usage</v>
      </c>
      <c r="I540">
        <v>8</v>
      </c>
      <c r="J540" s="3">
        <v>5</v>
      </c>
      <c r="K540">
        <v>7.5</v>
      </c>
      <c r="L540" t="s">
        <v>21</v>
      </c>
      <c r="M540">
        <v>10</v>
      </c>
      <c r="N540">
        <v>3</v>
      </c>
      <c r="O540">
        <v>1</v>
      </c>
      <c r="P540">
        <v>1</v>
      </c>
      <c r="Q540">
        <v>1</v>
      </c>
      <c r="R540">
        <v>0</v>
      </c>
      <c r="S540">
        <v>1</v>
      </c>
      <c r="T540" t="str">
        <f>IF(mental_health[Sleep_Hours]&lt;5,"Low",IF(mental_health[Sleep_Hours]&lt;7,"Medium","Good"))</f>
        <v>Good</v>
      </c>
      <c r="U540" t="str">
        <f>IF(mental_health[Stress_Level]&lt;=3,"Low",IF(mental_health[Stress_Level]&lt;=7,"Medium","High"))</f>
        <v>Medium</v>
      </c>
      <c r="V540" t="str">
        <f>IF(mental_health[Daily_Screen_Time]&lt;=4,"Low",IF(mental_health[Daily_Screen_Time]&lt;=8,"Medium","High"))</f>
        <v>Medium</v>
      </c>
    </row>
    <row r="541" spans="1:22" x14ac:dyDescent="0.3">
      <c r="A541">
        <v>540</v>
      </c>
      <c r="B541">
        <v>27</v>
      </c>
      <c r="C541" t="s">
        <v>18</v>
      </c>
      <c r="D541" t="s">
        <v>24</v>
      </c>
      <c r="E541">
        <v>8.3000000000000007</v>
      </c>
      <c r="F541">
        <v>4.2</v>
      </c>
      <c r="G541">
        <v>1</v>
      </c>
      <c r="H541" t="str">
        <f t="shared" si="8"/>
        <v>Night Usage</v>
      </c>
      <c r="I541">
        <v>4</v>
      </c>
      <c r="J541" s="3">
        <v>1</v>
      </c>
      <c r="K541">
        <v>2.7</v>
      </c>
      <c r="L541" t="s">
        <v>20</v>
      </c>
      <c r="M541">
        <v>8</v>
      </c>
      <c r="N541">
        <v>1</v>
      </c>
      <c r="O541">
        <v>1</v>
      </c>
      <c r="P541">
        <v>1</v>
      </c>
      <c r="Q541">
        <v>1</v>
      </c>
      <c r="R541">
        <v>0</v>
      </c>
      <c r="S541">
        <v>0</v>
      </c>
      <c r="T541" t="str">
        <f>IF(mental_health[Sleep_Hours]&lt;5,"Low",IF(mental_health[Sleep_Hours]&lt;7,"Medium","Good"))</f>
        <v>Low</v>
      </c>
      <c r="U541" t="str">
        <f>IF(mental_health[Stress_Level]&lt;=3,"Low",IF(mental_health[Stress_Level]&lt;=7,"Medium","High"))</f>
        <v>Low</v>
      </c>
      <c r="V541" t="str">
        <f>IF(mental_health[Daily_Screen_Time]&lt;=4,"Low",IF(mental_health[Daily_Screen_Time]&lt;=8,"Medium","High"))</f>
        <v>High</v>
      </c>
    </row>
    <row r="542" spans="1:22" x14ac:dyDescent="0.3">
      <c r="A542">
        <v>541</v>
      </c>
      <c r="B542">
        <v>24</v>
      </c>
      <c r="C542" t="s">
        <v>23</v>
      </c>
      <c r="D542" t="s">
        <v>24</v>
      </c>
      <c r="E542">
        <v>7.7</v>
      </c>
      <c r="F542">
        <v>7.6</v>
      </c>
      <c r="G542">
        <v>1</v>
      </c>
      <c r="H542" t="str">
        <f t="shared" si="8"/>
        <v>Night Usage</v>
      </c>
      <c r="I542">
        <v>8.1</v>
      </c>
      <c r="J542" s="3">
        <v>9</v>
      </c>
      <c r="K542">
        <v>4.9000000000000004</v>
      </c>
      <c r="L542" t="s">
        <v>20</v>
      </c>
      <c r="M542">
        <v>5</v>
      </c>
      <c r="N542">
        <v>4</v>
      </c>
      <c r="O542">
        <v>0</v>
      </c>
      <c r="P542">
        <v>1</v>
      </c>
      <c r="Q542">
        <v>1</v>
      </c>
      <c r="R542">
        <v>1</v>
      </c>
      <c r="S542">
        <v>1</v>
      </c>
      <c r="T542" t="str">
        <f>IF(mental_health[Sleep_Hours]&lt;5,"Low",IF(mental_health[Sleep_Hours]&lt;7,"Medium","Good"))</f>
        <v>Good</v>
      </c>
      <c r="U542" t="str">
        <f>IF(mental_health[Stress_Level]&lt;=3,"Low",IF(mental_health[Stress_Level]&lt;=7,"Medium","High"))</f>
        <v>High</v>
      </c>
      <c r="V542" t="str">
        <f>IF(mental_health[Daily_Screen_Time]&lt;=4,"Low",IF(mental_health[Daily_Screen_Time]&lt;=8,"Medium","High"))</f>
        <v>Medium</v>
      </c>
    </row>
    <row r="543" spans="1:22" x14ac:dyDescent="0.3">
      <c r="A543">
        <v>542</v>
      </c>
      <c r="B543">
        <v>22</v>
      </c>
      <c r="C543" t="s">
        <v>23</v>
      </c>
      <c r="D543" t="s">
        <v>22</v>
      </c>
      <c r="E543">
        <v>3.8</v>
      </c>
      <c r="F543">
        <v>5.7</v>
      </c>
      <c r="G543">
        <v>1</v>
      </c>
      <c r="H543" t="str">
        <f t="shared" si="8"/>
        <v>Night Usage</v>
      </c>
      <c r="I543">
        <v>7.1</v>
      </c>
      <c r="J543" s="3">
        <v>9</v>
      </c>
      <c r="K543">
        <v>5.7</v>
      </c>
      <c r="L543" t="s">
        <v>25</v>
      </c>
      <c r="M543">
        <v>5</v>
      </c>
      <c r="N543">
        <v>4</v>
      </c>
      <c r="O543">
        <v>1</v>
      </c>
      <c r="P543">
        <v>0</v>
      </c>
      <c r="Q543">
        <v>1</v>
      </c>
      <c r="R543">
        <v>1</v>
      </c>
      <c r="S543">
        <v>1</v>
      </c>
      <c r="T543" t="str">
        <f>IF(mental_health[Sleep_Hours]&lt;5,"Low",IF(mental_health[Sleep_Hours]&lt;7,"Medium","Good"))</f>
        <v>Good</v>
      </c>
      <c r="U543" t="str">
        <f>IF(mental_health[Stress_Level]&lt;=3,"Low",IF(mental_health[Stress_Level]&lt;=7,"Medium","High"))</f>
        <v>High</v>
      </c>
      <c r="V543" t="str">
        <f>IF(mental_health[Daily_Screen_Time]&lt;=4,"Low",IF(mental_health[Daily_Screen_Time]&lt;=8,"Medium","High"))</f>
        <v>Low</v>
      </c>
    </row>
    <row r="544" spans="1:22" x14ac:dyDescent="0.3">
      <c r="A544">
        <v>543</v>
      </c>
      <c r="B544">
        <v>43</v>
      </c>
      <c r="C544" t="s">
        <v>18</v>
      </c>
      <c r="D544" t="s">
        <v>22</v>
      </c>
      <c r="E544">
        <v>2.6</v>
      </c>
      <c r="F544">
        <v>1.5</v>
      </c>
      <c r="G544">
        <v>1</v>
      </c>
      <c r="H544" t="str">
        <f t="shared" si="8"/>
        <v>Night Usage</v>
      </c>
      <c r="I544">
        <v>6.1</v>
      </c>
      <c r="J544" s="3">
        <v>8</v>
      </c>
      <c r="K544">
        <v>8.1999999999999993</v>
      </c>
      <c r="L544" t="s">
        <v>25</v>
      </c>
      <c r="M544">
        <v>8</v>
      </c>
      <c r="N544">
        <v>2</v>
      </c>
      <c r="O544">
        <v>1</v>
      </c>
      <c r="P544">
        <v>1</v>
      </c>
      <c r="Q544">
        <v>1</v>
      </c>
      <c r="R544">
        <v>1</v>
      </c>
      <c r="S544">
        <v>1</v>
      </c>
      <c r="T544" t="str">
        <f>IF(mental_health[Sleep_Hours]&lt;5,"Low",IF(mental_health[Sleep_Hours]&lt;7,"Medium","Good"))</f>
        <v>Medium</v>
      </c>
      <c r="U544" t="str">
        <f>IF(mental_health[Stress_Level]&lt;=3,"Low",IF(mental_health[Stress_Level]&lt;=7,"Medium","High"))</f>
        <v>High</v>
      </c>
      <c r="V544" t="str">
        <f>IF(mental_health[Daily_Screen_Time]&lt;=4,"Low",IF(mental_health[Daily_Screen_Time]&lt;=8,"Medium","High"))</f>
        <v>Low</v>
      </c>
    </row>
    <row r="545" spans="1:22" x14ac:dyDescent="0.3">
      <c r="A545">
        <v>544</v>
      </c>
      <c r="B545">
        <v>29</v>
      </c>
      <c r="C545" t="s">
        <v>18</v>
      </c>
      <c r="D545" t="s">
        <v>19</v>
      </c>
      <c r="E545">
        <v>8</v>
      </c>
      <c r="F545">
        <v>4.3</v>
      </c>
      <c r="G545">
        <v>1</v>
      </c>
      <c r="H545" t="str">
        <f t="shared" si="8"/>
        <v>Night Usage</v>
      </c>
      <c r="I545">
        <v>8</v>
      </c>
      <c r="J545" s="3">
        <v>5</v>
      </c>
      <c r="K545">
        <v>2.6</v>
      </c>
      <c r="L545" t="s">
        <v>21</v>
      </c>
      <c r="M545">
        <v>1</v>
      </c>
      <c r="N545">
        <v>3</v>
      </c>
      <c r="O545">
        <v>1</v>
      </c>
      <c r="P545">
        <v>0</v>
      </c>
      <c r="Q545">
        <v>0</v>
      </c>
      <c r="R545">
        <v>1</v>
      </c>
      <c r="S545">
        <v>0</v>
      </c>
      <c r="T545" t="str">
        <f>IF(mental_health[Sleep_Hours]&lt;5,"Low",IF(mental_health[Sleep_Hours]&lt;7,"Medium","Good"))</f>
        <v>Good</v>
      </c>
      <c r="U545" t="str">
        <f>IF(mental_health[Stress_Level]&lt;=3,"Low",IF(mental_health[Stress_Level]&lt;=7,"Medium","High"))</f>
        <v>Medium</v>
      </c>
      <c r="V545" t="str">
        <f>IF(mental_health[Daily_Screen_Time]&lt;=4,"Low",IF(mental_health[Daily_Screen_Time]&lt;=8,"Medium","High"))</f>
        <v>Medium</v>
      </c>
    </row>
    <row r="546" spans="1:22" x14ac:dyDescent="0.3">
      <c r="A546">
        <v>545</v>
      </c>
      <c r="B546">
        <v>46</v>
      </c>
      <c r="C546" t="s">
        <v>18</v>
      </c>
      <c r="D546" t="s">
        <v>22</v>
      </c>
      <c r="E546">
        <v>9.6</v>
      </c>
      <c r="F546">
        <v>2.7</v>
      </c>
      <c r="G546">
        <v>1</v>
      </c>
      <c r="H546" t="str">
        <f t="shared" si="8"/>
        <v>Night Usage</v>
      </c>
      <c r="I546">
        <v>5.5</v>
      </c>
      <c r="J546" s="3">
        <v>3</v>
      </c>
      <c r="K546">
        <v>7.3</v>
      </c>
      <c r="L546" t="s">
        <v>25</v>
      </c>
      <c r="M546">
        <v>6</v>
      </c>
      <c r="N546">
        <v>3</v>
      </c>
      <c r="O546">
        <v>0</v>
      </c>
      <c r="P546">
        <v>1</v>
      </c>
      <c r="Q546">
        <v>1</v>
      </c>
      <c r="R546">
        <v>1</v>
      </c>
      <c r="S546">
        <v>0</v>
      </c>
      <c r="T546" t="str">
        <f>IF(mental_health[Sleep_Hours]&lt;5,"Low",IF(mental_health[Sleep_Hours]&lt;7,"Medium","Good"))</f>
        <v>Medium</v>
      </c>
      <c r="U546" t="str">
        <f>IF(mental_health[Stress_Level]&lt;=3,"Low",IF(mental_health[Stress_Level]&lt;=7,"Medium","High"))</f>
        <v>Low</v>
      </c>
      <c r="V546" t="str">
        <f>IF(mental_health[Daily_Screen_Time]&lt;=4,"Low",IF(mental_health[Daily_Screen_Time]&lt;=8,"Medium","High"))</f>
        <v>High</v>
      </c>
    </row>
    <row r="547" spans="1:22" x14ac:dyDescent="0.3">
      <c r="A547">
        <v>546</v>
      </c>
      <c r="B547">
        <v>34</v>
      </c>
      <c r="C547" t="s">
        <v>18</v>
      </c>
      <c r="D547" t="s">
        <v>19</v>
      </c>
      <c r="E547">
        <v>7.2</v>
      </c>
      <c r="F547">
        <v>4.3</v>
      </c>
      <c r="G547">
        <v>0</v>
      </c>
      <c r="H547" t="str">
        <f t="shared" si="8"/>
        <v>No Night Usage</v>
      </c>
      <c r="I547">
        <v>4.2</v>
      </c>
      <c r="J547" s="3">
        <v>8</v>
      </c>
      <c r="K547">
        <v>11</v>
      </c>
      <c r="L547" t="s">
        <v>20</v>
      </c>
      <c r="M547">
        <v>10</v>
      </c>
      <c r="N547">
        <v>1</v>
      </c>
      <c r="O547">
        <v>0</v>
      </c>
      <c r="P547">
        <v>1</v>
      </c>
      <c r="Q547">
        <v>1</v>
      </c>
      <c r="R547">
        <v>1</v>
      </c>
      <c r="S547">
        <v>1</v>
      </c>
      <c r="T547" t="str">
        <f>IF(mental_health[Sleep_Hours]&lt;5,"Low",IF(mental_health[Sleep_Hours]&lt;7,"Medium","Good"))</f>
        <v>Low</v>
      </c>
      <c r="U547" t="str">
        <f>IF(mental_health[Stress_Level]&lt;=3,"Low",IF(mental_health[Stress_Level]&lt;=7,"Medium","High"))</f>
        <v>High</v>
      </c>
      <c r="V547" t="str">
        <f>IF(mental_health[Daily_Screen_Time]&lt;=4,"Low",IF(mental_health[Daily_Screen_Time]&lt;=8,"Medium","High"))</f>
        <v>Medium</v>
      </c>
    </row>
    <row r="548" spans="1:22" x14ac:dyDescent="0.3">
      <c r="A548">
        <v>547</v>
      </c>
      <c r="B548">
        <v>31</v>
      </c>
      <c r="C548" t="s">
        <v>18</v>
      </c>
      <c r="D548" t="s">
        <v>19</v>
      </c>
      <c r="E548">
        <v>4.3</v>
      </c>
      <c r="F548">
        <v>4.2</v>
      </c>
      <c r="G548">
        <v>1</v>
      </c>
      <c r="H548" t="str">
        <f t="shared" si="8"/>
        <v>Night Usage</v>
      </c>
      <c r="I548">
        <v>4.7</v>
      </c>
      <c r="J548" s="3">
        <v>1</v>
      </c>
      <c r="K548">
        <v>9.1</v>
      </c>
      <c r="L548" t="s">
        <v>21</v>
      </c>
      <c r="M548">
        <v>9</v>
      </c>
      <c r="N548">
        <v>3</v>
      </c>
      <c r="O548">
        <v>0</v>
      </c>
      <c r="P548">
        <v>1</v>
      </c>
      <c r="Q548">
        <v>1</v>
      </c>
      <c r="R548">
        <v>1</v>
      </c>
      <c r="S548">
        <v>1</v>
      </c>
      <c r="T548" t="str">
        <f>IF(mental_health[Sleep_Hours]&lt;5,"Low",IF(mental_health[Sleep_Hours]&lt;7,"Medium","Good"))</f>
        <v>Low</v>
      </c>
      <c r="U548" t="str">
        <f>IF(mental_health[Stress_Level]&lt;=3,"Low",IF(mental_health[Stress_Level]&lt;=7,"Medium","High"))</f>
        <v>Low</v>
      </c>
      <c r="V548" t="str">
        <f>IF(mental_health[Daily_Screen_Time]&lt;=4,"Low",IF(mental_health[Daily_Screen_Time]&lt;=8,"Medium","High"))</f>
        <v>Medium</v>
      </c>
    </row>
    <row r="549" spans="1:22" x14ac:dyDescent="0.3">
      <c r="A549">
        <v>548</v>
      </c>
      <c r="B549">
        <v>20</v>
      </c>
      <c r="C549" t="s">
        <v>23</v>
      </c>
      <c r="D549" t="s">
        <v>19</v>
      </c>
      <c r="E549">
        <v>8.6999999999999993</v>
      </c>
      <c r="F549">
        <v>5.0999999999999996</v>
      </c>
      <c r="G549">
        <v>1</v>
      </c>
      <c r="H549" t="str">
        <f t="shared" si="8"/>
        <v>Night Usage</v>
      </c>
      <c r="I549">
        <v>6</v>
      </c>
      <c r="J549" s="3">
        <v>3</v>
      </c>
      <c r="K549">
        <v>10</v>
      </c>
      <c r="L549" t="s">
        <v>21</v>
      </c>
      <c r="M549">
        <v>6</v>
      </c>
      <c r="N549">
        <v>2</v>
      </c>
      <c r="O549">
        <v>1</v>
      </c>
      <c r="P549">
        <v>1</v>
      </c>
      <c r="Q549">
        <v>0</v>
      </c>
      <c r="R549">
        <v>1</v>
      </c>
      <c r="S549">
        <v>1</v>
      </c>
      <c r="T549" t="str">
        <f>IF(mental_health[Sleep_Hours]&lt;5,"Low",IF(mental_health[Sleep_Hours]&lt;7,"Medium","Good"))</f>
        <v>Medium</v>
      </c>
      <c r="U549" t="str">
        <f>IF(mental_health[Stress_Level]&lt;=3,"Low",IF(mental_health[Stress_Level]&lt;=7,"Medium","High"))</f>
        <v>Low</v>
      </c>
      <c r="V549" t="str">
        <f>IF(mental_health[Daily_Screen_Time]&lt;=4,"Low",IF(mental_health[Daily_Screen_Time]&lt;=8,"Medium","High"))</f>
        <v>High</v>
      </c>
    </row>
    <row r="550" spans="1:22" x14ac:dyDescent="0.3">
      <c r="A550">
        <v>549</v>
      </c>
      <c r="B550">
        <v>50</v>
      </c>
      <c r="C550" t="s">
        <v>23</v>
      </c>
      <c r="D550" t="s">
        <v>24</v>
      </c>
      <c r="E550">
        <v>2.8</v>
      </c>
      <c r="F550">
        <v>3.5</v>
      </c>
      <c r="G550">
        <v>1</v>
      </c>
      <c r="H550" t="str">
        <f t="shared" si="8"/>
        <v>Night Usage</v>
      </c>
      <c r="I550">
        <v>6.2</v>
      </c>
      <c r="J550" s="3">
        <v>7</v>
      </c>
      <c r="K550">
        <v>8.8000000000000007</v>
      </c>
      <c r="L550" t="s">
        <v>21</v>
      </c>
      <c r="M550">
        <v>7</v>
      </c>
      <c r="N550">
        <v>3</v>
      </c>
      <c r="O550">
        <v>0</v>
      </c>
      <c r="P550">
        <v>0</v>
      </c>
      <c r="Q550">
        <v>1</v>
      </c>
      <c r="R550">
        <v>0</v>
      </c>
      <c r="S550">
        <v>1</v>
      </c>
      <c r="T550" t="str">
        <f>IF(mental_health[Sleep_Hours]&lt;5,"Low",IF(mental_health[Sleep_Hours]&lt;7,"Medium","Good"))</f>
        <v>Medium</v>
      </c>
      <c r="U550" t="str">
        <f>IF(mental_health[Stress_Level]&lt;=3,"Low",IF(mental_health[Stress_Level]&lt;=7,"Medium","High"))</f>
        <v>Medium</v>
      </c>
      <c r="V550" t="str">
        <f>IF(mental_health[Daily_Screen_Time]&lt;=4,"Low",IF(mental_health[Daily_Screen_Time]&lt;=8,"Medium","High"))</f>
        <v>Low</v>
      </c>
    </row>
    <row r="551" spans="1:22" x14ac:dyDescent="0.3">
      <c r="A551">
        <v>550</v>
      </c>
      <c r="B551">
        <v>27</v>
      </c>
      <c r="C551" t="s">
        <v>18</v>
      </c>
      <c r="D551" t="s">
        <v>22</v>
      </c>
      <c r="E551">
        <v>6.4</v>
      </c>
      <c r="F551">
        <v>2.1</v>
      </c>
      <c r="G551">
        <v>0</v>
      </c>
      <c r="H551" t="str">
        <f t="shared" si="8"/>
        <v>No Night Usage</v>
      </c>
      <c r="I551">
        <v>7.8</v>
      </c>
      <c r="J551" s="3">
        <v>4</v>
      </c>
      <c r="K551">
        <v>4.0999999999999996</v>
      </c>
      <c r="L551" t="s">
        <v>20</v>
      </c>
      <c r="M551">
        <v>4</v>
      </c>
      <c r="N551">
        <v>2</v>
      </c>
      <c r="O551">
        <v>1</v>
      </c>
      <c r="P551">
        <v>0</v>
      </c>
      <c r="Q551">
        <v>1</v>
      </c>
      <c r="R551">
        <v>0</v>
      </c>
      <c r="S551">
        <v>0</v>
      </c>
      <c r="T551" t="str">
        <f>IF(mental_health[Sleep_Hours]&lt;5,"Low",IF(mental_health[Sleep_Hours]&lt;7,"Medium","Good"))</f>
        <v>Good</v>
      </c>
      <c r="U551" t="str">
        <f>IF(mental_health[Stress_Level]&lt;=3,"Low",IF(mental_health[Stress_Level]&lt;=7,"Medium","High"))</f>
        <v>Medium</v>
      </c>
      <c r="V551" t="str">
        <f>IF(mental_health[Daily_Screen_Time]&lt;=4,"Low",IF(mental_health[Daily_Screen_Time]&lt;=8,"Medium","High"))</f>
        <v>Medium</v>
      </c>
    </row>
    <row r="552" spans="1:22" x14ac:dyDescent="0.3">
      <c r="A552">
        <v>551</v>
      </c>
      <c r="B552">
        <v>40</v>
      </c>
      <c r="C552" t="s">
        <v>18</v>
      </c>
      <c r="D552" t="s">
        <v>19</v>
      </c>
      <c r="E552">
        <v>3.6</v>
      </c>
      <c r="F552">
        <v>4.5</v>
      </c>
      <c r="G552">
        <v>1</v>
      </c>
      <c r="H552" t="str">
        <f t="shared" si="8"/>
        <v>Night Usage</v>
      </c>
      <c r="I552">
        <v>7.7</v>
      </c>
      <c r="J552" s="3">
        <v>7</v>
      </c>
      <c r="K552">
        <v>3.1</v>
      </c>
      <c r="L552" t="s">
        <v>25</v>
      </c>
      <c r="M552">
        <v>10</v>
      </c>
      <c r="N552">
        <v>4</v>
      </c>
      <c r="O552">
        <v>1</v>
      </c>
      <c r="P552">
        <v>1</v>
      </c>
      <c r="Q552">
        <v>0</v>
      </c>
      <c r="R552">
        <v>1</v>
      </c>
      <c r="S552">
        <v>0</v>
      </c>
      <c r="T552" t="str">
        <f>IF(mental_health[Sleep_Hours]&lt;5,"Low",IF(mental_health[Sleep_Hours]&lt;7,"Medium","Good"))</f>
        <v>Good</v>
      </c>
      <c r="U552" t="str">
        <f>IF(mental_health[Stress_Level]&lt;=3,"Low",IF(mental_health[Stress_Level]&lt;=7,"Medium","High"))</f>
        <v>Medium</v>
      </c>
      <c r="V552" t="str">
        <f>IF(mental_health[Daily_Screen_Time]&lt;=4,"Low",IF(mental_health[Daily_Screen_Time]&lt;=8,"Medium","High"))</f>
        <v>Low</v>
      </c>
    </row>
    <row r="553" spans="1:22" x14ac:dyDescent="0.3">
      <c r="A553">
        <v>552</v>
      </c>
      <c r="B553">
        <v>36</v>
      </c>
      <c r="C553" t="s">
        <v>18</v>
      </c>
      <c r="D553" t="s">
        <v>22</v>
      </c>
      <c r="E553">
        <v>3.8</v>
      </c>
      <c r="F553">
        <v>6.8</v>
      </c>
      <c r="G553">
        <v>1</v>
      </c>
      <c r="H553" t="str">
        <f t="shared" si="8"/>
        <v>Night Usage</v>
      </c>
      <c r="I553">
        <v>6.5</v>
      </c>
      <c r="J553" s="3">
        <v>5</v>
      </c>
      <c r="K553">
        <v>10.3</v>
      </c>
      <c r="L553" t="s">
        <v>21</v>
      </c>
      <c r="M553">
        <v>1</v>
      </c>
      <c r="N553">
        <v>4</v>
      </c>
      <c r="O553">
        <v>1</v>
      </c>
      <c r="P553">
        <v>1</v>
      </c>
      <c r="Q553">
        <v>1</v>
      </c>
      <c r="R553">
        <v>0</v>
      </c>
      <c r="S553">
        <v>0</v>
      </c>
      <c r="T553" t="str">
        <f>IF(mental_health[Sleep_Hours]&lt;5,"Low",IF(mental_health[Sleep_Hours]&lt;7,"Medium","Good"))</f>
        <v>Medium</v>
      </c>
      <c r="U553" t="str">
        <f>IF(mental_health[Stress_Level]&lt;=3,"Low",IF(mental_health[Stress_Level]&lt;=7,"Medium","High"))</f>
        <v>Medium</v>
      </c>
      <c r="V553" t="str">
        <f>IF(mental_health[Daily_Screen_Time]&lt;=4,"Low",IF(mental_health[Daily_Screen_Time]&lt;=8,"Medium","High"))</f>
        <v>Low</v>
      </c>
    </row>
    <row r="554" spans="1:22" x14ac:dyDescent="0.3">
      <c r="A554">
        <v>553</v>
      </c>
      <c r="B554">
        <v>51</v>
      </c>
      <c r="C554" t="s">
        <v>23</v>
      </c>
      <c r="D554" t="s">
        <v>19</v>
      </c>
      <c r="E554">
        <v>4</v>
      </c>
      <c r="F554">
        <v>5.6</v>
      </c>
      <c r="G554">
        <v>0</v>
      </c>
      <c r="H554" t="str">
        <f t="shared" si="8"/>
        <v>No Night Usage</v>
      </c>
      <c r="I554">
        <v>7.7</v>
      </c>
      <c r="J554" s="3">
        <v>6</v>
      </c>
      <c r="K554">
        <v>9</v>
      </c>
      <c r="L554" t="s">
        <v>20</v>
      </c>
      <c r="M554">
        <v>9</v>
      </c>
      <c r="N554">
        <v>4</v>
      </c>
      <c r="O554">
        <v>1</v>
      </c>
      <c r="P554">
        <v>0</v>
      </c>
      <c r="Q554">
        <v>0</v>
      </c>
      <c r="R554">
        <v>1</v>
      </c>
      <c r="S554">
        <v>0</v>
      </c>
      <c r="T554" t="str">
        <f>IF(mental_health[Sleep_Hours]&lt;5,"Low",IF(mental_health[Sleep_Hours]&lt;7,"Medium","Good"))</f>
        <v>Good</v>
      </c>
      <c r="U554" t="str">
        <f>IF(mental_health[Stress_Level]&lt;=3,"Low",IF(mental_health[Stress_Level]&lt;=7,"Medium","High"))</f>
        <v>Medium</v>
      </c>
      <c r="V554" t="str">
        <f>IF(mental_health[Daily_Screen_Time]&lt;=4,"Low",IF(mental_health[Daily_Screen_Time]&lt;=8,"Medium","High"))</f>
        <v>Low</v>
      </c>
    </row>
    <row r="555" spans="1:22" x14ac:dyDescent="0.3">
      <c r="A555">
        <v>554</v>
      </c>
      <c r="B555">
        <v>38</v>
      </c>
      <c r="C555" t="s">
        <v>18</v>
      </c>
      <c r="D555" t="s">
        <v>22</v>
      </c>
      <c r="E555">
        <v>5.9</v>
      </c>
      <c r="F555">
        <v>3.4</v>
      </c>
      <c r="G555">
        <v>1</v>
      </c>
      <c r="H555" t="str">
        <f t="shared" si="8"/>
        <v>Night Usage</v>
      </c>
      <c r="I555">
        <v>4.2</v>
      </c>
      <c r="J555" s="3">
        <v>7</v>
      </c>
      <c r="K555">
        <v>7.8</v>
      </c>
      <c r="L555" t="s">
        <v>25</v>
      </c>
      <c r="M555">
        <v>6</v>
      </c>
      <c r="N555">
        <v>0</v>
      </c>
      <c r="O555">
        <v>0</v>
      </c>
      <c r="P555">
        <v>1</v>
      </c>
      <c r="Q555">
        <v>1</v>
      </c>
      <c r="R555">
        <v>1</v>
      </c>
      <c r="S555">
        <v>0</v>
      </c>
      <c r="T555" t="str">
        <f>IF(mental_health[Sleep_Hours]&lt;5,"Low",IF(mental_health[Sleep_Hours]&lt;7,"Medium","Good"))</f>
        <v>Low</v>
      </c>
      <c r="U555" t="str">
        <f>IF(mental_health[Stress_Level]&lt;=3,"Low",IF(mental_health[Stress_Level]&lt;=7,"Medium","High"))</f>
        <v>Medium</v>
      </c>
      <c r="V555" t="str">
        <f>IF(mental_health[Daily_Screen_Time]&lt;=4,"Low",IF(mental_health[Daily_Screen_Time]&lt;=8,"Medium","High"))</f>
        <v>Medium</v>
      </c>
    </row>
    <row r="556" spans="1:22" x14ac:dyDescent="0.3">
      <c r="A556">
        <v>555</v>
      </c>
      <c r="B556">
        <v>31</v>
      </c>
      <c r="C556" t="s">
        <v>18</v>
      </c>
      <c r="D556" t="s">
        <v>22</v>
      </c>
      <c r="E556">
        <v>2.5</v>
      </c>
      <c r="F556">
        <v>7.5</v>
      </c>
      <c r="G556">
        <v>0</v>
      </c>
      <c r="H556" t="str">
        <f t="shared" si="8"/>
        <v>No Night Usage</v>
      </c>
      <c r="I556">
        <v>3.3</v>
      </c>
      <c r="J556" s="3">
        <v>10</v>
      </c>
      <c r="K556">
        <v>3.9</v>
      </c>
      <c r="L556" t="s">
        <v>25</v>
      </c>
      <c r="M556">
        <v>3</v>
      </c>
      <c r="N556">
        <v>4</v>
      </c>
      <c r="O556">
        <v>1</v>
      </c>
      <c r="P556">
        <v>1</v>
      </c>
      <c r="Q556">
        <v>0</v>
      </c>
      <c r="R556">
        <v>0</v>
      </c>
      <c r="S556">
        <v>1</v>
      </c>
      <c r="T556" t="str">
        <f>IF(mental_health[Sleep_Hours]&lt;5,"Low",IF(mental_health[Sleep_Hours]&lt;7,"Medium","Good"))</f>
        <v>Low</v>
      </c>
      <c r="U556" t="str">
        <f>IF(mental_health[Stress_Level]&lt;=3,"Low",IF(mental_health[Stress_Level]&lt;=7,"Medium","High"))</f>
        <v>High</v>
      </c>
      <c r="V556" t="str">
        <f>IF(mental_health[Daily_Screen_Time]&lt;=4,"Low",IF(mental_health[Daily_Screen_Time]&lt;=8,"Medium","High"))</f>
        <v>Low</v>
      </c>
    </row>
    <row r="557" spans="1:22" x14ac:dyDescent="0.3">
      <c r="A557">
        <v>556</v>
      </c>
      <c r="B557">
        <v>54</v>
      </c>
      <c r="C557" t="s">
        <v>23</v>
      </c>
      <c r="D557" t="s">
        <v>19</v>
      </c>
      <c r="E557">
        <v>6</v>
      </c>
      <c r="F557">
        <v>7.4</v>
      </c>
      <c r="G557">
        <v>0</v>
      </c>
      <c r="H557" t="str">
        <f t="shared" si="8"/>
        <v>No Night Usage</v>
      </c>
      <c r="I557">
        <v>8.1999999999999993</v>
      </c>
      <c r="J557" s="3">
        <v>7</v>
      </c>
      <c r="K557">
        <v>8</v>
      </c>
      <c r="L557" t="s">
        <v>21</v>
      </c>
      <c r="M557">
        <v>4</v>
      </c>
      <c r="N557">
        <v>2</v>
      </c>
      <c r="O557">
        <v>1</v>
      </c>
      <c r="P557">
        <v>1</v>
      </c>
      <c r="Q557">
        <v>0</v>
      </c>
      <c r="R557">
        <v>1</v>
      </c>
      <c r="S557">
        <v>1</v>
      </c>
      <c r="T557" t="str">
        <f>IF(mental_health[Sleep_Hours]&lt;5,"Low",IF(mental_health[Sleep_Hours]&lt;7,"Medium","Good"))</f>
        <v>Good</v>
      </c>
      <c r="U557" t="str">
        <f>IF(mental_health[Stress_Level]&lt;=3,"Low",IF(mental_health[Stress_Level]&lt;=7,"Medium","High"))</f>
        <v>Medium</v>
      </c>
      <c r="V557" t="str">
        <f>IF(mental_health[Daily_Screen_Time]&lt;=4,"Low",IF(mental_health[Daily_Screen_Time]&lt;=8,"Medium","High"))</f>
        <v>Medium</v>
      </c>
    </row>
    <row r="558" spans="1:22" x14ac:dyDescent="0.3">
      <c r="A558">
        <v>557</v>
      </c>
      <c r="B558">
        <v>57</v>
      </c>
      <c r="C558" t="s">
        <v>23</v>
      </c>
      <c r="D558" t="s">
        <v>24</v>
      </c>
      <c r="E558">
        <v>7.1</v>
      </c>
      <c r="F558">
        <v>2.5</v>
      </c>
      <c r="G558">
        <v>1</v>
      </c>
      <c r="H558" t="str">
        <f t="shared" si="8"/>
        <v>Night Usage</v>
      </c>
      <c r="I558">
        <v>3.5</v>
      </c>
      <c r="J558" s="3">
        <v>7</v>
      </c>
      <c r="K558">
        <v>2.2999999999999998</v>
      </c>
      <c r="L558" t="s">
        <v>20</v>
      </c>
      <c r="M558">
        <v>10</v>
      </c>
      <c r="N558">
        <v>1</v>
      </c>
      <c r="O558">
        <v>0</v>
      </c>
      <c r="P558">
        <v>0</v>
      </c>
      <c r="Q558">
        <v>0</v>
      </c>
      <c r="R558">
        <v>1</v>
      </c>
      <c r="S558">
        <v>0</v>
      </c>
      <c r="T558" t="str">
        <f>IF(mental_health[Sleep_Hours]&lt;5,"Low",IF(mental_health[Sleep_Hours]&lt;7,"Medium","Good"))</f>
        <v>Low</v>
      </c>
      <c r="U558" t="str">
        <f>IF(mental_health[Stress_Level]&lt;=3,"Low",IF(mental_health[Stress_Level]&lt;=7,"Medium","High"))</f>
        <v>Medium</v>
      </c>
      <c r="V558" t="str">
        <f>IF(mental_health[Daily_Screen_Time]&lt;=4,"Low",IF(mental_health[Daily_Screen_Time]&lt;=8,"Medium","High"))</f>
        <v>Medium</v>
      </c>
    </row>
    <row r="559" spans="1:22" x14ac:dyDescent="0.3">
      <c r="A559">
        <v>558</v>
      </c>
      <c r="B559">
        <v>54</v>
      </c>
      <c r="C559" t="s">
        <v>18</v>
      </c>
      <c r="D559" t="s">
        <v>22</v>
      </c>
      <c r="E559">
        <v>6.8</v>
      </c>
      <c r="F559">
        <v>1.3</v>
      </c>
      <c r="G559">
        <v>1</v>
      </c>
      <c r="H559" t="str">
        <f t="shared" si="8"/>
        <v>Night Usage</v>
      </c>
      <c r="I559">
        <v>4.5</v>
      </c>
      <c r="J559" s="3">
        <v>7</v>
      </c>
      <c r="K559">
        <v>3.2</v>
      </c>
      <c r="L559" t="s">
        <v>25</v>
      </c>
      <c r="M559">
        <v>6</v>
      </c>
      <c r="N559">
        <v>3</v>
      </c>
      <c r="O559">
        <v>1</v>
      </c>
      <c r="P559">
        <v>0</v>
      </c>
      <c r="Q559">
        <v>1</v>
      </c>
      <c r="R559">
        <v>1</v>
      </c>
      <c r="S559">
        <v>1</v>
      </c>
      <c r="T559" t="str">
        <f>IF(mental_health[Sleep_Hours]&lt;5,"Low",IF(mental_health[Sleep_Hours]&lt;7,"Medium","Good"))</f>
        <v>Low</v>
      </c>
      <c r="U559" t="str">
        <f>IF(mental_health[Stress_Level]&lt;=3,"Low",IF(mental_health[Stress_Level]&lt;=7,"Medium","High"))</f>
        <v>Medium</v>
      </c>
      <c r="V559" t="str">
        <f>IF(mental_health[Daily_Screen_Time]&lt;=4,"Low",IF(mental_health[Daily_Screen_Time]&lt;=8,"Medium","High"))</f>
        <v>Medium</v>
      </c>
    </row>
    <row r="560" spans="1:22" x14ac:dyDescent="0.3">
      <c r="A560">
        <v>559</v>
      </c>
      <c r="B560">
        <v>29</v>
      </c>
      <c r="C560" t="s">
        <v>18</v>
      </c>
      <c r="D560" t="s">
        <v>24</v>
      </c>
      <c r="E560">
        <v>5.8</v>
      </c>
      <c r="F560">
        <v>6.2</v>
      </c>
      <c r="G560">
        <v>0</v>
      </c>
      <c r="H560" t="str">
        <f t="shared" si="8"/>
        <v>No Night Usage</v>
      </c>
      <c r="I560">
        <v>7.2</v>
      </c>
      <c r="J560" s="3">
        <v>7</v>
      </c>
      <c r="K560">
        <v>5.0999999999999996</v>
      </c>
      <c r="L560" t="s">
        <v>20</v>
      </c>
      <c r="M560">
        <v>6</v>
      </c>
      <c r="N560">
        <v>4</v>
      </c>
      <c r="O560">
        <v>0</v>
      </c>
      <c r="P560">
        <v>1</v>
      </c>
      <c r="Q560">
        <v>1</v>
      </c>
      <c r="R560">
        <v>1</v>
      </c>
      <c r="S560">
        <v>0</v>
      </c>
      <c r="T560" t="str">
        <f>IF(mental_health[Sleep_Hours]&lt;5,"Low",IF(mental_health[Sleep_Hours]&lt;7,"Medium","Good"))</f>
        <v>Good</v>
      </c>
      <c r="U560" t="str">
        <f>IF(mental_health[Stress_Level]&lt;=3,"Low",IF(mental_health[Stress_Level]&lt;=7,"Medium","High"))</f>
        <v>Medium</v>
      </c>
      <c r="V560" t="str">
        <f>IF(mental_health[Daily_Screen_Time]&lt;=4,"Low",IF(mental_health[Daily_Screen_Time]&lt;=8,"Medium","High"))</f>
        <v>Medium</v>
      </c>
    </row>
    <row r="561" spans="1:22" x14ac:dyDescent="0.3">
      <c r="A561">
        <v>560</v>
      </c>
      <c r="B561">
        <v>46</v>
      </c>
      <c r="C561" t="s">
        <v>18</v>
      </c>
      <c r="D561" t="s">
        <v>24</v>
      </c>
      <c r="E561">
        <v>10.4</v>
      </c>
      <c r="F561">
        <v>6.8</v>
      </c>
      <c r="G561">
        <v>1</v>
      </c>
      <c r="H561" t="str">
        <f t="shared" si="8"/>
        <v>Night Usage</v>
      </c>
      <c r="I561">
        <v>5.5</v>
      </c>
      <c r="J561" s="3">
        <v>3</v>
      </c>
      <c r="K561">
        <v>6.4</v>
      </c>
      <c r="L561" t="s">
        <v>25</v>
      </c>
      <c r="M561">
        <v>9</v>
      </c>
      <c r="N561">
        <v>0</v>
      </c>
      <c r="O561">
        <v>0</v>
      </c>
      <c r="P561">
        <v>1</v>
      </c>
      <c r="Q561">
        <v>0</v>
      </c>
      <c r="R561">
        <v>0</v>
      </c>
      <c r="S561">
        <v>1</v>
      </c>
      <c r="T561" t="str">
        <f>IF(mental_health[Sleep_Hours]&lt;5,"Low",IF(mental_health[Sleep_Hours]&lt;7,"Medium","Good"))</f>
        <v>Medium</v>
      </c>
      <c r="U561" t="str">
        <f>IF(mental_health[Stress_Level]&lt;=3,"Low",IF(mental_health[Stress_Level]&lt;=7,"Medium","High"))</f>
        <v>Low</v>
      </c>
      <c r="V561" t="str">
        <f>IF(mental_health[Daily_Screen_Time]&lt;=4,"Low",IF(mental_health[Daily_Screen_Time]&lt;=8,"Medium","High"))</f>
        <v>High</v>
      </c>
    </row>
    <row r="562" spans="1:22" x14ac:dyDescent="0.3">
      <c r="A562">
        <v>561</v>
      </c>
      <c r="B562">
        <v>20</v>
      </c>
      <c r="C562" t="s">
        <v>23</v>
      </c>
      <c r="D562" t="s">
        <v>19</v>
      </c>
      <c r="E562">
        <v>3.5</v>
      </c>
      <c r="F562">
        <v>7.8</v>
      </c>
      <c r="G562">
        <v>1</v>
      </c>
      <c r="H562" t="str">
        <f t="shared" si="8"/>
        <v>Night Usage</v>
      </c>
      <c r="I562">
        <v>8.3000000000000007</v>
      </c>
      <c r="J562" s="3">
        <v>3</v>
      </c>
      <c r="K562">
        <v>3.2</v>
      </c>
      <c r="L562" t="s">
        <v>21</v>
      </c>
      <c r="M562">
        <v>4</v>
      </c>
      <c r="N562">
        <v>0</v>
      </c>
      <c r="O562">
        <v>0</v>
      </c>
      <c r="P562">
        <v>0</v>
      </c>
      <c r="Q562">
        <v>1</v>
      </c>
      <c r="R562">
        <v>1</v>
      </c>
      <c r="S562">
        <v>0</v>
      </c>
      <c r="T562" t="str">
        <f>IF(mental_health[Sleep_Hours]&lt;5,"Low",IF(mental_health[Sleep_Hours]&lt;7,"Medium","Good"))</f>
        <v>Good</v>
      </c>
      <c r="U562" t="str">
        <f>IF(mental_health[Stress_Level]&lt;=3,"Low",IF(mental_health[Stress_Level]&lt;=7,"Medium","High"))</f>
        <v>Low</v>
      </c>
      <c r="V562" t="str">
        <f>IF(mental_health[Daily_Screen_Time]&lt;=4,"Low",IF(mental_health[Daily_Screen_Time]&lt;=8,"Medium","High"))</f>
        <v>Low</v>
      </c>
    </row>
    <row r="563" spans="1:22" x14ac:dyDescent="0.3">
      <c r="A563">
        <v>562</v>
      </c>
      <c r="B563">
        <v>50</v>
      </c>
      <c r="C563" t="s">
        <v>18</v>
      </c>
      <c r="D563" t="s">
        <v>19</v>
      </c>
      <c r="E563">
        <v>7.1</v>
      </c>
      <c r="F563">
        <v>7.2</v>
      </c>
      <c r="G563">
        <v>0</v>
      </c>
      <c r="H563" t="str">
        <f t="shared" si="8"/>
        <v>No Night Usage</v>
      </c>
      <c r="I563">
        <v>4.8</v>
      </c>
      <c r="J563" s="3">
        <v>7</v>
      </c>
      <c r="K563">
        <v>3.2</v>
      </c>
      <c r="L563" t="s">
        <v>21</v>
      </c>
      <c r="M563">
        <v>5</v>
      </c>
      <c r="N563">
        <v>2</v>
      </c>
      <c r="O563">
        <v>1</v>
      </c>
      <c r="P563">
        <v>0</v>
      </c>
      <c r="Q563">
        <v>0</v>
      </c>
      <c r="R563">
        <v>1</v>
      </c>
      <c r="S563">
        <v>0</v>
      </c>
      <c r="T563" t="str">
        <f>IF(mental_health[Sleep_Hours]&lt;5,"Low",IF(mental_health[Sleep_Hours]&lt;7,"Medium","Good"))</f>
        <v>Low</v>
      </c>
      <c r="U563" t="str">
        <f>IF(mental_health[Stress_Level]&lt;=3,"Low",IF(mental_health[Stress_Level]&lt;=7,"Medium","High"))</f>
        <v>Medium</v>
      </c>
      <c r="V563" t="str">
        <f>IF(mental_health[Daily_Screen_Time]&lt;=4,"Low",IF(mental_health[Daily_Screen_Time]&lt;=8,"Medium","High"))</f>
        <v>Medium</v>
      </c>
    </row>
    <row r="564" spans="1:22" x14ac:dyDescent="0.3">
      <c r="A564">
        <v>563</v>
      </c>
      <c r="B564">
        <v>38</v>
      </c>
      <c r="C564" t="s">
        <v>18</v>
      </c>
      <c r="D564" t="s">
        <v>19</v>
      </c>
      <c r="E564">
        <v>2.6</v>
      </c>
      <c r="F564">
        <v>5.2</v>
      </c>
      <c r="G564">
        <v>0</v>
      </c>
      <c r="H564" t="str">
        <f t="shared" si="8"/>
        <v>No Night Usage</v>
      </c>
      <c r="I564">
        <v>3.1</v>
      </c>
      <c r="J564" s="3">
        <v>2</v>
      </c>
      <c r="K564">
        <v>9.3000000000000007</v>
      </c>
      <c r="L564" t="s">
        <v>25</v>
      </c>
      <c r="M564">
        <v>5</v>
      </c>
      <c r="N564">
        <v>1</v>
      </c>
      <c r="O564">
        <v>0</v>
      </c>
      <c r="P564">
        <v>0</v>
      </c>
      <c r="Q564">
        <v>1</v>
      </c>
      <c r="R564">
        <v>0</v>
      </c>
      <c r="S564">
        <v>1</v>
      </c>
      <c r="T564" t="str">
        <f>IF(mental_health[Sleep_Hours]&lt;5,"Low",IF(mental_health[Sleep_Hours]&lt;7,"Medium","Good"))</f>
        <v>Low</v>
      </c>
      <c r="U564" t="str">
        <f>IF(mental_health[Stress_Level]&lt;=3,"Low",IF(mental_health[Stress_Level]&lt;=7,"Medium","High"))</f>
        <v>Low</v>
      </c>
      <c r="V564" t="str">
        <f>IF(mental_health[Daily_Screen_Time]&lt;=4,"Low",IF(mental_health[Daily_Screen_Time]&lt;=8,"Medium","High"))</f>
        <v>Low</v>
      </c>
    </row>
    <row r="565" spans="1:22" x14ac:dyDescent="0.3">
      <c r="A565">
        <v>564</v>
      </c>
      <c r="B565">
        <v>44</v>
      </c>
      <c r="C565" t="s">
        <v>18</v>
      </c>
      <c r="D565" t="s">
        <v>22</v>
      </c>
      <c r="E565">
        <v>2.7</v>
      </c>
      <c r="F565">
        <v>4.7</v>
      </c>
      <c r="G565">
        <v>1</v>
      </c>
      <c r="H565" t="str">
        <f t="shared" si="8"/>
        <v>Night Usage</v>
      </c>
      <c r="I565">
        <v>4.8</v>
      </c>
      <c r="J565" s="3">
        <v>2</v>
      </c>
      <c r="K565">
        <v>7.7</v>
      </c>
      <c r="L565" t="s">
        <v>20</v>
      </c>
      <c r="M565">
        <v>3</v>
      </c>
      <c r="N565">
        <v>4</v>
      </c>
      <c r="O565">
        <v>1</v>
      </c>
      <c r="P565">
        <v>0</v>
      </c>
      <c r="Q565">
        <v>0</v>
      </c>
      <c r="R565">
        <v>0</v>
      </c>
      <c r="S565">
        <v>0</v>
      </c>
      <c r="T565" t="str">
        <f>IF(mental_health[Sleep_Hours]&lt;5,"Low",IF(mental_health[Sleep_Hours]&lt;7,"Medium","Good"))</f>
        <v>Low</v>
      </c>
      <c r="U565" t="str">
        <f>IF(mental_health[Stress_Level]&lt;=3,"Low",IF(mental_health[Stress_Level]&lt;=7,"Medium","High"))</f>
        <v>Low</v>
      </c>
      <c r="V565" t="str">
        <f>IF(mental_health[Daily_Screen_Time]&lt;=4,"Low",IF(mental_health[Daily_Screen_Time]&lt;=8,"Medium","High"))</f>
        <v>Low</v>
      </c>
    </row>
    <row r="566" spans="1:22" x14ac:dyDescent="0.3">
      <c r="A566">
        <v>565</v>
      </c>
      <c r="B566">
        <v>58</v>
      </c>
      <c r="C566" t="s">
        <v>23</v>
      </c>
      <c r="D566" t="s">
        <v>19</v>
      </c>
      <c r="E566">
        <v>7.7</v>
      </c>
      <c r="F566">
        <v>1.2</v>
      </c>
      <c r="G566">
        <v>0</v>
      </c>
      <c r="H566" t="str">
        <f t="shared" si="8"/>
        <v>No Night Usage</v>
      </c>
      <c r="I566">
        <v>6.5</v>
      </c>
      <c r="J566" s="3">
        <v>3</v>
      </c>
      <c r="K566">
        <v>7.3</v>
      </c>
      <c r="L566" t="s">
        <v>25</v>
      </c>
      <c r="M566">
        <v>2</v>
      </c>
      <c r="N566">
        <v>4</v>
      </c>
      <c r="O566">
        <v>0</v>
      </c>
      <c r="P566">
        <v>0</v>
      </c>
      <c r="Q566">
        <v>0</v>
      </c>
      <c r="R566">
        <v>0</v>
      </c>
      <c r="S566">
        <v>1</v>
      </c>
      <c r="T566" t="str">
        <f>IF(mental_health[Sleep_Hours]&lt;5,"Low",IF(mental_health[Sleep_Hours]&lt;7,"Medium","Good"))</f>
        <v>Medium</v>
      </c>
      <c r="U566" t="str">
        <f>IF(mental_health[Stress_Level]&lt;=3,"Low",IF(mental_health[Stress_Level]&lt;=7,"Medium","High"))</f>
        <v>Low</v>
      </c>
      <c r="V566" t="str">
        <f>IF(mental_health[Daily_Screen_Time]&lt;=4,"Low",IF(mental_health[Daily_Screen_Time]&lt;=8,"Medium","High"))</f>
        <v>Medium</v>
      </c>
    </row>
    <row r="567" spans="1:22" x14ac:dyDescent="0.3">
      <c r="A567">
        <v>566</v>
      </c>
      <c r="B567">
        <v>26</v>
      </c>
      <c r="C567" t="s">
        <v>23</v>
      </c>
      <c r="D567" t="s">
        <v>19</v>
      </c>
      <c r="E567">
        <v>7.7</v>
      </c>
      <c r="F567">
        <v>2.7</v>
      </c>
      <c r="G567">
        <v>1</v>
      </c>
      <c r="H567" t="str">
        <f t="shared" si="8"/>
        <v>Night Usage</v>
      </c>
      <c r="I567">
        <v>5.3</v>
      </c>
      <c r="J567" s="3">
        <v>4</v>
      </c>
      <c r="K567">
        <v>6.5</v>
      </c>
      <c r="L567" t="s">
        <v>20</v>
      </c>
      <c r="M567">
        <v>8</v>
      </c>
      <c r="N567">
        <v>0</v>
      </c>
      <c r="O567">
        <v>0</v>
      </c>
      <c r="P567">
        <v>0</v>
      </c>
      <c r="Q567">
        <v>0</v>
      </c>
      <c r="R567">
        <v>0</v>
      </c>
      <c r="S567">
        <v>1</v>
      </c>
      <c r="T567" t="str">
        <f>IF(mental_health[Sleep_Hours]&lt;5,"Low",IF(mental_health[Sleep_Hours]&lt;7,"Medium","Good"))</f>
        <v>Medium</v>
      </c>
      <c r="U567" t="str">
        <f>IF(mental_health[Stress_Level]&lt;=3,"Low",IF(mental_health[Stress_Level]&lt;=7,"Medium","High"))</f>
        <v>Medium</v>
      </c>
      <c r="V567" t="str">
        <f>IF(mental_health[Daily_Screen_Time]&lt;=4,"Low",IF(mental_health[Daily_Screen_Time]&lt;=8,"Medium","High"))</f>
        <v>Medium</v>
      </c>
    </row>
    <row r="568" spans="1:22" x14ac:dyDescent="0.3">
      <c r="A568">
        <v>567</v>
      </c>
      <c r="B568">
        <v>33</v>
      </c>
      <c r="C568" t="s">
        <v>18</v>
      </c>
      <c r="D568" t="s">
        <v>22</v>
      </c>
      <c r="E568">
        <v>10.8</v>
      </c>
      <c r="F568">
        <v>4.2</v>
      </c>
      <c r="G568">
        <v>1</v>
      </c>
      <c r="H568" t="str">
        <f t="shared" si="8"/>
        <v>Night Usage</v>
      </c>
      <c r="I568">
        <v>6.2</v>
      </c>
      <c r="J568" s="3">
        <v>6</v>
      </c>
      <c r="K568">
        <v>11.8</v>
      </c>
      <c r="L568" t="s">
        <v>25</v>
      </c>
      <c r="M568">
        <v>10</v>
      </c>
      <c r="N568">
        <v>2</v>
      </c>
      <c r="O568">
        <v>0</v>
      </c>
      <c r="P568">
        <v>0</v>
      </c>
      <c r="Q568">
        <v>1</v>
      </c>
      <c r="R568">
        <v>1</v>
      </c>
      <c r="S568">
        <v>1</v>
      </c>
      <c r="T568" t="str">
        <f>IF(mental_health[Sleep_Hours]&lt;5,"Low",IF(mental_health[Sleep_Hours]&lt;7,"Medium","Good"))</f>
        <v>Medium</v>
      </c>
      <c r="U568" t="str">
        <f>IF(mental_health[Stress_Level]&lt;=3,"Low",IF(mental_health[Stress_Level]&lt;=7,"Medium","High"))</f>
        <v>Medium</v>
      </c>
      <c r="V568" t="str">
        <f>IF(mental_health[Daily_Screen_Time]&lt;=4,"Low",IF(mental_health[Daily_Screen_Time]&lt;=8,"Medium","High"))</f>
        <v>High</v>
      </c>
    </row>
    <row r="569" spans="1:22" x14ac:dyDescent="0.3">
      <c r="A569">
        <v>568</v>
      </c>
      <c r="B569">
        <v>27</v>
      </c>
      <c r="C569" t="s">
        <v>18</v>
      </c>
      <c r="D569" t="s">
        <v>22</v>
      </c>
      <c r="E569">
        <v>7.6</v>
      </c>
      <c r="F569">
        <v>5.4</v>
      </c>
      <c r="G569">
        <v>1</v>
      </c>
      <c r="H569" t="str">
        <f t="shared" si="8"/>
        <v>Night Usage</v>
      </c>
      <c r="I569">
        <v>8.3000000000000007</v>
      </c>
      <c r="J569" s="3">
        <v>8</v>
      </c>
      <c r="K569">
        <v>2.5</v>
      </c>
      <c r="L569" t="s">
        <v>21</v>
      </c>
      <c r="M569">
        <v>9</v>
      </c>
      <c r="N569">
        <v>0</v>
      </c>
      <c r="O569">
        <v>0</v>
      </c>
      <c r="P569">
        <v>0</v>
      </c>
      <c r="Q569">
        <v>1</v>
      </c>
      <c r="R569">
        <v>0</v>
      </c>
      <c r="S569">
        <v>1</v>
      </c>
      <c r="T569" t="str">
        <f>IF(mental_health[Sleep_Hours]&lt;5,"Low",IF(mental_health[Sleep_Hours]&lt;7,"Medium","Good"))</f>
        <v>Good</v>
      </c>
      <c r="U569" t="str">
        <f>IF(mental_health[Stress_Level]&lt;=3,"Low",IF(mental_health[Stress_Level]&lt;=7,"Medium","High"))</f>
        <v>High</v>
      </c>
      <c r="V569" t="str">
        <f>IF(mental_health[Daily_Screen_Time]&lt;=4,"Low",IF(mental_health[Daily_Screen_Time]&lt;=8,"Medium","High"))</f>
        <v>Medium</v>
      </c>
    </row>
    <row r="570" spans="1:22" x14ac:dyDescent="0.3">
      <c r="A570">
        <v>569</v>
      </c>
      <c r="B570">
        <v>24</v>
      </c>
      <c r="C570" t="s">
        <v>23</v>
      </c>
      <c r="D570" t="s">
        <v>19</v>
      </c>
      <c r="E570">
        <v>11.6</v>
      </c>
      <c r="F570">
        <v>4.9000000000000004</v>
      </c>
      <c r="G570">
        <v>1</v>
      </c>
      <c r="H570" t="str">
        <f t="shared" si="8"/>
        <v>Night Usage</v>
      </c>
      <c r="I570">
        <v>8.5</v>
      </c>
      <c r="J570" s="3">
        <v>10</v>
      </c>
      <c r="K570">
        <v>3.8</v>
      </c>
      <c r="L570" t="s">
        <v>20</v>
      </c>
      <c r="M570">
        <v>10</v>
      </c>
      <c r="N570">
        <v>0</v>
      </c>
      <c r="O570">
        <v>1</v>
      </c>
      <c r="P570">
        <v>1</v>
      </c>
      <c r="Q570">
        <v>0</v>
      </c>
      <c r="R570">
        <v>0</v>
      </c>
      <c r="S570">
        <v>0</v>
      </c>
      <c r="T570" t="str">
        <f>IF(mental_health[Sleep_Hours]&lt;5,"Low",IF(mental_health[Sleep_Hours]&lt;7,"Medium","Good"))</f>
        <v>Good</v>
      </c>
      <c r="U570" t="str">
        <f>IF(mental_health[Stress_Level]&lt;=3,"Low",IF(mental_health[Stress_Level]&lt;=7,"Medium","High"))</f>
        <v>High</v>
      </c>
      <c r="V570" t="str">
        <f>IF(mental_health[Daily_Screen_Time]&lt;=4,"Low",IF(mental_health[Daily_Screen_Time]&lt;=8,"Medium","High"))</f>
        <v>High</v>
      </c>
    </row>
    <row r="571" spans="1:22" x14ac:dyDescent="0.3">
      <c r="A571">
        <v>570</v>
      </c>
      <c r="B571">
        <v>25</v>
      </c>
      <c r="C571" t="s">
        <v>23</v>
      </c>
      <c r="D571" t="s">
        <v>19</v>
      </c>
      <c r="E571">
        <v>2.5</v>
      </c>
      <c r="F571">
        <v>6.2</v>
      </c>
      <c r="G571">
        <v>0</v>
      </c>
      <c r="H571" t="str">
        <f t="shared" si="8"/>
        <v>No Night Usage</v>
      </c>
      <c r="I571">
        <v>4.5999999999999996</v>
      </c>
      <c r="J571" s="3">
        <v>10</v>
      </c>
      <c r="K571">
        <v>8.5</v>
      </c>
      <c r="L571" t="s">
        <v>21</v>
      </c>
      <c r="M571">
        <v>9</v>
      </c>
      <c r="N571">
        <v>1</v>
      </c>
      <c r="O571">
        <v>1</v>
      </c>
      <c r="P571">
        <v>1</v>
      </c>
      <c r="Q571">
        <v>0</v>
      </c>
      <c r="R571">
        <v>1</v>
      </c>
      <c r="S571">
        <v>1</v>
      </c>
      <c r="T571" t="str">
        <f>IF(mental_health[Sleep_Hours]&lt;5,"Low",IF(mental_health[Sleep_Hours]&lt;7,"Medium","Good"))</f>
        <v>Low</v>
      </c>
      <c r="U571" t="str">
        <f>IF(mental_health[Stress_Level]&lt;=3,"Low",IF(mental_health[Stress_Level]&lt;=7,"Medium","High"))</f>
        <v>High</v>
      </c>
      <c r="V571" t="str">
        <f>IF(mental_health[Daily_Screen_Time]&lt;=4,"Low",IF(mental_health[Daily_Screen_Time]&lt;=8,"Medium","High"))</f>
        <v>Low</v>
      </c>
    </row>
    <row r="572" spans="1:22" x14ac:dyDescent="0.3">
      <c r="A572">
        <v>571</v>
      </c>
      <c r="B572">
        <v>59</v>
      </c>
      <c r="C572" t="s">
        <v>23</v>
      </c>
      <c r="D572" t="s">
        <v>19</v>
      </c>
      <c r="E572">
        <v>3</v>
      </c>
      <c r="F572">
        <v>3</v>
      </c>
      <c r="G572">
        <v>1</v>
      </c>
      <c r="H572" t="str">
        <f t="shared" si="8"/>
        <v>Night Usage</v>
      </c>
      <c r="I572">
        <v>5.8</v>
      </c>
      <c r="J572" s="3">
        <v>7</v>
      </c>
      <c r="K572">
        <v>3.4</v>
      </c>
      <c r="L572" t="s">
        <v>20</v>
      </c>
      <c r="M572">
        <v>5</v>
      </c>
      <c r="N572">
        <v>2</v>
      </c>
      <c r="O572">
        <v>0</v>
      </c>
      <c r="P572">
        <v>0</v>
      </c>
      <c r="Q572">
        <v>1</v>
      </c>
      <c r="R572">
        <v>1</v>
      </c>
      <c r="S572">
        <v>0</v>
      </c>
      <c r="T572" t="str">
        <f>IF(mental_health[Sleep_Hours]&lt;5,"Low",IF(mental_health[Sleep_Hours]&lt;7,"Medium","Good"))</f>
        <v>Medium</v>
      </c>
      <c r="U572" t="str">
        <f>IF(mental_health[Stress_Level]&lt;=3,"Low",IF(mental_health[Stress_Level]&lt;=7,"Medium","High"))</f>
        <v>Medium</v>
      </c>
      <c r="V572" t="str">
        <f>IF(mental_health[Daily_Screen_Time]&lt;=4,"Low",IF(mental_health[Daily_Screen_Time]&lt;=8,"Medium","High"))</f>
        <v>Low</v>
      </c>
    </row>
    <row r="573" spans="1:22" x14ac:dyDescent="0.3">
      <c r="A573">
        <v>572</v>
      </c>
      <c r="B573">
        <v>32</v>
      </c>
      <c r="C573" t="s">
        <v>23</v>
      </c>
      <c r="D573" t="s">
        <v>19</v>
      </c>
      <c r="E573">
        <v>2.4</v>
      </c>
      <c r="F573">
        <v>5</v>
      </c>
      <c r="G573">
        <v>0</v>
      </c>
      <c r="H573" t="str">
        <f t="shared" si="8"/>
        <v>No Night Usage</v>
      </c>
      <c r="I573">
        <v>6.3</v>
      </c>
      <c r="J573" s="3">
        <v>4</v>
      </c>
      <c r="K573">
        <v>7.9</v>
      </c>
      <c r="L573" t="s">
        <v>25</v>
      </c>
      <c r="M573">
        <v>9</v>
      </c>
      <c r="N573">
        <v>1</v>
      </c>
      <c r="O573">
        <v>0</v>
      </c>
      <c r="P573">
        <v>1</v>
      </c>
      <c r="Q573">
        <v>0</v>
      </c>
      <c r="R573">
        <v>0</v>
      </c>
      <c r="S573">
        <v>0</v>
      </c>
      <c r="T573" t="str">
        <f>IF(mental_health[Sleep_Hours]&lt;5,"Low",IF(mental_health[Sleep_Hours]&lt;7,"Medium","Good"))</f>
        <v>Medium</v>
      </c>
      <c r="U573" t="str">
        <f>IF(mental_health[Stress_Level]&lt;=3,"Low",IF(mental_health[Stress_Level]&lt;=7,"Medium","High"))</f>
        <v>Medium</v>
      </c>
      <c r="V573" t="str">
        <f>IF(mental_health[Daily_Screen_Time]&lt;=4,"Low",IF(mental_health[Daily_Screen_Time]&lt;=8,"Medium","High"))</f>
        <v>Low</v>
      </c>
    </row>
    <row r="574" spans="1:22" x14ac:dyDescent="0.3">
      <c r="A574">
        <v>573</v>
      </c>
      <c r="B574">
        <v>53</v>
      </c>
      <c r="C574" t="s">
        <v>23</v>
      </c>
      <c r="D574" t="s">
        <v>24</v>
      </c>
      <c r="E574">
        <v>3.9</v>
      </c>
      <c r="F574">
        <v>1.6</v>
      </c>
      <c r="G574">
        <v>1</v>
      </c>
      <c r="H574" t="str">
        <f t="shared" si="8"/>
        <v>Night Usage</v>
      </c>
      <c r="I574">
        <v>8.6999999999999993</v>
      </c>
      <c r="J574" s="3">
        <v>2</v>
      </c>
      <c r="K574">
        <v>7.7</v>
      </c>
      <c r="L574" t="s">
        <v>21</v>
      </c>
      <c r="M574">
        <v>4</v>
      </c>
      <c r="N574">
        <v>2</v>
      </c>
      <c r="O574">
        <v>0</v>
      </c>
      <c r="P574">
        <v>0</v>
      </c>
      <c r="Q574">
        <v>1</v>
      </c>
      <c r="R574">
        <v>0</v>
      </c>
      <c r="S574">
        <v>1</v>
      </c>
      <c r="T574" t="str">
        <f>IF(mental_health[Sleep_Hours]&lt;5,"Low",IF(mental_health[Sleep_Hours]&lt;7,"Medium","Good"))</f>
        <v>Good</v>
      </c>
      <c r="U574" t="str">
        <f>IF(mental_health[Stress_Level]&lt;=3,"Low",IF(mental_health[Stress_Level]&lt;=7,"Medium","High"))</f>
        <v>Low</v>
      </c>
      <c r="V574" t="str">
        <f>IF(mental_health[Daily_Screen_Time]&lt;=4,"Low",IF(mental_health[Daily_Screen_Time]&lt;=8,"Medium","High"))</f>
        <v>Low</v>
      </c>
    </row>
    <row r="575" spans="1:22" x14ac:dyDescent="0.3">
      <c r="A575">
        <v>574</v>
      </c>
      <c r="B575">
        <v>22</v>
      </c>
      <c r="C575" t="s">
        <v>23</v>
      </c>
      <c r="D575" t="s">
        <v>24</v>
      </c>
      <c r="E575">
        <v>7.4</v>
      </c>
      <c r="F575">
        <v>3.9</v>
      </c>
      <c r="G575">
        <v>1</v>
      </c>
      <c r="H575" t="str">
        <f t="shared" si="8"/>
        <v>Night Usage</v>
      </c>
      <c r="I575">
        <v>9</v>
      </c>
      <c r="J575" s="3">
        <v>2</v>
      </c>
      <c r="K575">
        <v>11.7</v>
      </c>
      <c r="L575" t="s">
        <v>21</v>
      </c>
      <c r="M575">
        <v>2</v>
      </c>
      <c r="N575">
        <v>4</v>
      </c>
      <c r="O575">
        <v>1</v>
      </c>
      <c r="P575">
        <v>1</v>
      </c>
      <c r="Q575">
        <v>0</v>
      </c>
      <c r="R575">
        <v>1</v>
      </c>
      <c r="S575">
        <v>1</v>
      </c>
      <c r="T575" t="str">
        <f>IF(mental_health[Sleep_Hours]&lt;5,"Low",IF(mental_health[Sleep_Hours]&lt;7,"Medium","Good"))</f>
        <v>Good</v>
      </c>
      <c r="U575" t="str">
        <f>IF(mental_health[Stress_Level]&lt;=3,"Low",IF(mental_health[Stress_Level]&lt;=7,"Medium","High"))</f>
        <v>Low</v>
      </c>
      <c r="V575" t="str">
        <f>IF(mental_health[Daily_Screen_Time]&lt;=4,"Low",IF(mental_health[Daily_Screen_Time]&lt;=8,"Medium","High"))</f>
        <v>Medium</v>
      </c>
    </row>
    <row r="576" spans="1:22" x14ac:dyDescent="0.3">
      <c r="A576">
        <v>575</v>
      </c>
      <c r="B576">
        <v>28</v>
      </c>
      <c r="C576" t="s">
        <v>23</v>
      </c>
      <c r="D576" t="s">
        <v>19</v>
      </c>
      <c r="E576">
        <v>8.5</v>
      </c>
      <c r="F576">
        <v>6.3</v>
      </c>
      <c r="G576">
        <v>0</v>
      </c>
      <c r="H576" t="str">
        <f t="shared" si="8"/>
        <v>No Night Usage</v>
      </c>
      <c r="I576">
        <v>4.4000000000000004</v>
      </c>
      <c r="J576" s="3">
        <v>4</v>
      </c>
      <c r="K576">
        <v>10.8</v>
      </c>
      <c r="L576" t="s">
        <v>20</v>
      </c>
      <c r="M576">
        <v>3</v>
      </c>
      <c r="N576">
        <v>3</v>
      </c>
      <c r="O576">
        <v>0</v>
      </c>
      <c r="P576">
        <v>0</v>
      </c>
      <c r="Q576">
        <v>1</v>
      </c>
      <c r="R576">
        <v>0</v>
      </c>
      <c r="S576">
        <v>0</v>
      </c>
      <c r="T576" t="str">
        <f>IF(mental_health[Sleep_Hours]&lt;5,"Low",IF(mental_health[Sleep_Hours]&lt;7,"Medium","Good"))</f>
        <v>Low</v>
      </c>
      <c r="U576" t="str">
        <f>IF(mental_health[Stress_Level]&lt;=3,"Low",IF(mental_health[Stress_Level]&lt;=7,"Medium","High"))</f>
        <v>Medium</v>
      </c>
      <c r="V576" t="str">
        <f>IF(mental_health[Daily_Screen_Time]&lt;=4,"Low",IF(mental_health[Daily_Screen_Time]&lt;=8,"Medium","High"))</f>
        <v>High</v>
      </c>
    </row>
    <row r="577" spans="1:22" x14ac:dyDescent="0.3">
      <c r="A577">
        <v>576</v>
      </c>
      <c r="B577">
        <v>55</v>
      </c>
      <c r="C577" t="s">
        <v>23</v>
      </c>
      <c r="D577" t="s">
        <v>24</v>
      </c>
      <c r="E577">
        <v>2.5</v>
      </c>
      <c r="F577">
        <v>5.9</v>
      </c>
      <c r="G577">
        <v>1</v>
      </c>
      <c r="H577" t="str">
        <f t="shared" si="8"/>
        <v>Night Usage</v>
      </c>
      <c r="I577">
        <v>7.4</v>
      </c>
      <c r="J577" s="3">
        <v>6</v>
      </c>
      <c r="K577">
        <v>11.5</v>
      </c>
      <c r="L577" t="s">
        <v>20</v>
      </c>
      <c r="M577">
        <v>1</v>
      </c>
      <c r="N577">
        <v>3</v>
      </c>
      <c r="O577">
        <v>0</v>
      </c>
      <c r="P577">
        <v>0</v>
      </c>
      <c r="Q577">
        <v>0</v>
      </c>
      <c r="R577">
        <v>0</v>
      </c>
      <c r="S577">
        <v>1</v>
      </c>
      <c r="T577" t="str">
        <f>IF(mental_health[Sleep_Hours]&lt;5,"Low",IF(mental_health[Sleep_Hours]&lt;7,"Medium","Good"))</f>
        <v>Good</v>
      </c>
      <c r="U577" t="str">
        <f>IF(mental_health[Stress_Level]&lt;=3,"Low",IF(mental_health[Stress_Level]&lt;=7,"Medium","High"))</f>
        <v>Medium</v>
      </c>
      <c r="V577" t="str">
        <f>IF(mental_health[Daily_Screen_Time]&lt;=4,"Low",IF(mental_health[Daily_Screen_Time]&lt;=8,"Medium","High"))</f>
        <v>Low</v>
      </c>
    </row>
    <row r="578" spans="1:22" x14ac:dyDescent="0.3">
      <c r="A578">
        <v>577</v>
      </c>
      <c r="B578">
        <v>57</v>
      </c>
      <c r="C578" t="s">
        <v>23</v>
      </c>
      <c r="D578" t="s">
        <v>22</v>
      </c>
      <c r="E578">
        <v>11.5</v>
      </c>
      <c r="F578">
        <v>7.9</v>
      </c>
      <c r="G578">
        <v>0</v>
      </c>
      <c r="H578" t="str">
        <f t="shared" ref="H578:H641" si="9">IF(G578=1,"Night Usage","No Night Usage")</f>
        <v>No Night Usage</v>
      </c>
      <c r="I578">
        <v>5.3</v>
      </c>
      <c r="J578" s="3">
        <v>3</v>
      </c>
      <c r="K578">
        <v>3.1</v>
      </c>
      <c r="L578" t="s">
        <v>20</v>
      </c>
      <c r="M578">
        <v>5</v>
      </c>
      <c r="N578">
        <v>2</v>
      </c>
      <c r="O578">
        <v>1</v>
      </c>
      <c r="P578">
        <v>1</v>
      </c>
      <c r="Q578">
        <v>0</v>
      </c>
      <c r="R578">
        <v>0</v>
      </c>
      <c r="S578">
        <v>1</v>
      </c>
      <c r="T578" t="str">
        <f>IF(mental_health[Sleep_Hours]&lt;5,"Low",IF(mental_health[Sleep_Hours]&lt;7,"Medium","Good"))</f>
        <v>Medium</v>
      </c>
      <c r="U578" t="str">
        <f>IF(mental_health[Stress_Level]&lt;=3,"Low",IF(mental_health[Stress_Level]&lt;=7,"Medium","High"))</f>
        <v>Low</v>
      </c>
      <c r="V578" t="str">
        <f>IF(mental_health[Daily_Screen_Time]&lt;=4,"Low",IF(mental_health[Daily_Screen_Time]&lt;=8,"Medium","High"))</f>
        <v>High</v>
      </c>
    </row>
    <row r="579" spans="1:22" x14ac:dyDescent="0.3">
      <c r="A579">
        <v>578</v>
      </c>
      <c r="B579">
        <v>24</v>
      </c>
      <c r="C579" t="s">
        <v>18</v>
      </c>
      <c r="D579" t="s">
        <v>24</v>
      </c>
      <c r="E579">
        <v>10.4</v>
      </c>
      <c r="F579">
        <v>2.9</v>
      </c>
      <c r="G579">
        <v>0</v>
      </c>
      <c r="H579" t="str">
        <f t="shared" si="9"/>
        <v>No Night Usage</v>
      </c>
      <c r="I579">
        <v>3</v>
      </c>
      <c r="J579" s="3">
        <v>6</v>
      </c>
      <c r="K579">
        <v>10.7</v>
      </c>
      <c r="L579" t="s">
        <v>21</v>
      </c>
      <c r="M579">
        <v>1</v>
      </c>
      <c r="N579">
        <v>3</v>
      </c>
      <c r="O579">
        <v>0</v>
      </c>
      <c r="P579">
        <v>1</v>
      </c>
      <c r="Q579">
        <v>0</v>
      </c>
      <c r="R579">
        <v>0</v>
      </c>
      <c r="S579">
        <v>1</v>
      </c>
      <c r="T579" t="str">
        <f>IF(mental_health[Sleep_Hours]&lt;5,"Low",IF(mental_health[Sleep_Hours]&lt;7,"Medium","Good"))</f>
        <v>Low</v>
      </c>
      <c r="U579" t="str">
        <f>IF(mental_health[Stress_Level]&lt;=3,"Low",IF(mental_health[Stress_Level]&lt;=7,"Medium","High"))</f>
        <v>Medium</v>
      </c>
      <c r="V579" t="str">
        <f>IF(mental_health[Daily_Screen_Time]&lt;=4,"Low",IF(mental_health[Daily_Screen_Time]&lt;=8,"Medium","High"))</f>
        <v>High</v>
      </c>
    </row>
    <row r="580" spans="1:22" x14ac:dyDescent="0.3">
      <c r="A580">
        <v>579</v>
      </c>
      <c r="B580">
        <v>42</v>
      </c>
      <c r="C580" t="s">
        <v>18</v>
      </c>
      <c r="D580" t="s">
        <v>24</v>
      </c>
      <c r="E580">
        <v>5</v>
      </c>
      <c r="F580">
        <v>4.5</v>
      </c>
      <c r="G580">
        <v>1</v>
      </c>
      <c r="H580" t="str">
        <f t="shared" si="9"/>
        <v>Night Usage</v>
      </c>
      <c r="I580">
        <v>3.1</v>
      </c>
      <c r="J580" s="3">
        <v>5</v>
      </c>
      <c r="K580">
        <v>3.3</v>
      </c>
      <c r="L580" t="s">
        <v>25</v>
      </c>
      <c r="M580">
        <v>1</v>
      </c>
      <c r="N580">
        <v>0</v>
      </c>
      <c r="O580">
        <v>0</v>
      </c>
      <c r="P580">
        <v>1</v>
      </c>
      <c r="Q580">
        <v>0</v>
      </c>
      <c r="R580">
        <v>0</v>
      </c>
      <c r="S580">
        <v>1</v>
      </c>
      <c r="T580" t="str">
        <f>IF(mental_health[Sleep_Hours]&lt;5,"Low",IF(mental_health[Sleep_Hours]&lt;7,"Medium","Good"))</f>
        <v>Low</v>
      </c>
      <c r="U580" t="str">
        <f>IF(mental_health[Stress_Level]&lt;=3,"Low",IF(mental_health[Stress_Level]&lt;=7,"Medium","High"))</f>
        <v>Medium</v>
      </c>
      <c r="V580" t="str">
        <f>IF(mental_health[Daily_Screen_Time]&lt;=4,"Low",IF(mental_health[Daily_Screen_Time]&lt;=8,"Medium","High"))</f>
        <v>Medium</v>
      </c>
    </row>
    <row r="581" spans="1:22" x14ac:dyDescent="0.3">
      <c r="A581">
        <v>580</v>
      </c>
      <c r="B581">
        <v>17</v>
      </c>
      <c r="C581" t="s">
        <v>18</v>
      </c>
      <c r="D581" t="s">
        <v>19</v>
      </c>
      <c r="E581">
        <v>2.8</v>
      </c>
      <c r="F581">
        <v>3.3</v>
      </c>
      <c r="G581">
        <v>1</v>
      </c>
      <c r="H581" t="str">
        <f t="shared" si="9"/>
        <v>Night Usage</v>
      </c>
      <c r="I581">
        <v>5.8</v>
      </c>
      <c r="J581" s="3">
        <v>5</v>
      </c>
      <c r="K581">
        <v>8.3000000000000007</v>
      </c>
      <c r="L581" t="s">
        <v>20</v>
      </c>
      <c r="M581">
        <v>7</v>
      </c>
      <c r="N581">
        <v>4</v>
      </c>
      <c r="O581">
        <v>0</v>
      </c>
      <c r="P581">
        <v>1</v>
      </c>
      <c r="Q581">
        <v>1</v>
      </c>
      <c r="R581">
        <v>0</v>
      </c>
      <c r="S581">
        <v>0</v>
      </c>
      <c r="T581" t="str">
        <f>IF(mental_health[Sleep_Hours]&lt;5,"Low",IF(mental_health[Sleep_Hours]&lt;7,"Medium","Good"))</f>
        <v>Medium</v>
      </c>
      <c r="U581" t="str">
        <f>IF(mental_health[Stress_Level]&lt;=3,"Low",IF(mental_health[Stress_Level]&lt;=7,"Medium","High"))</f>
        <v>Medium</v>
      </c>
      <c r="V581" t="str">
        <f>IF(mental_health[Daily_Screen_Time]&lt;=4,"Low",IF(mental_health[Daily_Screen_Time]&lt;=8,"Medium","High"))</f>
        <v>Low</v>
      </c>
    </row>
    <row r="582" spans="1:22" x14ac:dyDescent="0.3">
      <c r="A582">
        <v>581</v>
      </c>
      <c r="B582">
        <v>20</v>
      </c>
      <c r="C582" t="s">
        <v>23</v>
      </c>
      <c r="D582" t="s">
        <v>24</v>
      </c>
      <c r="E582">
        <v>3.7</v>
      </c>
      <c r="F582">
        <v>4.0999999999999996</v>
      </c>
      <c r="G582">
        <v>1</v>
      </c>
      <c r="H582" t="str">
        <f t="shared" si="9"/>
        <v>Night Usage</v>
      </c>
      <c r="I582">
        <v>5.9</v>
      </c>
      <c r="J582" s="3">
        <v>2</v>
      </c>
      <c r="K582">
        <v>9.1999999999999993</v>
      </c>
      <c r="L582" t="s">
        <v>25</v>
      </c>
      <c r="M582">
        <v>2</v>
      </c>
      <c r="N582">
        <v>4</v>
      </c>
      <c r="O582">
        <v>0</v>
      </c>
      <c r="P582">
        <v>1</v>
      </c>
      <c r="Q582">
        <v>0</v>
      </c>
      <c r="R582">
        <v>1</v>
      </c>
      <c r="S582">
        <v>0</v>
      </c>
      <c r="T582" t="str">
        <f>IF(mental_health[Sleep_Hours]&lt;5,"Low",IF(mental_health[Sleep_Hours]&lt;7,"Medium","Good"))</f>
        <v>Medium</v>
      </c>
      <c r="U582" t="str">
        <f>IF(mental_health[Stress_Level]&lt;=3,"Low",IF(mental_health[Stress_Level]&lt;=7,"Medium","High"))</f>
        <v>Low</v>
      </c>
      <c r="V582" t="str">
        <f>IF(mental_health[Daily_Screen_Time]&lt;=4,"Low",IF(mental_health[Daily_Screen_Time]&lt;=8,"Medium","High"))</f>
        <v>Low</v>
      </c>
    </row>
    <row r="583" spans="1:22" x14ac:dyDescent="0.3">
      <c r="A583">
        <v>582</v>
      </c>
      <c r="B583">
        <v>44</v>
      </c>
      <c r="C583" t="s">
        <v>18</v>
      </c>
      <c r="D583" t="s">
        <v>24</v>
      </c>
      <c r="E583">
        <v>3.3</v>
      </c>
      <c r="F583">
        <v>7</v>
      </c>
      <c r="G583">
        <v>1</v>
      </c>
      <c r="H583" t="str">
        <f t="shared" si="9"/>
        <v>Night Usage</v>
      </c>
      <c r="I583">
        <v>3.1</v>
      </c>
      <c r="J583" s="3">
        <v>8</v>
      </c>
      <c r="K583">
        <v>3.6</v>
      </c>
      <c r="L583" t="s">
        <v>20</v>
      </c>
      <c r="M583">
        <v>8</v>
      </c>
      <c r="N583">
        <v>3</v>
      </c>
      <c r="O583">
        <v>1</v>
      </c>
      <c r="P583">
        <v>0</v>
      </c>
      <c r="Q583">
        <v>0</v>
      </c>
      <c r="R583">
        <v>0</v>
      </c>
      <c r="S583">
        <v>1</v>
      </c>
      <c r="T583" t="str">
        <f>IF(mental_health[Sleep_Hours]&lt;5,"Low",IF(mental_health[Sleep_Hours]&lt;7,"Medium","Good"))</f>
        <v>Low</v>
      </c>
      <c r="U583" t="str">
        <f>IF(mental_health[Stress_Level]&lt;=3,"Low",IF(mental_health[Stress_Level]&lt;=7,"Medium","High"))</f>
        <v>High</v>
      </c>
      <c r="V583" t="str">
        <f>IF(mental_health[Daily_Screen_Time]&lt;=4,"Low",IF(mental_health[Daily_Screen_Time]&lt;=8,"Medium","High"))</f>
        <v>Low</v>
      </c>
    </row>
    <row r="584" spans="1:22" x14ac:dyDescent="0.3">
      <c r="A584">
        <v>583</v>
      </c>
      <c r="B584">
        <v>52</v>
      </c>
      <c r="C584" t="s">
        <v>23</v>
      </c>
      <c r="D584" t="s">
        <v>24</v>
      </c>
      <c r="E584">
        <v>3.2</v>
      </c>
      <c r="F584">
        <v>5.8</v>
      </c>
      <c r="G584">
        <v>0</v>
      </c>
      <c r="H584" t="str">
        <f t="shared" si="9"/>
        <v>No Night Usage</v>
      </c>
      <c r="I584">
        <v>7.1</v>
      </c>
      <c r="J584" s="3">
        <v>5</v>
      </c>
      <c r="K584">
        <v>8.3000000000000007</v>
      </c>
      <c r="L584" t="s">
        <v>25</v>
      </c>
      <c r="M584">
        <v>6</v>
      </c>
      <c r="N584">
        <v>2</v>
      </c>
      <c r="O584">
        <v>1</v>
      </c>
      <c r="P584">
        <v>0</v>
      </c>
      <c r="Q584">
        <v>0</v>
      </c>
      <c r="R584">
        <v>0</v>
      </c>
      <c r="S584">
        <v>1</v>
      </c>
      <c r="T584" t="str">
        <f>IF(mental_health[Sleep_Hours]&lt;5,"Low",IF(mental_health[Sleep_Hours]&lt;7,"Medium","Good"))</f>
        <v>Good</v>
      </c>
      <c r="U584" t="str">
        <f>IF(mental_health[Stress_Level]&lt;=3,"Low",IF(mental_health[Stress_Level]&lt;=7,"Medium","High"))</f>
        <v>Medium</v>
      </c>
      <c r="V584" t="str">
        <f>IF(mental_health[Daily_Screen_Time]&lt;=4,"Low",IF(mental_health[Daily_Screen_Time]&lt;=8,"Medium","High"))</f>
        <v>Low</v>
      </c>
    </row>
    <row r="585" spans="1:22" x14ac:dyDescent="0.3">
      <c r="A585">
        <v>584</v>
      </c>
      <c r="B585">
        <v>53</v>
      </c>
      <c r="C585" t="s">
        <v>23</v>
      </c>
      <c r="D585" t="s">
        <v>24</v>
      </c>
      <c r="E585">
        <v>7.2</v>
      </c>
      <c r="F585">
        <v>7.2</v>
      </c>
      <c r="G585">
        <v>1</v>
      </c>
      <c r="H585" t="str">
        <f t="shared" si="9"/>
        <v>Night Usage</v>
      </c>
      <c r="I585">
        <v>4.8</v>
      </c>
      <c r="J585" s="3">
        <v>2</v>
      </c>
      <c r="K585">
        <v>2.5</v>
      </c>
      <c r="L585" t="s">
        <v>20</v>
      </c>
      <c r="M585">
        <v>4</v>
      </c>
      <c r="N585">
        <v>0</v>
      </c>
      <c r="O585">
        <v>1</v>
      </c>
      <c r="P585">
        <v>0</v>
      </c>
      <c r="Q585">
        <v>0</v>
      </c>
      <c r="R585">
        <v>0</v>
      </c>
      <c r="S585">
        <v>0</v>
      </c>
      <c r="T585" t="str">
        <f>IF(mental_health[Sleep_Hours]&lt;5,"Low",IF(mental_health[Sleep_Hours]&lt;7,"Medium","Good"))</f>
        <v>Low</v>
      </c>
      <c r="U585" t="str">
        <f>IF(mental_health[Stress_Level]&lt;=3,"Low",IF(mental_health[Stress_Level]&lt;=7,"Medium","High"))</f>
        <v>Low</v>
      </c>
      <c r="V585" t="str">
        <f>IF(mental_health[Daily_Screen_Time]&lt;=4,"Low",IF(mental_health[Daily_Screen_Time]&lt;=8,"Medium","High"))</f>
        <v>Medium</v>
      </c>
    </row>
    <row r="586" spans="1:22" x14ac:dyDescent="0.3">
      <c r="A586">
        <v>585</v>
      </c>
      <c r="B586">
        <v>34</v>
      </c>
      <c r="C586" t="s">
        <v>18</v>
      </c>
      <c r="D586" t="s">
        <v>22</v>
      </c>
      <c r="E586">
        <v>4.5</v>
      </c>
      <c r="F586">
        <v>2.4</v>
      </c>
      <c r="G586">
        <v>1</v>
      </c>
      <c r="H586" t="str">
        <f t="shared" si="9"/>
        <v>Night Usage</v>
      </c>
      <c r="I586">
        <v>6.4</v>
      </c>
      <c r="J586" s="3">
        <v>7</v>
      </c>
      <c r="K586">
        <v>4.9000000000000004</v>
      </c>
      <c r="L586" t="s">
        <v>25</v>
      </c>
      <c r="M586">
        <v>9</v>
      </c>
      <c r="N586">
        <v>2</v>
      </c>
      <c r="O586">
        <v>0</v>
      </c>
      <c r="P586">
        <v>1</v>
      </c>
      <c r="Q586">
        <v>0</v>
      </c>
      <c r="R586">
        <v>1</v>
      </c>
      <c r="S586">
        <v>0</v>
      </c>
      <c r="T586" t="str">
        <f>IF(mental_health[Sleep_Hours]&lt;5,"Low",IF(mental_health[Sleep_Hours]&lt;7,"Medium","Good"))</f>
        <v>Medium</v>
      </c>
      <c r="U586" t="str">
        <f>IF(mental_health[Stress_Level]&lt;=3,"Low",IF(mental_health[Stress_Level]&lt;=7,"Medium","High"))</f>
        <v>Medium</v>
      </c>
      <c r="V586" t="str">
        <f>IF(mental_health[Daily_Screen_Time]&lt;=4,"Low",IF(mental_health[Daily_Screen_Time]&lt;=8,"Medium","High"))</f>
        <v>Medium</v>
      </c>
    </row>
    <row r="587" spans="1:22" x14ac:dyDescent="0.3">
      <c r="A587">
        <v>586</v>
      </c>
      <c r="B587">
        <v>23</v>
      </c>
      <c r="C587" t="s">
        <v>23</v>
      </c>
      <c r="D587" t="s">
        <v>19</v>
      </c>
      <c r="E587">
        <v>5.6</v>
      </c>
      <c r="F587">
        <v>7.1</v>
      </c>
      <c r="G587">
        <v>1</v>
      </c>
      <c r="H587" t="str">
        <f t="shared" si="9"/>
        <v>Night Usage</v>
      </c>
      <c r="I587">
        <v>4.8</v>
      </c>
      <c r="J587" s="3">
        <v>9</v>
      </c>
      <c r="K587">
        <v>11.2</v>
      </c>
      <c r="L587" t="s">
        <v>21</v>
      </c>
      <c r="M587">
        <v>10</v>
      </c>
      <c r="N587">
        <v>3</v>
      </c>
      <c r="O587">
        <v>0</v>
      </c>
      <c r="P587">
        <v>0</v>
      </c>
      <c r="Q587">
        <v>1</v>
      </c>
      <c r="R587">
        <v>1</v>
      </c>
      <c r="S587">
        <v>1</v>
      </c>
      <c r="T587" t="str">
        <f>IF(mental_health[Sleep_Hours]&lt;5,"Low",IF(mental_health[Sleep_Hours]&lt;7,"Medium","Good"))</f>
        <v>Low</v>
      </c>
      <c r="U587" t="str">
        <f>IF(mental_health[Stress_Level]&lt;=3,"Low",IF(mental_health[Stress_Level]&lt;=7,"Medium","High"))</f>
        <v>High</v>
      </c>
      <c r="V587" t="str">
        <f>IF(mental_health[Daily_Screen_Time]&lt;=4,"Low",IF(mental_health[Daily_Screen_Time]&lt;=8,"Medium","High"))</f>
        <v>Medium</v>
      </c>
    </row>
    <row r="588" spans="1:22" x14ac:dyDescent="0.3">
      <c r="A588">
        <v>587</v>
      </c>
      <c r="B588">
        <v>16</v>
      </c>
      <c r="C588" t="s">
        <v>18</v>
      </c>
      <c r="D588" t="s">
        <v>19</v>
      </c>
      <c r="E588">
        <v>11.9</v>
      </c>
      <c r="F588">
        <v>1.4</v>
      </c>
      <c r="G588">
        <v>1</v>
      </c>
      <c r="H588" t="str">
        <f t="shared" si="9"/>
        <v>Night Usage</v>
      </c>
      <c r="I588">
        <v>4</v>
      </c>
      <c r="J588" s="3">
        <v>9</v>
      </c>
      <c r="K588">
        <v>3.7</v>
      </c>
      <c r="L588" t="s">
        <v>20</v>
      </c>
      <c r="M588">
        <v>8</v>
      </c>
      <c r="N588">
        <v>4</v>
      </c>
      <c r="O588">
        <v>1</v>
      </c>
      <c r="P588">
        <v>0</v>
      </c>
      <c r="Q588">
        <v>1</v>
      </c>
      <c r="R588">
        <v>1</v>
      </c>
      <c r="S588">
        <v>1</v>
      </c>
      <c r="T588" t="str">
        <f>IF(mental_health[Sleep_Hours]&lt;5,"Low",IF(mental_health[Sleep_Hours]&lt;7,"Medium","Good"))</f>
        <v>Low</v>
      </c>
      <c r="U588" t="str">
        <f>IF(mental_health[Stress_Level]&lt;=3,"Low",IF(mental_health[Stress_Level]&lt;=7,"Medium","High"))</f>
        <v>High</v>
      </c>
      <c r="V588" t="str">
        <f>IF(mental_health[Daily_Screen_Time]&lt;=4,"Low",IF(mental_health[Daily_Screen_Time]&lt;=8,"Medium","High"))</f>
        <v>High</v>
      </c>
    </row>
    <row r="589" spans="1:22" x14ac:dyDescent="0.3">
      <c r="A589">
        <v>588</v>
      </c>
      <c r="B589">
        <v>37</v>
      </c>
      <c r="C589" t="s">
        <v>18</v>
      </c>
      <c r="D589" t="s">
        <v>22</v>
      </c>
      <c r="E589">
        <v>8.8000000000000007</v>
      </c>
      <c r="F589">
        <v>7.2</v>
      </c>
      <c r="G589">
        <v>1</v>
      </c>
      <c r="H589" t="str">
        <f t="shared" si="9"/>
        <v>Night Usage</v>
      </c>
      <c r="I589">
        <v>5.4</v>
      </c>
      <c r="J589" s="3">
        <v>1</v>
      </c>
      <c r="K589">
        <v>2.7</v>
      </c>
      <c r="L589" t="s">
        <v>20</v>
      </c>
      <c r="M589">
        <v>10</v>
      </c>
      <c r="N589">
        <v>4</v>
      </c>
      <c r="O589">
        <v>0</v>
      </c>
      <c r="P589">
        <v>1</v>
      </c>
      <c r="Q589">
        <v>1</v>
      </c>
      <c r="R589">
        <v>1</v>
      </c>
      <c r="S589">
        <v>1</v>
      </c>
      <c r="T589" t="str">
        <f>IF(mental_health[Sleep_Hours]&lt;5,"Low",IF(mental_health[Sleep_Hours]&lt;7,"Medium","Good"))</f>
        <v>Medium</v>
      </c>
      <c r="U589" t="str">
        <f>IF(mental_health[Stress_Level]&lt;=3,"Low",IF(mental_health[Stress_Level]&lt;=7,"Medium","High"))</f>
        <v>Low</v>
      </c>
      <c r="V589" t="str">
        <f>IF(mental_health[Daily_Screen_Time]&lt;=4,"Low",IF(mental_health[Daily_Screen_Time]&lt;=8,"Medium","High"))</f>
        <v>High</v>
      </c>
    </row>
    <row r="590" spans="1:22" x14ac:dyDescent="0.3">
      <c r="A590">
        <v>589</v>
      </c>
      <c r="B590">
        <v>32</v>
      </c>
      <c r="C590" t="s">
        <v>18</v>
      </c>
      <c r="D590" t="s">
        <v>24</v>
      </c>
      <c r="E590">
        <v>11.5</v>
      </c>
      <c r="F590">
        <v>3.3</v>
      </c>
      <c r="G590">
        <v>0</v>
      </c>
      <c r="H590" t="str">
        <f t="shared" si="9"/>
        <v>No Night Usage</v>
      </c>
      <c r="I590">
        <v>4.4000000000000004</v>
      </c>
      <c r="J590" s="3">
        <v>7</v>
      </c>
      <c r="K590">
        <v>6.4</v>
      </c>
      <c r="L590" t="s">
        <v>21</v>
      </c>
      <c r="M590">
        <v>3</v>
      </c>
      <c r="N590">
        <v>2</v>
      </c>
      <c r="O590">
        <v>0</v>
      </c>
      <c r="P590">
        <v>0</v>
      </c>
      <c r="Q590">
        <v>1</v>
      </c>
      <c r="R590">
        <v>1</v>
      </c>
      <c r="S590">
        <v>1</v>
      </c>
      <c r="T590" t="str">
        <f>IF(mental_health[Sleep_Hours]&lt;5,"Low",IF(mental_health[Sleep_Hours]&lt;7,"Medium","Good"))</f>
        <v>Low</v>
      </c>
      <c r="U590" t="str">
        <f>IF(mental_health[Stress_Level]&lt;=3,"Low",IF(mental_health[Stress_Level]&lt;=7,"Medium","High"))</f>
        <v>Medium</v>
      </c>
      <c r="V590" t="str">
        <f>IF(mental_health[Daily_Screen_Time]&lt;=4,"Low",IF(mental_health[Daily_Screen_Time]&lt;=8,"Medium","High"))</f>
        <v>High</v>
      </c>
    </row>
    <row r="591" spans="1:22" x14ac:dyDescent="0.3">
      <c r="A591">
        <v>590</v>
      </c>
      <c r="B591">
        <v>22</v>
      </c>
      <c r="C591" t="s">
        <v>23</v>
      </c>
      <c r="D591" t="s">
        <v>22</v>
      </c>
      <c r="E591">
        <v>3.4</v>
      </c>
      <c r="F591">
        <v>3.2</v>
      </c>
      <c r="G591">
        <v>1</v>
      </c>
      <c r="H591" t="str">
        <f t="shared" si="9"/>
        <v>Night Usage</v>
      </c>
      <c r="I591">
        <v>6.2</v>
      </c>
      <c r="J591" s="3">
        <v>9</v>
      </c>
      <c r="K591">
        <v>10.5</v>
      </c>
      <c r="L591" t="s">
        <v>20</v>
      </c>
      <c r="M591">
        <v>3</v>
      </c>
      <c r="N591">
        <v>1</v>
      </c>
      <c r="O591">
        <v>1</v>
      </c>
      <c r="P591">
        <v>1</v>
      </c>
      <c r="Q591">
        <v>0</v>
      </c>
      <c r="R591">
        <v>0</v>
      </c>
      <c r="S591">
        <v>1</v>
      </c>
      <c r="T591" t="str">
        <f>IF(mental_health[Sleep_Hours]&lt;5,"Low",IF(mental_health[Sleep_Hours]&lt;7,"Medium","Good"))</f>
        <v>Medium</v>
      </c>
      <c r="U591" t="str">
        <f>IF(mental_health[Stress_Level]&lt;=3,"Low",IF(mental_health[Stress_Level]&lt;=7,"Medium","High"))</f>
        <v>High</v>
      </c>
      <c r="V591" t="str">
        <f>IF(mental_health[Daily_Screen_Time]&lt;=4,"Low",IF(mental_health[Daily_Screen_Time]&lt;=8,"Medium","High"))</f>
        <v>Low</v>
      </c>
    </row>
    <row r="592" spans="1:22" x14ac:dyDescent="0.3">
      <c r="A592">
        <v>591</v>
      </c>
      <c r="B592">
        <v>40</v>
      </c>
      <c r="C592" t="s">
        <v>18</v>
      </c>
      <c r="D592" t="s">
        <v>24</v>
      </c>
      <c r="E592">
        <v>5.8</v>
      </c>
      <c r="F592">
        <v>4.5999999999999996</v>
      </c>
      <c r="G592">
        <v>0</v>
      </c>
      <c r="H592" t="str">
        <f t="shared" si="9"/>
        <v>No Night Usage</v>
      </c>
      <c r="I592">
        <v>4.2</v>
      </c>
      <c r="J592" s="3">
        <v>6</v>
      </c>
      <c r="K592">
        <v>2.8</v>
      </c>
      <c r="L592" t="s">
        <v>20</v>
      </c>
      <c r="M592">
        <v>4</v>
      </c>
      <c r="N592">
        <v>2</v>
      </c>
      <c r="O592">
        <v>1</v>
      </c>
      <c r="P592">
        <v>1</v>
      </c>
      <c r="Q592">
        <v>1</v>
      </c>
      <c r="R592">
        <v>1</v>
      </c>
      <c r="S592">
        <v>1</v>
      </c>
      <c r="T592" t="str">
        <f>IF(mental_health[Sleep_Hours]&lt;5,"Low",IF(mental_health[Sleep_Hours]&lt;7,"Medium","Good"))</f>
        <v>Low</v>
      </c>
      <c r="U592" t="str">
        <f>IF(mental_health[Stress_Level]&lt;=3,"Low",IF(mental_health[Stress_Level]&lt;=7,"Medium","High"))</f>
        <v>Medium</v>
      </c>
      <c r="V592" t="str">
        <f>IF(mental_health[Daily_Screen_Time]&lt;=4,"Low",IF(mental_health[Daily_Screen_Time]&lt;=8,"Medium","High"))</f>
        <v>Medium</v>
      </c>
    </row>
    <row r="593" spans="1:22" x14ac:dyDescent="0.3">
      <c r="A593">
        <v>592</v>
      </c>
      <c r="B593">
        <v>19</v>
      </c>
      <c r="C593" t="s">
        <v>23</v>
      </c>
      <c r="D593" t="s">
        <v>22</v>
      </c>
      <c r="E593">
        <v>7.5</v>
      </c>
      <c r="F593">
        <v>7.6</v>
      </c>
      <c r="G593">
        <v>1</v>
      </c>
      <c r="H593" t="str">
        <f t="shared" si="9"/>
        <v>Night Usage</v>
      </c>
      <c r="I593">
        <v>6.1</v>
      </c>
      <c r="J593" s="3">
        <v>1</v>
      </c>
      <c r="K593">
        <v>5.6</v>
      </c>
      <c r="L593" t="s">
        <v>21</v>
      </c>
      <c r="M593">
        <v>9</v>
      </c>
      <c r="N593">
        <v>1</v>
      </c>
      <c r="O593">
        <v>0</v>
      </c>
      <c r="P593">
        <v>0</v>
      </c>
      <c r="Q593">
        <v>0</v>
      </c>
      <c r="R593">
        <v>0</v>
      </c>
      <c r="S593">
        <v>1</v>
      </c>
      <c r="T593" t="str">
        <f>IF(mental_health[Sleep_Hours]&lt;5,"Low",IF(mental_health[Sleep_Hours]&lt;7,"Medium","Good"))</f>
        <v>Medium</v>
      </c>
      <c r="U593" t="str">
        <f>IF(mental_health[Stress_Level]&lt;=3,"Low",IF(mental_health[Stress_Level]&lt;=7,"Medium","High"))</f>
        <v>Low</v>
      </c>
      <c r="V593" t="str">
        <f>IF(mental_health[Daily_Screen_Time]&lt;=4,"Low",IF(mental_health[Daily_Screen_Time]&lt;=8,"Medium","High"))</f>
        <v>Medium</v>
      </c>
    </row>
    <row r="594" spans="1:22" x14ac:dyDescent="0.3">
      <c r="A594">
        <v>593</v>
      </c>
      <c r="B594">
        <v>51</v>
      </c>
      <c r="C594" t="s">
        <v>18</v>
      </c>
      <c r="D594" t="s">
        <v>19</v>
      </c>
      <c r="E594">
        <v>2.8</v>
      </c>
      <c r="F594">
        <v>1.3</v>
      </c>
      <c r="G594">
        <v>1</v>
      </c>
      <c r="H594" t="str">
        <f t="shared" si="9"/>
        <v>Night Usage</v>
      </c>
      <c r="I594">
        <v>3.9</v>
      </c>
      <c r="J594" s="3">
        <v>2</v>
      </c>
      <c r="K594">
        <v>11</v>
      </c>
      <c r="L594" t="s">
        <v>21</v>
      </c>
      <c r="M594">
        <v>9</v>
      </c>
      <c r="N594">
        <v>2</v>
      </c>
      <c r="O594">
        <v>1</v>
      </c>
      <c r="P594">
        <v>0</v>
      </c>
      <c r="Q594">
        <v>1</v>
      </c>
      <c r="R594">
        <v>1</v>
      </c>
      <c r="S594">
        <v>1</v>
      </c>
      <c r="T594" t="str">
        <f>IF(mental_health[Sleep_Hours]&lt;5,"Low",IF(mental_health[Sleep_Hours]&lt;7,"Medium","Good"))</f>
        <v>Low</v>
      </c>
      <c r="U594" t="str">
        <f>IF(mental_health[Stress_Level]&lt;=3,"Low",IF(mental_health[Stress_Level]&lt;=7,"Medium","High"))</f>
        <v>Low</v>
      </c>
      <c r="V594" t="str">
        <f>IF(mental_health[Daily_Screen_Time]&lt;=4,"Low",IF(mental_health[Daily_Screen_Time]&lt;=8,"Medium","High"))</f>
        <v>Low</v>
      </c>
    </row>
    <row r="595" spans="1:22" x14ac:dyDescent="0.3">
      <c r="A595">
        <v>594</v>
      </c>
      <c r="B595">
        <v>21</v>
      </c>
      <c r="C595" t="s">
        <v>18</v>
      </c>
      <c r="D595" t="s">
        <v>19</v>
      </c>
      <c r="E595">
        <v>2</v>
      </c>
      <c r="F595">
        <v>3.5</v>
      </c>
      <c r="G595">
        <v>1</v>
      </c>
      <c r="H595" t="str">
        <f t="shared" si="9"/>
        <v>Night Usage</v>
      </c>
      <c r="I595">
        <v>7</v>
      </c>
      <c r="J595" s="3">
        <v>4</v>
      </c>
      <c r="K595">
        <v>3.2</v>
      </c>
      <c r="L595" t="s">
        <v>25</v>
      </c>
      <c r="M595">
        <v>5</v>
      </c>
      <c r="N595">
        <v>1</v>
      </c>
      <c r="O595">
        <v>0</v>
      </c>
      <c r="P595">
        <v>1</v>
      </c>
      <c r="Q595">
        <v>1</v>
      </c>
      <c r="R595">
        <v>0</v>
      </c>
      <c r="S595">
        <v>1</v>
      </c>
      <c r="T595" t="str">
        <f>IF(mental_health[Sleep_Hours]&lt;5,"Low",IF(mental_health[Sleep_Hours]&lt;7,"Medium","Good"))</f>
        <v>Good</v>
      </c>
      <c r="U595" t="str">
        <f>IF(mental_health[Stress_Level]&lt;=3,"Low",IF(mental_health[Stress_Level]&lt;=7,"Medium","High"))</f>
        <v>Medium</v>
      </c>
      <c r="V595" t="str">
        <f>IF(mental_health[Daily_Screen_Time]&lt;=4,"Low",IF(mental_health[Daily_Screen_Time]&lt;=8,"Medium","High"))</f>
        <v>Low</v>
      </c>
    </row>
    <row r="596" spans="1:22" x14ac:dyDescent="0.3">
      <c r="A596">
        <v>595</v>
      </c>
      <c r="B596">
        <v>46</v>
      </c>
      <c r="C596" t="s">
        <v>18</v>
      </c>
      <c r="D596" t="s">
        <v>19</v>
      </c>
      <c r="E596">
        <v>8.6999999999999993</v>
      </c>
      <c r="F596">
        <v>7</v>
      </c>
      <c r="G596">
        <v>0</v>
      </c>
      <c r="H596" t="str">
        <f t="shared" si="9"/>
        <v>No Night Usage</v>
      </c>
      <c r="I596">
        <v>7.5</v>
      </c>
      <c r="J596" s="3">
        <v>4</v>
      </c>
      <c r="K596">
        <v>5.0999999999999996</v>
      </c>
      <c r="L596" t="s">
        <v>21</v>
      </c>
      <c r="M596">
        <v>9</v>
      </c>
      <c r="N596">
        <v>1</v>
      </c>
      <c r="O596">
        <v>1</v>
      </c>
      <c r="P596">
        <v>1</v>
      </c>
      <c r="Q596">
        <v>0</v>
      </c>
      <c r="R596">
        <v>0</v>
      </c>
      <c r="S596">
        <v>1</v>
      </c>
      <c r="T596" t="str">
        <f>IF(mental_health[Sleep_Hours]&lt;5,"Low",IF(mental_health[Sleep_Hours]&lt;7,"Medium","Good"))</f>
        <v>Good</v>
      </c>
      <c r="U596" t="str">
        <f>IF(mental_health[Stress_Level]&lt;=3,"Low",IF(mental_health[Stress_Level]&lt;=7,"Medium","High"))</f>
        <v>Medium</v>
      </c>
      <c r="V596" t="str">
        <f>IF(mental_health[Daily_Screen_Time]&lt;=4,"Low",IF(mental_health[Daily_Screen_Time]&lt;=8,"Medium","High"))</f>
        <v>High</v>
      </c>
    </row>
    <row r="597" spans="1:22" x14ac:dyDescent="0.3">
      <c r="A597">
        <v>596</v>
      </c>
      <c r="B597">
        <v>34</v>
      </c>
      <c r="C597" t="s">
        <v>23</v>
      </c>
      <c r="D597" t="s">
        <v>24</v>
      </c>
      <c r="E597">
        <v>8.4</v>
      </c>
      <c r="F597">
        <v>3.8</v>
      </c>
      <c r="G597">
        <v>1</v>
      </c>
      <c r="H597" t="str">
        <f t="shared" si="9"/>
        <v>Night Usage</v>
      </c>
      <c r="I597">
        <v>3.7</v>
      </c>
      <c r="J597" s="3">
        <v>2</v>
      </c>
      <c r="K597">
        <v>9.8000000000000007</v>
      </c>
      <c r="L597" t="s">
        <v>21</v>
      </c>
      <c r="M597">
        <v>6</v>
      </c>
      <c r="N597">
        <v>1</v>
      </c>
      <c r="O597">
        <v>1</v>
      </c>
      <c r="P597">
        <v>0</v>
      </c>
      <c r="Q597">
        <v>0</v>
      </c>
      <c r="R597">
        <v>0</v>
      </c>
      <c r="S597">
        <v>1</v>
      </c>
      <c r="T597" t="str">
        <f>IF(mental_health[Sleep_Hours]&lt;5,"Low",IF(mental_health[Sleep_Hours]&lt;7,"Medium","Good"))</f>
        <v>Low</v>
      </c>
      <c r="U597" t="str">
        <f>IF(mental_health[Stress_Level]&lt;=3,"Low",IF(mental_health[Stress_Level]&lt;=7,"Medium","High"))</f>
        <v>Low</v>
      </c>
      <c r="V597" t="str">
        <f>IF(mental_health[Daily_Screen_Time]&lt;=4,"Low",IF(mental_health[Daily_Screen_Time]&lt;=8,"Medium","High"))</f>
        <v>High</v>
      </c>
    </row>
    <row r="598" spans="1:22" x14ac:dyDescent="0.3">
      <c r="A598">
        <v>597</v>
      </c>
      <c r="B598">
        <v>59</v>
      </c>
      <c r="C598" t="s">
        <v>23</v>
      </c>
      <c r="D598" t="s">
        <v>24</v>
      </c>
      <c r="E598">
        <v>6.1</v>
      </c>
      <c r="F598">
        <v>2.4</v>
      </c>
      <c r="G598">
        <v>0</v>
      </c>
      <c r="H598" t="str">
        <f t="shared" si="9"/>
        <v>No Night Usage</v>
      </c>
      <c r="I598">
        <v>5.8</v>
      </c>
      <c r="J598" s="3">
        <v>8</v>
      </c>
      <c r="K598">
        <v>7.4</v>
      </c>
      <c r="L598" t="s">
        <v>20</v>
      </c>
      <c r="M598">
        <v>8</v>
      </c>
      <c r="N598">
        <v>1</v>
      </c>
      <c r="O598">
        <v>0</v>
      </c>
      <c r="P598">
        <v>0</v>
      </c>
      <c r="Q598">
        <v>1</v>
      </c>
      <c r="R598">
        <v>0</v>
      </c>
      <c r="S598">
        <v>1</v>
      </c>
      <c r="T598" t="str">
        <f>IF(mental_health[Sleep_Hours]&lt;5,"Low",IF(mental_health[Sleep_Hours]&lt;7,"Medium","Good"))</f>
        <v>Medium</v>
      </c>
      <c r="U598" t="str">
        <f>IF(mental_health[Stress_Level]&lt;=3,"Low",IF(mental_health[Stress_Level]&lt;=7,"Medium","High"))</f>
        <v>High</v>
      </c>
      <c r="V598" t="str">
        <f>IF(mental_health[Daily_Screen_Time]&lt;=4,"Low",IF(mental_health[Daily_Screen_Time]&lt;=8,"Medium","High"))</f>
        <v>Medium</v>
      </c>
    </row>
    <row r="599" spans="1:22" x14ac:dyDescent="0.3">
      <c r="A599">
        <v>598</v>
      </c>
      <c r="B599">
        <v>54</v>
      </c>
      <c r="C599" t="s">
        <v>23</v>
      </c>
      <c r="D599" t="s">
        <v>22</v>
      </c>
      <c r="E599">
        <v>6.9</v>
      </c>
      <c r="F599">
        <v>4</v>
      </c>
      <c r="G599">
        <v>0</v>
      </c>
      <c r="H599" t="str">
        <f t="shared" si="9"/>
        <v>No Night Usage</v>
      </c>
      <c r="I599">
        <v>3.4</v>
      </c>
      <c r="J599" s="3">
        <v>2</v>
      </c>
      <c r="K599">
        <v>10.3</v>
      </c>
      <c r="L599" t="s">
        <v>21</v>
      </c>
      <c r="M599">
        <v>8</v>
      </c>
      <c r="N599">
        <v>0</v>
      </c>
      <c r="O599">
        <v>0</v>
      </c>
      <c r="P599">
        <v>0</v>
      </c>
      <c r="Q599">
        <v>0</v>
      </c>
      <c r="R599">
        <v>0</v>
      </c>
      <c r="S599">
        <v>0</v>
      </c>
      <c r="T599" t="str">
        <f>IF(mental_health[Sleep_Hours]&lt;5,"Low",IF(mental_health[Sleep_Hours]&lt;7,"Medium","Good"))</f>
        <v>Low</v>
      </c>
      <c r="U599" t="str">
        <f>IF(mental_health[Stress_Level]&lt;=3,"Low",IF(mental_health[Stress_Level]&lt;=7,"Medium","High"))</f>
        <v>Low</v>
      </c>
      <c r="V599" t="str">
        <f>IF(mental_health[Daily_Screen_Time]&lt;=4,"Low",IF(mental_health[Daily_Screen_Time]&lt;=8,"Medium","High"))</f>
        <v>Medium</v>
      </c>
    </row>
    <row r="600" spans="1:22" x14ac:dyDescent="0.3">
      <c r="A600">
        <v>599</v>
      </c>
      <c r="B600">
        <v>42</v>
      </c>
      <c r="C600" t="s">
        <v>18</v>
      </c>
      <c r="D600" t="s">
        <v>22</v>
      </c>
      <c r="E600">
        <v>6.2</v>
      </c>
      <c r="F600">
        <v>3.7</v>
      </c>
      <c r="G600">
        <v>1</v>
      </c>
      <c r="H600" t="str">
        <f t="shared" si="9"/>
        <v>Night Usage</v>
      </c>
      <c r="I600">
        <v>6.6</v>
      </c>
      <c r="J600" s="3">
        <v>3</v>
      </c>
      <c r="K600">
        <v>3.1</v>
      </c>
      <c r="L600" t="s">
        <v>20</v>
      </c>
      <c r="M600">
        <v>10</v>
      </c>
      <c r="N600">
        <v>1</v>
      </c>
      <c r="O600">
        <v>1</v>
      </c>
      <c r="P600">
        <v>0</v>
      </c>
      <c r="Q600">
        <v>0</v>
      </c>
      <c r="R600">
        <v>0</v>
      </c>
      <c r="S600">
        <v>1</v>
      </c>
      <c r="T600" t="str">
        <f>IF(mental_health[Sleep_Hours]&lt;5,"Low",IF(mental_health[Sleep_Hours]&lt;7,"Medium","Good"))</f>
        <v>Medium</v>
      </c>
      <c r="U600" t="str">
        <f>IF(mental_health[Stress_Level]&lt;=3,"Low",IF(mental_health[Stress_Level]&lt;=7,"Medium","High"))</f>
        <v>Low</v>
      </c>
      <c r="V600" t="str">
        <f>IF(mental_health[Daily_Screen_Time]&lt;=4,"Low",IF(mental_health[Daily_Screen_Time]&lt;=8,"Medium","High"))</f>
        <v>Medium</v>
      </c>
    </row>
    <row r="601" spans="1:22" x14ac:dyDescent="0.3">
      <c r="A601">
        <v>600</v>
      </c>
      <c r="B601">
        <v>25</v>
      </c>
      <c r="C601" t="s">
        <v>18</v>
      </c>
      <c r="D601" t="s">
        <v>19</v>
      </c>
      <c r="E601">
        <v>2.2000000000000002</v>
      </c>
      <c r="F601">
        <v>7.4</v>
      </c>
      <c r="G601">
        <v>0</v>
      </c>
      <c r="H601" t="str">
        <f t="shared" si="9"/>
        <v>No Night Usage</v>
      </c>
      <c r="I601">
        <v>4.5999999999999996</v>
      </c>
      <c r="J601" s="3">
        <v>4</v>
      </c>
      <c r="K601">
        <v>11.2</v>
      </c>
      <c r="L601" t="s">
        <v>21</v>
      </c>
      <c r="M601">
        <v>7</v>
      </c>
      <c r="N601">
        <v>1</v>
      </c>
      <c r="O601">
        <v>0</v>
      </c>
      <c r="P601">
        <v>0</v>
      </c>
      <c r="Q601">
        <v>1</v>
      </c>
      <c r="R601">
        <v>0</v>
      </c>
      <c r="S601">
        <v>0</v>
      </c>
      <c r="T601" t="str">
        <f>IF(mental_health[Sleep_Hours]&lt;5,"Low",IF(mental_health[Sleep_Hours]&lt;7,"Medium","Good"))</f>
        <v>Low</v>
      </c>
      <c r="U601" t="str">
        <f>IF(mental_health[Stress_Level]&lt;=3,"Low",IF(mental_health[Stress_Level]&lt;=7,"Medium","High"))</f>
        <v>Medium</v>
      </c>
      <c r="V601" t="str">
        <f>IF(mental_health[Daily_Screen_Time]&lt;=4,"Low",IF(mental_health[Daily_Screen_Time]&lt;=8,"Medium","High"))</f>
        <v>Low</v>
      </c>
    </row>
    <row r="602" spans="1:22" x14ac:dyDescent="0.3">
      <c r="A602">
        <v>601</v>
      </c>
      <c r="B602">
        <v>41</v>
      </c>
      <c r="C602" t="s">
        <v>23</v>
      </c>
      <c r="D602" t="s">
        <v>24</v>
      </c>
      <c r="E602">
        <v>5.4</v>
      </c>
      <c r="F602">
        <v>6.3</v>
      </c>
      <c r="G602">
        <v>1</v>
      </c>
      <c r="H602" t="str">
        <f t="shared" si="9"/>
        <v>Night Usage</v>
      </c>
      <c r="I602">
        <v>6.2</v>
      </c>
      <c r="J602" s="3">
        <v>9</v>
      </c>
      <c r="K602">
        <v>11.3</v>
      </c>
      <c r="L602" t="s">
        <v>21</v>
      </c>
      <c r="M602">
        <v>4</v>
      </c>
      <c r="N602">
        <v>4</v>
      </c>
      <c r="O602">
        <v>0</v>
      </c>
      <c r="P602">
        <v>1</v>
      </c>
      <c r="Q602">
        <v>0</v>
      </c>
      <c r="R602">
        <v>1</v>
      </c>
      <c r="S602">
        <v>1</v>
      </c>
      <c r="T602" t="str">
        <f>IF(mental_health[Sleep_Hours]&lt;5,"Low",IF(mental_health[Sleep_Hours]&lt;7,"Medium","Good"))</f>
        <v>Medium</v>
      </c>
      <c r="U602" t="str">
        <f>IF(mental_health[Stress_Level]&lt;=3,"Low",IF(mental_health[Stress_Level]&lt;=7,"Medium","High"))</f>
        <v>High</v>
      </c>
      <c r="V602" t="str">
        <f>IF(mental_health[Daily_Screen_Time]&lt;=4,"Low",IF(mental_health[Daily_Screen_Time]&lt;=8,"Medium","High"))</f>
        <v>Medium</v>
      </c>
    </row>
    <row r="603" spans="1:22" x14ac:dyDescent="0.3">
      <c r="A603">
        <v>602</v>
      </c>
      <c r="B603">
        <v>34</v>
      </c>
      <c r="C603" t="s">
        <v>23</v>
      </c>
      <c r="D603" t="s">
        <v>22</v>
      </c>
      <c r="E603">
        <v>3.8</v>
      </c>
      <c r="F603">
        <v>4.5</v>
      </c>
      <c r="G603">
        <v>1</v>
      </c>
      <c r="H603" t="str">
        <f t="shared" si="9"/>
        <v>Night Usage</v>
      </c>
      <c r="I603">
        <v>6.1</v>
      </c>
      <c r="J603" s="3">
        <v>10</v>
      </c>
      <c r="K603">
        <v>3.6</v>
      </c>
      <c r="L603" t="s">
        <v>25</v>
      </c>
      <c r="M603">
        <v>4</v>
      </c>
      <c r="N603">
        <v>0</v>
      </c>
      <c r="O603">
        <v>0</v>
      </c>
      <c r="P603">
        <v>1</v>
      </c>
      <c r="Q603">
        <v>1</v>
      </c>
      <c r="R603">
        <v>1</v>
      </c>
      <c r="S603">
        <v>0</v>
      </c>
      <c r="T603" t="str">
        <f>IF(mental_health[Sleep_Hours]&lt;5,"Low",IF(mental_health[Sleep_Hours]&lt;7,"Medium","Good"))</f>
        <v>Medium</v>
      </c>
      <c r="U603" t="str">
        <f>IF(mental_health[Stress_Level]&lt;=3,"Low",IF(mental_health[Stress_Level]&lt;=7,"Medium","High"))</f>
        <v>High</v>
      </c>
      <c r="V603" t="str">
        <f>IF(mental_health[Daily_Screen_Time]&lt;=4,"Low",IF(mental_health[Daily_Screen_Time]&lt;=8,"Medium","High"))</f>
        <v>Low</v>
      </c>
    </row>
    <row r="604" spans="1:22" x14ac:dyDescent="0.3">
      <c r="A604">
        <v>603</v>
      </c>
      <c r="B604">
        <v>54</v>
      </c>
      <c r="C604" t="s">
        <v>23</v>
      </c>
      <c r="D604" t="s">
        <v>24</v>
      </c>
      <c r="E604">
        <v>3</v>
      </c>
      <c r="F604">
        <v>7.9</v>
      </c>
      <c r="G604">
        <v>0</v>
      </c>
      <c r="H604" t="str">
        <f t="shared" si="9"/>
        <v>No Night Usage</v>
      </c>
      <c r="I604">
        <v>8.5</v>
      </c>
      <c r="J604" s="3">
        <v>1</v>
      </c>
      <c r="K604">
        <v>2.2999999999999998</v>
      </c>
      <c r="L604" t="s">
        <v>21</v>
      </c>
      <c r="M604">
        <v>6</v>
      </c>
      <c r="N604">
        <v>1</v>
      </c>
      <c r="O604">
        <v>1</v>
      </c>
      <c r="P604">
        <v>0</v>
      </c>
      <c r="Q604">
        <v>0</v>
      </c>
      <c r="R604">
        <v>1</v>
      </c>
      <c r="S604">
        <v>1</v>
      </c>
      <c r="T604" t="str">
        <f>IF(mental_health[Sleep_Hours]&lt;5,"Low",IF(mental_health[Sleep_Hours]&lt;7,"Medium","Good"))</f>
        <v>Good</v>
      </c>
      <c r="U604" t="str">
        <f>IF(mental_health[Stress_Level]&lt;=3,"Low",IF(mental_health[Stress_Level]&lt;=7,"Medium","High"))</f>
        <v>Low</v>
      </c>
      <c r="V604" t="str">
        <f>IF(mental_health[Daily_Screen_Time]&lt;=4,"Low",IF(mental_health[Daily_Screen_Time]&lt;=8,"Medium","High"))</f>
        <v>Low</v>
      </c>
    </row>
    <row r="605" spans="1:22" x14ac:dyDescent="0.3">
      <c r="A605">
        <v>604</v>
      </c>
      <c r="B605">
        <v>18</v>
      </c>
      <c r="C605" t="s">
        <v>23</v>
      </c>
      <c r="D605" t="s">
        <v>24</v>
      </c>
      <c r="E605">
        <v>11.6</v>
      </c>
      <c r="F605">
        <v>4.3</v>
      </c>
      <c r="G605">
        <v>1</v>
      </c>
      <c r="H605" t="str">
        <f t="shared" si="9"/>
        <v>Night Usage</v>
      </c>
      <c r="I605">
        <v>6.3</v>
      </c>
      <c r="J605" s="3">
        <v>8</v>
      </c>
      <c r="K605">
        <v>11.9</v>
      </c>
      <c r="L605" t="s">
        <v>21</v>
      </c>
      <c r="M605">
        <v>9</v>
      </c>
      <c r="N605">
        <v>3</v>
      </c>
      <c r="O605">
        <v>0</v>
      </c>
      <c r="P605">
        <v>0</v>
      </c>
      <c r="Q605">
        <v>1</v>
      </c>
      <c r="R605">
        <v>0</v>
      </c>
      <c r="S605">
        <v>0</v>
      </c>
      <c r="T605" t="str">
        <f>IF(mental_health[Sleep_Hours]&lt;5,"Low",IF(mental_health[Sleep_Hours]&lt;7,"Medium","Good"))</f>
        <v>Medium</v>
      </c>
      <c r="U605" t="str">
        <f>IF(mental_health[Stress_Level]&lt;=3,"Low",IF(mental_health[Stress_Level]&lt;=7,"Medium","High"))</f>
        <v>High</v>
      </c>
      <c r="V605" t="str">
        <f>IF(mental_health[Daily_Screen_Time]&lt;=4,"Low",IF(mental_health[Daily_Screen_Time]&lt;=8,"Medium","High"))</f>
        <v>High</v>
      </c>
    </row>
    <row r="606" spans="1:22" x14ac:dyDescent="0.3">
      <c r="A606">
        <v>605</v>
      </c>
      <c r="B606">
        <v>28</v>
      </c>
      <c r="C606" t="s">
        <v>23</v>
      </c>
      <c r="D606" t="s">
        <v>19</v>
      </c>
      <c r="E606">
        <v>8</v>
      </c>
      <c r="F606">
        <v>1.4</v>
      </c>
      <c r="G606">
        <v>1</v>
      </c>
      <c r="H606" t="str">
        <f t="shared" si="9"/>
        <v>Night Usage</v>
      </c>
      <c r="I606">
        <v>6.5</v>
      </c>
      <c r="J606" s="3">
        <v>5</v>
      </c>
      <c r="K606">
        <v>6.8</v>
      </c>
      <c r="L606" t="s">
        <v>20</v>
      </c>
      <c r="M606">
        <v>7</v>
      </c>
      <c r="N606">
        <v>0</v>
      </c>
      <c r="O606">
        <v>0</v>
      </c>
      <c r="P606">
        <v>0</v>
      </c>
      <c r="Q606">
        <v>1</v>
      </c>
      <c r="R606">
        <v>0</v>
      </c>
      <c r="S606">
        <v>0</v>
      </c>
      <c r="T606" t="str">
        <f>IF(mental_health[Sleep_Hours]&lt;5,"Low",IF(mental_health[Sleep_Hours]&lt;7,"Medium","Good"))</f>
        <v>Medium</v>
      </c>
      <c r="U606" t="str">
        <f>IF(mental_health[Stress_Level]&lt;=3,"Low",IF(mental_health[Stress_Level]&lt;=7,"Medium","High"))</f>
        <v>Medium</v>
      </c>
      <c r="V606" t="str">
        <f>IF(mental_health[Daily_Screen_Time]&lt;=4,"Low",IF(mental_health[Daily_Screen_Time]&lt;=8,"Medium","High"))</f>
        <v>Medium</v>
      </c>
    </row>
    <row r="607" spans="1:22" x14ac:dyDescent="0.3">
      <c r="A607">
        <v>606</v>
      </c>
      <c r="B607">
        <v>43</v>
      </c>
      <c r="C607" t="s">
        <v>23</v>
      </c>
      <c r="D607" t="s">
        <v>19</v>
      </c>
      <c r="E607">
        <v>9.3000000000000007</v>
      </c>
      <c r="F607">
        <v>2.8</v>
      </c>
      <c r="G607">
        <v>0</v>
      </c>
      <c r="H607" t="str">
        <f t="shared" si="9"/>
        <v>No Night Usage</v>
      </c>
      <c r="I607">
        <v>5.4</v>
      </c>
      <c r="J607" s="3">
        <v>7</v>
      </c>
      <c r="K607">
        <v>7.7</v>
      </c>
      <c r="L607" t="s">
        <v>20</v>
      </c>
      <c r="M607">
        <v>5</v>
      </c>
      <c r="N607">
        <v>4</v>
      </c>
      <c r="O607">
        <v>1</v>
      </c>
      <c r="P607">
        <v>0</v>
      </c>
      <c r="Q607">
        <v>1</v>
      </c>
      <c r="R607">
        <v>1</v>
      </c>
      <c r="S607">
        <v>1</v>
      </c>
      <c r="T607" t="str">
        <f>IF(mental_health[Sleep_Hours]&lt;5,"Low",IF(mental_health[Sleep_Hours]&lt;7,"Medium","Good"))</f>
        <v>Medium</v>
      </c>
      <c r="U607" t="str">
        <f>IF(mental_health[Stress_Level]&lt;=3,"Low",IF(mental_health[Stress_Level]&lt;=7,"Medium","High"))</f>
        <v>Medium</v>
      </c>
      <c r="V607" t="str">
        <f>IF(mental_health[Daily_Screen_Time]&lt;=4,"Low",IF(mental_health[Daily_Screen_Time]&lt;=8,"Medium","High"))</f>
        <v>High</v>
      </c>
    </row>
    <row r="608" spans="1:22" x14ac:dyDescent="0.3">
      <c r="A608">
        <v>607</v>
      </c>
      <c r="B608">
        <v>35</v>
      </c>
      <c r="C608" t="s">
        <v>18</v>
      </c>
      <c r="D608" t="s">
        <v>24</v>
      </c>
      <c r="E608">
        <v>5.2</v>
      </c>
      <c r="F608">
        <v>4.0999999999999996</v>
      </c>
      <c r="G608">
        <v>0</v>
      </c>
      <c r="H608" t="str">
        <f t="shared" si="9"/>
        <v>No Night Usage</v>
      </c>
      <c r="I608">
        <v>8.6999999999999993</v>
      </c>
      <c r="J608" s="3">
        <v>8</v>
      </c>
      <c r="K608">
        <v>8.1999999999999993</v>
      </c>
      <c r="L608" t="s">
        <v>25</v>
      </c>
      <c r="M608">
        <v>5</v>
      </c>
      <c r="N608">
        <v>2</v>
      </c>
      <c r="O608">
        <v>1</v>
      </c>
      <c r="P608">
        <v>0</v>
      </c>
      <c r="Q608">
        <v>1</v>
      </c>
      <c r="R608">
        <v>0</v>
      </c>
      <c r="S608">
        <v>1</v>
      </c>
      <c r="T608" t="str">
        <f>IF(mental_health[Sleep_Hours]&lt;5,"Low",IF(mental_health[Sleep_Hours]&lt;7,"Medium","Good"))</f>
        <v>Good</v>
      </c>
      <c r="U608" t="str">
        <f>IF(mental_health[Stress_Level]&lt;=3,"Low",IF(mental_health[Stress_Level]&lt;=7,"Medium","High"))</f>
        <v>High</v>
      </c>
      <c r="V608" t="str">
        <f>IF(mental_health[Daily_Screen_Time]&lt;=4,"Low",IF(mental_health[Daily_Screen_Time]&lt;=8,"Medium","High"))</f>
        <v>Medium</v>
      </c>
    </row>
    <row r="609" spans="1:22" x14ac:dyDescent="0.3">
      <c r="A609">
        <v>608</v>
      </c>
      <c r="B609">
        <v>43</v>
      </c>
      <c r="C609" t="s">
        <v>23</v>
      </c>
      <c r="D609" t="s">
        <v>24</v>
      </c>
      <c r="E609">
        <v>5.9</v>
      </c>
      <c r="F609">
        <v>2.1</v>
      </c>
      <c r="G609">
        <v>0</v>
      </c>
      <c r="H609" t="str">
        <f t="shared" si="9"/>
        <v>No Night Usage</v>
      </c>
      <c r="I609">
        <v>7.7</v>
      </c>
      <c r="J609" s="3">
        <v>5</v>
      </c>
      <c r="K609">
        <v>9.9</v>
      </c>
      <c r="L609" t="s">
        <v>21</v>
      </c>
      <c r="M609">
        <v>8</v>
      </c>
      <c r="N609">
        <v>4</v>
      </c>
      <c r="O609">
        <v>1</v>
      </c>
      <c r="P609">
        <v>1</v>
      </c>
      <c r="Q609">
        <v>0</v>
      </c>
      <c r="R609">
        <v>0</v>
      </c>
      <c r="S609">
        <v>0</v>
      </c>
      <c r="T609" t="str">
        <f>IF(mental_health[Sleep_Hours]&lt;5,"Low",IF(mental_health[Sleep_Hours]&lt;7,"Medium","Good"))</f>
        <v>Good</v>
      </c>
      <c r="U609" t="str">
        <f>IF(mental_health[Stress_Level]&lt;=3,"Low",IF(mental_health[Stress_Level]&lt;=7,"Medium","High"))</f>
        <v>Medium</v>
      </c>
      <c r="V609" t="str">
        <f>IF(mental_health[Daily_Screen_Time]&lt;=4,"Low",IF(mental_health[Daily_Screen_Time]&lt;=8,"Medium","High"))</f>
        <v>Medium</v>
      </c>
    </row>
    <row r="610" spans="1:22" x14ac:dyDescent="0.3">
      <c r="A610">
        <v>609</v>
      </c>
      <c r="B610">
        <v>23</v>
      </c>
      <c r="C610" t="s">
        <v>18</v>
      </c>
      <c r="D610" t="s">
        <v>24</v>
      </c>
      <c r="E610">
        <v>4.4000000000000004</v>
      </c>
      <c r="F610">
        <v>7.6</v>
      </c>
      <c r="G610">
        <v>0</v>
      </c>
      <c r="H610" t="str">
        <f t="shared" si="9"/>
        <v>No Night Usage</v>
      </c>
      <c r="I610">
        <v>4.7</v>
      </c>
      <c r="J610" s="3">
        <v>8</v>
      </c>
      <c r="K610">
        <v>10.1</v>
      </c>
      <c r="L610" t="s">
        <v>20</v>
      </c>
      <c r="M610">
        <v>6</v>
      </c>
      <c r="N610">
        <v>4</v>
      </c>
      <c r="O610">
        <v>1</v>
      </c>
      <c r="P610">
        <v>1</v>
      </c>
      <c r="Q610">
        <v>1</v>
      </c>
      <c r="R610">
        <v>1</v>
      </c>
      <c r="S610">
        <v>0</v>
      </c>
      <c r="T610" t="str">
        <f>IF(mental_health[Sleep_Hours]&lt;5,"Low",IF(mental_health[Sleep_Hours]&lt;7,"Medium","Good"))</f>
        <v>Low</v>
      </c>
      <c r="U610" t="str">
        <f>IF(mental_health[Stress_Level]&lt;=3,"Low",IF(mental_health[Stress_Level]&lt;=7,"Medium","High"))</f>
        <v>High</v>
      </c>
      <c r="V610" t="str">
        <f>IF(mental_health[Daily_Screen_Time]&lt;=4,"Low",IF(mental_health[Daily_Screen_Time]&lt;=8,"Medium","High"))</f>
        <v>Medium</v>
      </c>
    </row>
    <row r="611" spans="1:22" x14ac:dyDescent="0.3">
      <c r="A611">
        <v>610</v>
      </c>
      <c r="B611">
        <v>56</v>
      </c>
      <c r="C611" t="s">
        <v>18</v>
      </c>
      <c r="D611" t="s">
        <v>24</v>
      </c>
      <c r="E611">
        <v>3</v>
      </c>
      <c r="F611">
        <v>6.4</v>
      </c>
      <c r="G611">
        <v>0</v>
      </c>
      <c r="H611" t="str">
        <f t="shared" si="9"/>
        <v>No Night Usage</v>
      </c>
      <c r="I611">
        <v>8.1</v>
      </c>
      <c r="J611" s="3">
        <v>10</v>
      </c>
      <c r="K611">
        <v>3.9</v>
      </c>
      <c r="L611" t="s">
        <v>21</v>
      </c>
      <c r="M611">
        <v>1</v>
      </c>
      <c r="N611">
        <v>0</v>
      </c>
      <c r="O611">
        <v>0</v>
      </c>
      <c r="P611">
        <v>0</v>
      </c>
      <c r="Q611">
        <v>1</v>
      </c>
      <c r="R611">
        <v>1</v>
      </c>
      <c r="S611">
        <v>1</v>
      </c>
      <c r="T611" t="str">
        <f>IF(mental_health[Sleep_Hours]&lt;5,"Low",IF(mental_health[Sleep_Hours]&lt;7,"Medium","Good"))</f>
        <v>Good</v>
      </c>
      <c r="U611" t="str">
        <f>IF(mental_health[Stress_Level]&lt;=3,"Low",IF(mental_health[Stress_Level]&lt;=7,"Medium","High"))</f>
        <v>High</v>
      </c>
      <c r="V611" t="str">
        <f>IF(mental_health[Daily_Screen_Time]&lt;=4,"Low",IF(mental_health[Daily_Screen_Time]&lt;=8,"Medium","High"))</f>
        <v>Low</v>
      </c>
    </row>
    <row r="612" spans="1:22" x14ac:dyDescent="0.3">
      <c r="A612">
        <v>611</v>
      </c>
      <c r="B612">
        <v>54</v>
      </c>
      <c r="C612" t="s">
        <v>23</v>
      </c>
      <c r="D612" t="s">
        <v>19</v>
      </c>
      <c r="E612">
        <v>3.8</v>
      </c>
      <c r="F612">
        <v>2.9</v>
      </c>
      <c r="G612">
        <v>0</v>
      </c>
      <c r="H612" t="str">
        <f t="shared" si="9"/>
        <v>No Night Usage</v>
      </c>
      <c r="I612">
        <v>5.6</v>
      </c>
      <c r="J612" s="3">
        <v>8</v>
      </c>
      <c r="K612">
        <v>4.4000000000000004</v>
      </c>
      <c r="L612" t="s">
        <v>25</v>
      </c>
      <c r="M612">
        <v>1</v>
      </c>
      <c r="N612">
        <v>0</v>
      </c>
      <c r="O612">
        <v>0</v>
      </c>
      <c r="P612">
        <v>0</v>
      </c>
      <c r="Q612">
        <v>0</v>
      </c>
      <c r="R612">
        <v>0</v>
      </c>
      <c r="S612">
        <v>1</v>
      </c>
      <c r="T612" t="str">
        <f>IF(mental_health[Sleep_Hours]&lt;5,"Low",IF(mental_health[Sleep_Hours]&lt;7,"Medium","Good"))</f>
        <v>Medium</v>
      </c>
      <c r="U612" t="str">
        <f>IF(mental_health[Stress_Level]&lt;=3,"Low",IF(mental_health[Stress_Level]&lt;=7,"Medium","High"))</f>
        <v>High</v>
      </c>
      <c r="V612" t="str">
        <f>IF(mental_health[Daily_Screen_Time]&lt;=4,"Low",IF(mental_health[Daily_Screen_Time]&lt;=8,"Medium","High"))</f>
        <v>Low</v>
      </c>
    </row>
    <row r="613" spans="1:22" x14ac:dyDescent="0.3">
      <c r="A613">
        <v>612</v>
      </c>
      <c r="B613">
        <v>16</v>
      </c>
      <c r="C613" t="s">
        <v>23</v>
      </c>
      <c r="D613" t="s">
        <v>22</v>
      </c>
      <c r="E613">
        <v>10</v>
      </c>
      <c r="F613">
        <v>5.0999999999999996</v>
      </c>
      <c r="G613">
        <v>1</v>
      </c>
      <c r="H613" t="str">
        <f t="shared" si="9"/>
        <v>Night Usage</v>
      </c>
      <c r="I613">
        <v>8</v>
      </c>
      <c r="J613" s="3">
        <v>9</v>
      </c>
      <c r="K613">
        <v>10.8</v>
      </c>
      <c r="L613" t="s">
        <v>20</v>
      </c>
      <c r="M613">
        <v>9</v>
      </c>
      <c r="N613">
        <v>3</v>
      </c>
      <c r="O613">
        <v>1</v>
      </c>
      <c r="P613">
        <v>0</v>
      </c>
      <c r="Q613">
        <v>0</v>
      </c>
      <c r="R613">
        <v>1</v>
      </c>
      <c r="S613">
        <v>1</v>
      </c>
      <c r="T613" t="str">
        <f>IF(mental_health[Sleep_Hours]&lt;5,"Low",IF(mental_health[Sleep_Hours]&lt;7,"Medium","Good"))</f>
        <v>Good</v>
      </c>
      <c r="U613" t="str">
        <f>IF(mental_health[Stress_Level]&lt;=3,"Low",IF(mental_health[Stress_Level]&lt;=7,"Medium","High"))</f>
        <v>High</v>
      </c>
      <c r="V613" t="str">
        <f>IF(mental_health[Daily_Screen_Time]&lt;=4,"Low",IF(mental_health[Daily_Screen_Time]&lt;=8,"Medium","High"))</f>
        <v>High</v>
      </c>
    </row>
    <row r="614" spans="1:22" x14ac:dyDescent="0.3">
      <c r="A614">
        <v>613</v>
      </c>
      <c r="B614">
        <v>18</v>
      </c>
      <c r="C614" t="s">
        <v>18</v>
      </c>
      <c r="D614" t="s">
        <v>19</v>
      </c>
      <c r="E614">
        <v>8.8000000000000007</v>
      </c>
      <c r="F614">
        <v>6.1</v>
      </c>
      <c r="G614">
        <v>0</v>
      </c>
      <c r="H614" t="str">
        <f t="shared" si="9"/>
        <v>No Night Usage</v>
      </c>
      <c r="I614">
        <v>7.9</v>
      </c>
      <c r="J614" s="3">
        <v>2</v>
      </c>
      <c r="K614">
        <v>10.199999999999999</v>
      </c>
      <c r="L614" t="s">
        <v>20</v>
      </c>
      <c r="M614">
        <v>8</v>
      </c>
      <c r="N614">
        <v>3</v>
      </c>
      <c r="O614">
        <v>1</v>
      </c>
      <c r="P614">
        <v>1</v>
      </c>
      <c r="Q614">
        <v>1</v>
      </c>
      <c r="R614">
        <v>0</v>
      </c>
      <c r="S614">
        <v>0</v>
      </c>
      <c r="T614" t="str">
        <f>IF(mental_health[Sleep_Hours]&lt;5,"Low",IF(mental_health[Sleep_Hours]&lt;7,"Medium","Good"))</f>
        <v>Good</v>
      </c>
      <c r="U614" t="str">
        <f>IF(mental_health[Stress_Level]&lt;=3,"Low",IF(mental_health[Stress_Level]&lt;=7,"Medium","High"))</f>
        <v>Low</v>
      </c>
      <c r="V614" t="str">
        <f>IF(mental_health[Daily_Screen_Time]&lt;=4,"Low",IF(mental_health[Daily_Screen_Time]&lt;=8,"Medium","High"))</f>
        <v>High</v>
      </c>
    </row>
    <row r="615" spans="1:22" x14ac:dyDescent="0.3">
      <c r="A615">
        <v>614</v>
      </c>
      <c r="B615">
        <v>28</v>
      </c>
      <c r="C615" t="s">
        <v>23</v>
      </c>
      <c r="D615" t="s">
        <v>22</v>
      </c>
      <c r="E615">
        <v>7.5</v>
      </c>
      <c r="F615">
        <v>7.6</v>
      </c>
      <c r="G615">
        <v>0</v>
      </c>
      <c r="H615" t="str">
        <f t="shared" si="9"/>
        <v>No Night Usage</v>
      </c>
      <c r="I615">
        <v>4.0999999999999996</v>
      </c>
      <c r="J615" s="3">
        <v>3</v>
      </c>
      <c r="K615">
        <v>8.1999999999999993</v>
      </c>
      <c r="L615" t="s">
        <v>25</v>
      </c>
      <c r="M615">
        <v>6</v>
      </c>
      <c r="N615">
        <v>0</v>
      </c>
      <c r="O615">
        <v>0</v>
      </c>
      <c r="P615">
        <v>1</v>
      </c>
      <c r="Q615">
        <v>0</v>
      </c>
      <c r="R615">
        <v>0</v>
      </c>
      <c r="S615">
        <v>1</v>
      </c>
      <c r="T615" t="str">
        <f>IF(mental_health[Sleep_Hours]&lt;5,"Low",IF(mental_health[Sleep_Hours]&lt;7,"Medium","Good"))</f>
        <v>Low</v>
      </c>
      <c r="U615" t="str">
        <f>IF(mental_health[Stress_Level]&lt;=3,"Low",IF(mental_health[Stress_Level]&lt;=7,"Medium","High"))</f>
        <v>Low</v>
      </c>
      <c r="V615" t="str">
        <f>IF(mental_health[Daily_Screen_Time]&lt;=4,"Low",IF(mental_health[Daily_Screen_Time]&lt;=8,"Medium","High"))</f>
        <v>Medium</v>
      </c>
    </row>
    <row r="616" spans="1:22" x14ac:dyDescent="0.3">
      <c r="A616">
        <v>615</v>
      </c>
      <c r="B616">
        <v>43</v>
      </c>
      <c r="C616" t="s">
        <v>23</v>
      </c>
      <c r="D616" t="s">
        <v>24</v>
      </c>
      <c r="E616">
        <v>6.8</v>
      </c>
      <c r="F616">
        <v>7.2</v>
      </c>
      <c r="G616">
        <v>1</v>
      </c>
      <c r="H616" t="str">
        <f t="shared" si="9"/>
        <v>Night Usage</v>
      </c>
      <c r="I616">
        <v>7.2</v>
      </c>
      <c r="J616" s="3">
        <v>1</v>
      </c>
      <c r="K616">
        <v>11.9</v>
      </c>
      <c r="L616" t="s">
        <v>21</v>
      </c>
      <c r="M616">
        <v>1</v>
      </c>
      <c r="N616">
        <v>0</v>
      </c>
      <c r="O616">
        <v>0</v>
      </c>
      <c r="P616">
        <v>1</v>
      </c>
      <c r="Q616">
        <v>1</v>
      </c>
      <c r="R616">
        <v>0</v>
      </c>
      <c r="S616">
        <v>1</v>
      </c>
      <c r="T616" t="str">
        <f>IF(mental_health[Sleep_Hours]&lt;5,"Low",IF(mental_health[Sleep_Hours]&lt;7,"Medium","Good"))</f>
        <v>Good</v>
      </c>
      <c r="U616" t="str">
        <f>IF(mental_health[Stress_Level]&lt;=3,"Low",IF(mental_health[Stress_Level]&lt;=7,"Medium","High"))</f>
        <v>Low</v>
      </c>
      <c r="V616" t="str">
        <f>IF(mental_health[Daily_Screen_Time]&lt;=4,"Low",IF(mental_health[Daily_Screen_Time]&lt;=8,"Medium","High"))</f>
        <v>Medium</v>
      </c>
    </row>
    <row r="617" spans="1:22" x14ac:dyDescent="0.3">
      <c r="A617">
        <v>616</v>
      </c>
      <c r="B617">
        <v>40</v>
      </c>
      <c r="C617" t="s">
        <v>18</v>
      </c>
      <c r="D617" t="s">
        <v>22</v>
      </c>
      <c r="E617">
        <v>11.2</v>
      </c>
      <c r="F617">
        <v>4.5999999999999996</v>
      </c>
      <c r="G617">
        <v>1</v>
      </c>
      <c r="H617" t="str">
        <f t="shared" si="9"/>
        <v>Night Usage</v>
      </c>
      <c r="I617">
        <v>4.7</v>
      </c>
      <c r="J617" s="3">
        <v>4</v>
      </c>
      <c r="K617">
        <v>9.4</v>
      </c>
      <c r="L617" t="s">
        <v>20</v>
      </c>
      <c r="M617">
        <v>2</v>
      </c>
      <c r="N617">
        <v>0</v>
      </c>
      <c r="O617">
        <v>1</v>
      </c>
      <c r="P617">
        <v>0</v>
      </c>
      <c r="Q617">
        <v>0</v>
      </c>
      <c r="R617">
        <v>0</v>
      </c>
      <c r="S617">
        <v>1</v>
      </c>
      <c r="T617" t="str">
        <f>IF(mental_health[Sleep_Hours]&lt;5,"Low",IF(mental_health[Sleep_Hours]&lt;7,"Medium","Good"))</f>
        <v>Low</v>
      </c>
      <c r="U617" t="str">
        <f>IF(mental_health[Stress_Level]&lt;=3,"Low",IF(mental_health[Stress_Level]&lt;=7,"Medium","High"))</f>
        <v>Medium</v>
      </c>
      <c r="V617" t="str">
        <f>IF(mental_health[Daily_Screen_Time]&lt;=4,"Low",IF(mental_health[Daily_Screen_Time]&lt;=8,"Medium","High"))</f>
        <v>High</v>
      </c>
    </row>
    <row r="618" spans="1:22" x14ac:dyDescent="0.3">
      <c r="A618">
        <v>617</v>
      </c>
      <c r="B618">
        <v>48</v>
      </c>
      <c r="C618" t="s">
        <v>18</v>
      </c>
      <c r="D618" t="s">
        <v>19</v>
      </c>
      <c r="E618">
        <v>2.7</v>
      </c>
      <c r="F618">
        <v>6.4</v>
      </c>
      <c r="G618">
        <v>0</v>
      </c>
      <c r="H618" t="str">
        <f t="shared" si="9"/>
        <v>No Night Usage</v>
      </c>
      <c r="I618">
        <v>4.8</v>
      </c>
      <c r="J618" s="3">
        <v>5</v>
      </c>
      <c r="K618">
        <v>4.2</v>
      </c>
      <c r="L618" t="s">
        <v>20</v>
      </c>
      <c r="M618">
        <v>10</v>
      </c>
      <c r="N618">
        <v>2</v>
      </c>
      <c r="O618">
        <v>0</v>
      </c>
      <c r="P618">
        <v>0</v>
      </c>
      <c r="Q618">
        <v>1</v>
      </c>
      <c r="R618">
        <v>0</v>
      </c>
      <c r="S618">
        <v>1</v>
      </c>
      <c r="T618" t="str">
        <f>IF(mental_health[Sleep_Hours]&lt;5,"Low",IF(mental_health[Sleep_Hours]&lt;7,"Medium","Good"))</f>
        <v>Low</v>
      </c>
      <c r="U618" t="str">
        <f>IF(mental_health[Stress_Level]&lt;=3,"Low",IF(mental_health[Stress_Level]&lt;=7,"Medium","High"))</f>
        <v>Medium</v>
      </c>
      <c r="V618" t="str">
        <f>IF(mental_health[Daily_Screen_Time]&lt;=4,"Low",IF(mental_health[Daily_Screen_Time]&lt;=8,"Medium","High"))</f>
        <v>Low</v>
      </c>
    </row>
    <row r="619" spans="1:22" x14ac:dyDescent="0.3">
      <c r="A619">
        <v>618</v>
      </c>
      <c r="B619">
        <v>53</v>
      </c>
      <c r="C619" t="s">
        <v>18</v>
      </c>
      <c r="D619" t="s">
        <v>19</v>
      </c>
      <c r="E619">
        <v>4.8</v>
      </c>
      <c r="F619">
        <v>4.9000000000000004</v>
      </c>
      <c r="G619">
        <v>0</v>
      </c>
      <c r="H619" t="str">
        <f t="shared" si="9"/>
        <v>No Night Usage</v>
      </c>
      <c r="I619">
        <v>4.8</v>
      </c>
      <c r="J619" s="3">
        <v>1</v>
      </c>
      <c r="K619">
        <v>10.5</v>
      </c>
      <c r="L619" t="s">
        <v>25</v>
      </c>
      <c r="M619">
        <v>3</v>
      </c>
      <c r="N619">
        <v>4</v>
      </c>
      <c r="O619">
        <v>0</v>
      </c>
      <c r="P619">
        <v>1</v>
      </c>
      <c r="Q619">
        <v>0</v>
      </c>
      <c r="R619">
        <v>0</v>
      </c>
      <c r="S619">
        <v>0</v>
      </c>
      <c r="T619" t="str">
        <f>IF(mental_health[Sleep_Hours]&lt;5,"Low",IF(mental_health[Sleep_Hours]&lt;7,"Medium","Good"))</f>
        <v>Low</v>
      </c>
      <c r="U619" t="str">
        <f>IF(mental_health[Stress_Level]&lt;=3,"Low",IF(mental_health[Stress_Level]&lt;=7,"Medium","High"))</f>
        <v>Low</v>
      </c>
      <c r="V619" t="str">
        <f>IF(mental_health[Daily_Screen_Time]&lt;=4,"Low",IF(mental_health[Daily_Screen_Time]&lt;=8,"Medium","High"))</f>
        <v>Medium</v>
      </c>
    </row>
    <row r="620" spans="1:22" x14ac:dyDescent="0.3">
      <c r="A620">
        <v>619</v>
      </c>
      <c r="B620">
        <v>21</v>
      </c>
      <c r="C620" t="s">
        <v>23</v>
      </c>
      <c r="D620" t="s">
        <v>24</v>
      </c>
      <c r="E620">
        <v>5.5</v>
      </c>
      <c r="F620">
        <v>4.9000000000000004</v>
      </c>
      <c r="G620">
        <v>1</v>
      </c>
      <c r="H620" t="str">
        <f t="shared" si="9"/>
        <v>Night Usage</v>
      </c>
      <c r="I620">
        <v>7.4</v>
      </c>
      <c r="J620" s="3">
        <v>8</v>
      </c>
      <c r="K620">
        <v>6.1</v>
      </c>
      <c r="L620" t="s">
        <v>25</v>
      </c>
      <c r="M620">
        <v>10</v>
      </c>
      <c r="N620">
        <v>3</v>
      </c>
      <c r="O620">
        <v>1</v>
      </c>
      <c r="P620">
        <v>1</v>
      </c>
      <c r="Q620">
        <v>0</v>
      </c>
      <c r="R620">
        <v>1</v>
      </c>
      <c r="S620">
        <v>0</v>
      </c>
      <c r="T620" t="str">
        <f>IF(mental_health[Sleep_Hours]&lt;5,"Low",IF(mental_health[Sleep_Hours]&lt;7,"Medium","Good"))</f>
        <v>Good</v>
      </c>
      <c r="U620" t="str">
        <f>IF(mental_health[Stress_Level]&lt;=3,"Low",IF(mental_health[Stress_Level]&lt;=7,"Medium","High"))</f>
        <v>High</v>
      </c>
      <c r="V620" t="str">
        <f>IF(mental_health[Daily_Screen_Time]&lt;=4,"Low",IF(mental_health[Daily_Screen_Time]&lt;=8,"Medium","High"))</f>
        <v>Medium</v>
      </c>
    </row>
    <row r="621" spans="1:22" x14ac:dyDescent="0.3">
      <c r="A621">
        <v>620</v>
      </c>
      <c r="B621">
        <v>59</v>
      </c>
      <c r="C621" t="s">
        <v>18</v>
      </c>
      <c r="D621" t="s">
        <v>19</v>
      </c>
      <c r="E621">
        <v>9.8000000000000007</v>
      </c>
      <c r="F621">
        <v>1.8</v>
      </c>
      <c r="G621">
        <v>0</v>
      </c>
      <c r="H621" t="str">
        <f t="shared" si="9"/>
        <v>No Night Usage</v>
      </c>
      <c r="I621">
        <v>4.4000000000000004</v>
      </c>
      <c r="J621" s="3">
        <v>2</v>
      </c>
      <c r="K621">
        <v>2.4</v>
      </c>
      <c r="L621" t="s">
        <v>25</v>
      </c>
      <c r="M621">
        <v>3</v>
      </c>
      <c r="N621">
        <v>3</v>
      </c>
      <c r="O621">
        <v>1</v>
      </c>
      <c r="P621">
        <v>0</v>
      </c>
      <c r="Q621">
        <v>1</v>
      </c>
      <c r="R621">
        <v>0</v>
      </c>
      <c r="S621">
        <v>0</v>
      </c>
      <c r="T621" t="str">
        <f>IF(mental_health[Sleep_Hours]&lt;5,"Low",IF(mental_health[Sleep_Hours]&lt;7,"Medium","Good"))</f>
        <v>Low</v>
      </c>
      <c r="U621" t="str">
        <f>IF(mental_health[Stress_Level]&lt;=3,"Low",IF(mental_health[Stress_Level]&lt;=7,"Medium","High"))</f>
        <v>Low</v>
      </c>
      <c r="V621" t="str">
        <f>IF(mental_health[Daily_Screen_Time]&lt;=4,"Low",IF(mental_health[Daily_Screen_Time]&lt;=8,"Medium","High"))</f>
        <v>High</v>
      </c>
    </row>
    <row r="622" spans="1:22" x14ac:dyDescent="0.3">
      <c r="A622">
        <v>621</v>
      </c>
      <c r="B622">
        <v>47</v>
      </c>
      <c r="C622" t="s">
        <v>23</v>
      </c>
      <c r="D622" t="s">
        <v>24</v>
      </c>
      <c r="E622">
        <v>11.9</v>
      </c>
      <c r="F622">
        <v>1.9</v>
      </c>
      <c r="G622">
        <v>0</v>
      </c>
      <c r="H622" t="str">
        <f t="shared" si="9"/>
        <v>No Night Usage</v>
      </c>
      <c r="I622">
        <v>3</v>
      </c>
      <c r="J622" s="3">
        <v>1</v>
      </c>
      <c r="K622">
        <v>5.2</v>
      </c>
      <c r="L622" t="s">
        <v>21</v>
      </c>
      <c r="M622">
        <v>2</v>
      </c>
      <c r="N622">
        <v>1</v>
      </c>
      <c r="O622">
        <v>1</v>
      </c>
      <c r="P622">
        <v>1</v>
      </c>
      <c r="Q622">
        <v>0</v>
      </c>
      <c r="R622">
        <v>0</v>
      </c>
      <c r="S622">
        <v>0</v>
      </c>
      <c r="T622" t="str">
        <f>IF(mental_health[Sleep_Hours]&lt;5,"Low",IF(mental_health[Sleep_Hours]&lt;7,"Medium","Good"))</f>
        <v>Low</v>
      </c>
      <c r="U622" t="str">
        <f>IF(mental_health[Stress_Level]&lt;=3,"Low",IF(mental_health[Stress_Level]&lt;=7,"Medium","High"))</f>
        <v>Low</v>
      </c>
      <c r="V622" t="str">
        <f>IF(mental_health[Daily_Screen_Time]&lt;=4,"Low",IF(mental_health[Daily_Screen_Time]&lt;=8,"Medium","High"))</f>
        <v>High</v>
      </c>
    </row>
    <row r="623" spans="1:22" x14ac:dyDescent="0.3">
      <c r="A623">
        <v>622</v>
      </c>
      <c r="B623">
        <v>36</v>
      </c>
      <c r="C623" t="s">
        <v>18</v>
      </c>
      <c r="D623" t="s">
        <v>19</v>
      </c>
      <c r="E623">
        <v>4.4000000000000004</v>
      </c>
      <c r="F623">
        <v>4.7</v>
      </c>
      <c r="G623">
        <v>1</v>
      </c>
      <c r="H623" t="str">
        <f t="shared" si="9"/>
        <v>Night Usage</v>
      </c>
      <c r="I623">
        <v>7.3</v>
      </c>
      <c r="J623" s="3">
        <v>2</v>
      </c>
      <c r="K623">
        <v>9.6</v>
      </c>
      <c r="L623" t="s">
        <v>21</v>
      </c>
      <c r="M623">
        <v>2</v>
      </c>
      <c r="N623">
        <v>2</v>
      </c>
      <c r="O623">
        <v>1</v>
      </c>
      <c r="P623">
        <v>1</v>
      </c>
      <c r="Q623">
        <v>0</v>
      </c>
      <c r="R623">
        <v>0</v>
      </c>
      <c r="S623">
        <v>1</v>
      </c>
      <c r="T623" t="str">
        <f>IF(mental_health[Sleep_Hours]&lt;5,"Low",IF(mental_health[Sleep_Hours]&lt;7,"Medium","Good"))</f>
        <v>Good</v>
      </c>
      <c r="U623" t="str">
        <f>IF(mental_health[Stress_Level]&lt;=3,"Low",IF(mental_health[Stress_Level]&lt;=7,"Medium","High"))</f>
        <v>Low</v>
      </c>
      <c r="V623" t="str">
        <f>IF(mental_health[Daily_Screen_Time]&lt;=4,"Low",IF(mental_health[Daily_Screen_Time]&lt;=8,"Medium","High"))</f>
        <v>Medium</v>
      </c>
    </row>
    <row r="624" spans="1:22" x14ac:dyDescent="0.3">
      <c r="A624">
        <v>623</v>
      </c>
      <c r="B624">
        <v>31</v>
      </c>
      <c r="C624" t="s">
        <v>18</v>
      </c>
      <c r="D624" t="s">
        <v>19</v>
      </c>
      <c r="E624">
        <v>10.7</v>
      </c>
      <c r="F624">
        <v>2.9</v>
      </c>
      <c r="G624">
        <v>0</v>
      </c>
      <c r="H624" t="str">
        <f t="shared" si="9"/>
        <v>No Night Usage</v>
      </c>
      <c r="I624">
        <v>4</v>
      </c>
      <c r="J624" s="3">
        <v>5</v>
      </c>
      <c r="K624">
        <v>11.6</v>
      </c>
      <c r="L624" t="s">
        <v>21</v>
      </c>
      <c r="M624">
        <v>6</v>
      </c>
      <c r="N624">
        <v>0</v>
      </c>
      <c r="O624">
        <v>0</v>
      </c>
      <c r="P624">
        <v>1</v>
      </c>
      <c r="Q624">
        <v>0</v>
      </c>
      <c r="R624">
        <v>0</v>
      </c>
      <c r="S624">
        <v>1</v>
      </c>
      <c r="T624" t="str">
        <f>IF(mental_health[Sleep_Hours]&lt;5,"Low",IF(mental_health[Sleep_Hours]&lt;7,"Medium","Good"))</f>
        <v>Low</v>
      </c>
      <c r="U624" t="str">
        <f>IF(mental_health[Stress_Level]&lt;=3,"Low",IF(mental_health[Stress_Level]&lt;=7,"Medium","High"))</f>
        <v>Medium</v>
      </c>
      <c r="V624" t="str">
        <f>IF(mental_health[Daily_Screen_Time]&lt;=4,"Low",IF(mental_health[Daily_Screen_Time]&lt;=8,"Medium","High"))</f>
        <v>High</v>
      </c>
    </row>
    <row r="625" spans="1:22" x14ac:dyDescent="0.3">
      <c r="A625">
        <v>624</v>
      </c>
      <c r="B625">
        <v>36</v>
      </c>
      <c r="C625" t="s">
        <v>18</v>
      </c>
      <c r="D625" t="s">
        <v>24</v>
      </c>
      <c r="E625">
        <v>10.3</v>
      </c>
      <c r="F625">
        <v>1.1000000000000001</v>
      </c>
      <c r="G625">
        <v>1</v>
      </c>
      <c r="H625" t="str">
        <f t="shared" si="9"/>
        <v>Night Usage</v>
      </c>
      <c r="I625">
        <v>3.6</v>
      </c>
      <c r="J625" s="3">
        <v>9</v>
      </c>
      <c r="K625">
        <v>4.8</v>
      </c>
      <c r="L625" t="s">
        <v>25</v>
      </c>
      <c r="M625">
        <v>7</v>
      </c>
      <c r="N625">
        <v>0</v>
      </c>
      <c r="O625">
        <v>1</v>
      </c>
      <c r="P625">
        <v>0</v>
      </c>
      <c r="Q625">
        <v>0</v>
      </c>
      <c r="R625">
        <v>0</v>
      </c>
      <c r="S625">
        <v>0</v>
      </c>
      <c r="T625" t="str">
        <f>IF(mental_health[Sleep_Hours]&lt;5,"Low",IF(mental_health[Sleep_Hours]&lt;7,"Medium","Good"))</f>
        <v>Low</v>
      </c>
      <c r="U625" t="str">
        <f>IF(mental_health[Stress_Level]&lt;=3,"Low",IF(mental_health[Stress_Level]&lt;=7,"Medium","High"))</f>
        <v>High</v>
      </c>
      <c r="V625" t="str">
        <f>IF(mental_health[Daily_Screen_Time]&lt;=4,"Low",IF(mental_health[Daily_Screen_Time]&lt;=8,"Medium","High"))</f>
        <v>High</v>
      </c>
    </row>
    <row r="626" spans="1:22" x14ac:dyDescent="0.3">
      <c r="A626">
        <v>625</v>
      </c>
      <c r="B626">
        <v>26</v>
      </c>
      <c r="C626" t="s">
        <v>23</v>
      </c>
      <c r="D626" t="s">
        <v>22</v>
      </c>
      <c r="E626">
        <v>4.2</v>
      </c>
      <c r="F626">
        <v>6.1</v>
      </c>
      <c r="G626">
        <v>0</v>
      </c>
      <c r="H626" t="str">
        <f t="shared" si="9"/>
        <v>No Night Usage</v>
      </c>
      <c r="I626">
        <v>4.4000000000000004</v>
      </c>
      <c r="J626" s="3">
        <v>9</v>
      </c>
      <c r="K626">
        <v>4.5</v>
      </c>
      <c r="L626" t="s">
        <v>20</v>
      </c>
      <c r="M626">
        <v>4</v>
      </c>
      <c r="N626">
        <v>2</v>
      </c>
      <c r="O626">
        <v>0</v>
      </c>
      <c r="P626">
        <v>0</v>
      </c>
      <c r="Q626">
        <v>1</v>
      </c>
      <c r="R626">
        <v>1</v>
      </c>
      <c r="S626">
        <v>0</v>
      </c>
      <c r="T626" t="str">
        <f>IF(mental_health[Sleep_Hours]&lt;5,"Low",IF(mental_health[Sleep_Hours]&lt;7,"Medium","Good"))</f>
        <v>Low</v>
      </c>
      <c r="U626" t="str">
        <f>IF(mental_health[Stress_Level]&lt;=3,"Low",IF(mental_health[Stress_Level]&lt;=7,"Medium","High"))</f>
        <v>High</v>
      </c>
      <c r="V626" t="str">
        <f>IF(mental_health[Daily_Screen_Time]&lt;=4,"Low",IF(mental_health[Daily_Screen_Time]&lt;=8,"Medium","High"))</f>
        <v>Medium</v>
      </c>
    </row>
    <row r="627" spans="1:22" x14ac:dyDescent="0.3">
      <c r="A627">
        <v>626</v>
      </c>
      <c r="B627">
        <v>52</v>
      </c>
      <c r="C627" t="s">
        <v>23</v>
      </c>
      <c r="D627" t="s">
        <v>19</v>
      </c>
      <c r="E627">
        <v>6</v>
      </c>
      <c r="F627">
        <v>1.2</v>
      </c>
      <c r="G627">
        <v>1</v>
      </c>
      <c r="H627" t="str">
        <f t="shared" si="9"/>
        <v>Night Usage</v>
      </c>
      <c r="I627">
        <v>5.3</v>
      </c>
      <c r="J627" s="3">
        <v>2</v>
      </c>
      <c r="K627">
        <v>7.6</v>
      </c>
      <c r="L627" t="s">
        <v>21</v>
      </c>
      <c r="M627">
        <v>1</v>
      </c>
      <c r="N627">
        <v>3</v>
      </c>
      <c r="O627">
        <v>0</v>
      </c>
      <c r="P627">
        <v>1</v>
      </c>
      <c r="Q627">
        <v>0</v>
      </c>
      <c r="R627">
        <v>0</v>
      </c>
      <c r="S627">
        <v>0</v>
      </c>
      <c r="T627" t="str">
        <f>IF(mental_health[Sleep_Hours]&lt;5,"Low",IF(mental_health[Sleep_Hours]&lt;7,"Medium","Good"))</f>
        <v>Medium</v>
      </c>
      <c r="U627" t="str">
        <f>IF(mental_health[Stress_Level]&lt;=3,"Low",IF(mental_health[Stress_Level]&lt;=7,"Medium","High"))</f>
        <v>Low</v>
      </c>
      <c r="V627" t="str">
        <f>IF(mental_health[Daily_Screen_Time]&lt;=4,"Low",IF(mental_health[Daily_Screen_Time]&lt;=8,"Medium","High"))</f>
        <v>Medium</v>
      </c>
    </row>
    <row r="628" spans="1:22" x14ac:dyDescent="0.3">
      <c r="A628">
        <v>627</v>
      </c>
      <c r="B628">
        <v>51</v>
      </c>
      <c r="C628" t="s">
        <v>18</v>
      </c>
      <c r="D628" t="s">
        <v>22</v>
      </c>
      <c r="E628">
        <v>6.1</v>
      </c>
      <c r="F628">
        <v>5.2</v>
      </c>
      <c r="G628">
        <v>1</v>
      </c>
      <c r="H628" t="str">
        <f t="shared" si="9"/>
        <v>Night Usage</v>
      </c>
      <c r="I628">
        <v>5.9</v>
      </c>
      <c r="J628" s="3">
        <v>2</v>
      </c>
      <c r="K628">
        <v>10.1</v>
      </c>
      <c r="L628" t="s">
        <v>25</v>
      </c>
      <c r="M628">
        <v>6</v>
      </c>
      <c r="N628">
        <v>0</v>
      </c>
      <c r="O628">
        <v>0</v>
      </c>
      <c r="P628">
        <v>1</v>
      </c>
      <c r="Q628">
        <v>0</v>
      </c>
      <c r="R628">
        <v>1</v>
      </c>
      <c r="S628">
        <v>1</v>
      </c>
      <c r="T628" t="str">
        <f>IF(mental_health[Sleep_Hours]&lt;5,"Low",IF(mental_health[Sleep_Hours]&lt;7,"Medium","Good"))</f>
        <v>Medium</v>
      </c>
      <c r="U628" t="str">
        <f>IF(mental_health[Stress_Level]&lt;=3,"Low",IF(mental_health[Stress_Level]&lt;=7,"Medium","High"))</f>
        <v>Low</v>
      </c>
      <c r="V628" t="str">
        <f>IF(mental_health[Daily_Screen_Time]&lt;=4,"Low",IF(mental_health[Daily_Screen_Time]&lt;=8,"Medium","High"))</f>
        <v>Medium</v>
      </c>
    </row>
    <row r="629" spans="1:22" x14ac:dyDescent="0.3">
      <c r="A629">
        <v>628</v>
      </c>
      <c r="B629">
        <v>50</v>
      </c>
      <c r="C629" t="s">
        <v>18</v>
      </c>
      <c r="D629" t="s">
        <v>19</v>
      </c>
      <c r="E629">
        <v>11.8</v>
      </c>
      <c r="F629">
        <v>4.8</v>
      </c>
      <c r="G629">
        <v>1</v>
      </c>
      <c r="H629" t="str">
        <f t="shared" si="9"/>
        <v>Night Usage</v>
      </c>
      <c r="I629">
        <v>3.3</v>
      </c>
      <c r="J629" s="3">
        <v>3</v>
      </c>
      <c r="K629">
        <v>9.5</v>
      </c>
      <c r="L629" t="s">
        <v>21</v>
      </c>
      <c r="M629">
        <v>7</v>
      </c>
      <c r="N629">
        <v>1</v>
      </c>
      <c r="O629">
        <v>1</v>
      </c>
      <c r="P629">
        <v>0</v>
      </c>
      <c r="Q629">
        <v>0</v>
      </c>
      <c r="R629">
        <v>1</v>
      </c>
      <c r="S629">
        <v>1</v>
      </c>
      <c r="T629" t="str">
        <f>IF(mental_health[Sleep_Hours]&lt;5,"Low",IF(mental_health[Sleep_Hours]&lt;7,"Medium","Good"))</f>
        <v>Low</v>
      </c>
      <c r="U629" t="str">
        <f>IF(mental_health[Stress_Level]&lt;=3,"Low",IF(mental_health[Stress_Level]&lt;=7,"Medium","High"))</f>
        <v>Low</v>
      </c>
      <c r="V629" t="str">
        <f>IF(mental_health[Daily_Screen_Time]&lt;=4,"Low",IF(mental_health[Daily_Screen_Time]&lt;=8,"Medium","High"))</f>
        <v>High</v>
      </c>
    </row>
    <row r="630" spans="1:22" x14ac:dyDescent="0.3">
      <c r="A630">
        <v>629</v>
      </c>
      <c r="B630">
        <v>34</v>
      </c>
      <c r="C630" t="s">
        <v>18</v>
      </c>
      <c r="D630" t="s">
        <v>19</v>
      </c>
      <c r="E630">
        <v>3.8</v>
      </c>
      <c r="F630">
        <v>7.8</v>
      </c>
      <c r="G630">
        <v>0</v>
      </c>
      <c r="H630" t="str">
        <f t="shared" si="9"/>
        <v>No Night Usage</v>
      </c>
      <c r="I630">
        <v>8.8000000000000007</v>
      </c>
      <c r="J630" s="3">
        <v>7</v>
      </c>
      <c r="K630">
        <v>7.6</v>
      </c>
      <c r="L630" t="s">
        <v>20</v>
      </c>
      <c r="M630">
        <v>4</v>
      </c>
      <c r="N630">
        <v>3</v>
      </c>
      <c r="O630">
        <v>0</v>
      </c>
      <c r="P630">
        <v>0</v>
      </c>
      <c r="Q630">
        <v>1</v>
      </c>
      <c r="R630">
        <v>0</v>
      </c>
      <c r="S630">
        <v>0</v>
      </c>
      <c r="T630" t="str">
        <f>IF(mental_health[Sleep_Hours]&lt;5,"Low",IF(mental_health[Sleep_Hours]&lt;7,"Medium","Good"))</f>
        <v>Good</v>
      </c>
      <c r="U630" t="str">
        <f>IF(mental_health[Stress_Level]&lt;=3,"Low",IF(mental_health[Stress_Level]&lt;=7,"Medium","High"))</f>
        <v>Medium</v>
      </c>
      <c r="V630" t="str">
        <f>IF(mental_health[Daily_Screen_Time]&lt;=4,"Low",IF(mental_health[Daily_Screen_Time]&lt;=8,"Medium","High"))</f>
        <v>Low</v>
      </c>
    </row>
    <row r="631" spans="1:22" x14ac:dyDescent="0.3">
      <c r="A631">
        <v>630</v>
      </c>
      <c r="B631">
        <v>35</v>
      </c>
      <c r="C631" t="s">
        <v>23</v>
      </c>
      <c r="D631" t="s">
        <v>19</v>
      </c>
      <c r="E631">
        <v>10</v>
      </c>
      <c r="F631">
        <v>4.4000000000000004</v>
      </c>
      <c r="G631">
        <v>1</v>
      </c>
      <c r="H631" t="str">
        <f t="shared" si="9"/>
        <v>Night Usage</v>
      </c>
      <c r="I631">
        <v>7.3</v>
      </c>
      <c r="J631" s="3">
        <v>3</v>
      </c>
      <c r="K631">
        <v>8.3000000000000007</v>
      </c>
      <c r="L631" t="s">
        <v>20</v>
      </c>
      <c r="M631">
        <v>6</v>
      </c>
      <c r="N631">
        <v>4</v>
      </c>
      <c r="O631">
        <v>1</v>
      </c>
      <c r="P631">
        <v>1</v>
      </c>
      <c r="Q631">
        <v>0</v>
      </c>
      <c r="R631">
        <v>1</v>
      </c>
      <c r="S631">
        <v>1</v>
      </c>
      <c r="T631" t="str">
        <f>IF(mental_health[Sleep_Hours]&lt;5,"Low",IF(mental_health[Sleep_Hours]&lt;7,"Medium","Good"))</f>
        <v>Good</v>
      </c>
      <c r="U631" t="str">
        <f>IF(mental_health[Stress_Level]&lt;=3,"Low",IF(mental_health[Stress_Level]&lt;=7,"Medium","High"))</f>
        <v>Low</v>
      </c>
      <c r="V631" t="str">
        <f>IF(mental_health[Daily_Screen_Time]&lt;=4,"Low",IF(mental_health[Daily_Screen_Time]&lt;=8,"Medium","High"))</f>
        <v>High</v>
      </c>
    </row>
    <row r="632" spans="1:22" x14ac:dyDescent="0.3">
      <c r="A632">
        <v>631</v>
      </c>
      <c r="B632">
        <v>33</v>
      </c>
      <c r="C632" t="s">
        <v>18</v>
      </c>
      <c r="D632" t="s">
        <v>19</v>
      </c>
      <c r="E632">
        <v>5.3</v>
      </c>
      <c r="F632">
        <v>1.4</v>
      </c>
      <c r="G632">
        <v>0</v>
      </c>
      <c r="H632" t="str">
        <f t="shared" si="9"/>
        <v>No Night Usage</v>
      </c>
      <c r="I632">
        <v>4.9000000000000004</v>
      </c>
      <c r="J632" s="3">
        <v>1</v>
      </c>
      <c r="K632">
        <v>4.4000000000000004</v>
      </c>
      <c r="L632" t="s">
        <v>25</v>
      </c>
      <c r="M632">
        <v>9</v>
      </c>
      <c r="N632">
        <v>2</v>
      </c>
      <c r="O632">
        <v>1</v>
      </c>
      <c r="P632">
        <v>1</v>
      </c>
      <c r="Q632">
        <v>0</v>
      </c>
      <c r="R632">
        <v>0</v>
      </c>
      <c r="S632">
        <v>1</v>
      </c>
      <c r="T632" t="str">
        <f>IF(mental_health[Sleep_Hours]&lt;5,"Low",IF(mental_health[Sleep_Hours]&lt;7,"Medium","Good"))</f>
        <v>Low</v>
      </c>
      <c r="U632" t="str">
        <f>IF(mental_health[Stress_Level]&lt;=3,"Low",IF(mental_health[Stress_Level]&lt;=7,"Medium","High"))</f>
        <v>Low</v>
      </c>
      <c r="V632" t="str">
        <f>IF(mental_health[Daily_Screen_Time]&lt;=4,"Low",IF(mental_health[Daily_Screen_Time]&lt;=8,"Medium","High"))</f>
        <v>Medium</v>
      </c>
    </row>
    <row r="633" spans="1:22" x14ac:dyDescent="0.3">
      <c r="A633">
        <v>632</v>
      </c>
      <c r="B633">
        <v>56</v>
      </c>
      <c r="C633" t="s">
        <v>23</v>
      </c>
      <c r="D633" t="s">
        <v>22</v>
      </c>
      <c r="E633">
        <v>9.3000000000000007</v>
      </c>
      <c r="F633">
        <v>4.9000000000000004</v>
      </c>
      <c r="G633">
        <v>1</v>
      </c>
      <c r="H633" t="str">
        <f t="shared" si="9"/>
        <v>Night Usage</v>
      </c>
      <c r="I633">
        <v>4.9000000000000004</v>
      </c>
      <c r="J633" s="3">
        <v>6</v>
      </c>
      <c r="K633">
        <v>6.3</v>
      </c>
      <c r="L633" t="s">
        <v>20</v>
      </c>
      <c r="M633">
        <v>4</v>
      </c>
      <c r="N633">
        <v>3</v>
      </c>
      <c r="O633">
        <v>1</v>
      </c>
      <c r="P633">
        <v>1</v>
      </c>
      <c r="Q633">
        <v>0</v>
      </c>
      <c r="R633">
        <v>0</v>
      </c>
      <c r="S633">
        <v>1</v>
      </c>
      <c r="T633" t="str">
        <f>IF(mental_health[Sleep_Hours]&lt;5,"Low",IF(mental_health[Sleep_Hours]&lt;7,"Medium","Good"))</f>
        <v>Low</v>
      </c>
      <c r="U633" t="str">
        <f>IF(mental_health[Stress_Level]&lt;=3,"Low",IF(mental_health[Stress_Level]&lt;=7,"Medium","High"))</f>
        <v>Medium</v>
      </c>
      <c r="V633" t="str">
        <f>IF(mental_health[Daily_Screen_Time]&lt;=4,"Low",IF(mental_health[Daily_Screen_Time]&lt;=8,"Medium","High"))</f>
        <v>High</v>
      </c>
    </row>
    <row r="634" spans="1:22" x14ac:dyDescent="0.3">
      <c r="A634">
        <v>633</v>
      </c>
      <c r="B634">
        <v>29</v>
      </c>
      <c r="C634" t="s">
        <v>18</v>
      </c>
      <c r="D634" t="s">
        <v>22</v>
      </c>
      <c r="E634">
        <v>6.2</v>
      </c>
      <c r="F634">
        <v>6.9</v>
      </c>
      <c r="G634">
        <v>1</v>
      </c>
      <c r="H634" t="str">
        <f t="shared" si="9"/>
        <v>Night Usage</v>
      </c>
      <c r="I634">
        <v>5.7</v>
      </c>
      <c r="J634" s="3">
        <v>3</v>
      </c>
      <c r="K634">
        <v>4.5999999999999996</v>
      </c>
      <c r="L634" t="s">
        <v>25</v>
      </c>
      <c r="M634">
        <v>10</v>
      </c>
      <c r="N634">
        <v>4</v>
      </c>
      <c r="O634">
        <v>0</v>
      </c>
      <c r="P634">
        <v>0</v>
      </c>
      <c r="Q634">
        <v>0</v>
      </c>
      <c r="R634">
        <v>1</v>
      </c>
      <c r="S634">
        <v>1</v>
      </c>
      <c r="T634" t="str">
        <f>IF(mental_health[Sleep_Hours]&lt;5,"Low",IF(mental_health[Sleep_Hours]&lt;7,"Medium","Good"))</f>
        <v>Medium</v>
      </c>
      <c r="U634" t="str">
        <f>IF(mental_health[Stress_Level]&lt;=3,"Low",IF(mental_health[Stress_Level]&lt;=7,"Medium","High"))</f>
        <v>Low</v>
      </c>
      <c r="V634" t="str">
        <f>IF(mental_health[Daily_Screen_Time]&lt;=4,"Low",IF(mental_health[Daily_Screen_Time]&lt;=8,"Medium","High"))</f>
        <v>Medium</v>
      </c>
    </row>
    <row r="635" spans="1:22" x14ac:dyDescent="0.3">
      <c r="A635">
        <v>634</v>
      </c>
      <c r="B635">
        <v>30</v>
      </c>
      <c r="C635" t="s">
        <v>18</v>
      </c>
      <c r="D635" t="s">
        <v>19</v>
      </c>
      <c r="E635">
        <v>7.8</v>
      </c>
      <c r="F635">
        <v>8</v>
      </c>
      <c r="G635">
        <v>1</v>
      </c>
      <c r="H635" t="str">
        <f t="shared" si="9"/>
        <v>Night Usage</v>
      </c>
      <c r="I635">
        <v>6.8</v>
      </c>
      <c r="J635" s="3">
        <v>1</v>
      </c>
      <c r="K635">
        <v>10.8</v>
      </c>
      <c r="L635" t="s">
        <v>25</v>
      </c>
      <c r="M635">
        <v>4</v>
      </c>
      <c r="N635">
        <v>1</v>
      </c>
      <c r="O635">
        <v>1</v>
      </c>
      <c r="P635">
        <v>1</v>
      </c>
      <c r="Q635">
        <v>1</v>
      </c>
      <c r="R635">
        <v>0</v>
      </c>
      <c r="S635">
        <v>1</v>
      </c>
      <c r="T635" t="str">
        <f>IF(mental_health[Sleep_Hours]&lt;5,"Low",IF(mental_health[Sleep_Hours]&lt;7,"Medium","Good"))</f>
        <v>Medium</v>
      </c>
      <c r="U635" t="str">
        <f>IF(mental_health[Stress_Level]&lt;=3,"Low",IF(mental_health[Stress_Level]&lt;=7,"Medium","High"))</f>
        <v>Low</v>
      </c>
      <c r="V635" t="str">
        <f>IF(mental_health[Daily_Screen_Time]&lt;=4,"Low",IF(mental_health[Daily_Screen_Time]&lt;=8,"Medium","High"))</f>
        <v>Medium</v>
      </c>
    </row>
    <row r="636" spans="1:22" x14ac:dyDescent="0.3">
      <c r="A636">
        <v>635</v>
      </c>
      <c r="B636">
        <v>46</v>
      </c>
      <c r="C636" t="s">
        <v>18</v>
      </c>
      <c r="D636" t="s">
        <v>19</v>
      </c>
      <c r="E636">
        <v>10.3</v>
      </c>
      <c r="F636">
        <v>4</v>
      </c>
      <c r="G636">
        <v>0</v>
      </c>
      <c r="H636" t="str">
        <f t="shared" si="9"/>
        <v>No Night Usage</v>
      </c>
      <c r="I636">
        <v>3.9</v>
      </c>
      <c r="J636" s="3">
        <v>4</v>
      </c>
      <c r="K636">
        <v>3.1</v>
      </c>
      <c r="L636" t="s">
        <v>25</v>
      </c>
      <c r="M636">
        <v>10</v>
      </c>
      <c r="N636">
        <v>2</v>
      </c>
      <c r="O636">
        <v>1</v>
      </c>
      <c r="P636">
        <v>1</v>
      </c>
      <c r="Q636">
        <v>0</v>
      </c>
      <c r="R636">
        <v>1</v>
      </c>
      <c r="S636">
        <v>1</v>
      </c>
      <c r="T636" t="str">
        <f>IF(mental_health[Sleep_Hours]&lt;5,"Low",IF(mental_health[Sleep_Hours]&lt;7,"Medium","Good"))</f>
        <v>Low</v>
      </c>
      <c r="U636" t="str">
        <f>IF(mental_health[Stress_Level]&lt;=3,"Low",IF(mental_health[Stress_Level]&lt;=7,"Medium","High"))</f>
        <v>Medium</v>
      </c>
      <c r="V636" t="str">
        <f>IF(mental_health[Daily_Screen_Time]&lt;=4,"Low",IF(mental_health[Daily_Screen_Time]&lt;=8,"Medium","High"))</f>
        <v>High</v>
      </c>
    </row>
    <row r="637" spans="1:22" x14ac:dyDescent="0.3">
      <c r="A637">
        <v>636</v>
      </c>
      <c r="B637">
        <v>16</v>
      </c>
      <c r="C637" t="s">
        <v>18</v>
      </c>
      <c r="D637" t="s">
        <v>22</v>
      </c>
      <c r="E637">
        <v>10</v>
      </c>
      <c r="F637">
        <v>3.2</v>
      </c>
      <c r="G637">
        <v>0</v>
      </c>
      <c r="H637" t="str">
        <f t="shared" si="9"/>
        <v>No Night Usage</v>
      </c>
      <c r="I637">
        <v>4.0999999999999996</v>
      </c>
      <c r="J637" s="3">
        <v>1</v>
      </c>
      <c r="K637">
        <v>8.8000000000000007</v>
      </c>
      <c r="L637" t="s">
        <v>25</v>
      </c>
      <c r="M637">
        <v>5</v>
      </c>
      <c r="N637">
        <v>0</v>
      </c>
      <c r="O637">
        <v>0</v>
      </c>
      <c r="P637">
        <v>1</v>
      </c>
      <c r="Q637">
        <v>0</v>
      </c>
      <c r="R637">
        <v>0</v>
      </c>
      <c r="S637">
        <v>1</v>
      </c>
      <c r="T637" t="str">
        <f>IF(mental_health[Sleep_Hours]&lt;5,"Low",IF(mental_health[Sleep_Hours]&lt;7,"Medium","Good"))</f>
        <v>Low</v>
      </c>
      <c r="U637" t="str">
        <f>IF(mental_health[Stress_Level]&lt;=3,"Low",IF(mental_health[Stress_Level]&lt;=7,"Medium","High"))</f>
        <v>Low</v>
      </c>
      <c r="V637" t="str">
        <f>IF(mental_health[Daily_Screen_Time]&lt;=4,"Low",IF(mental_health[Daily_Screen_Time]&lt;=8,"Medium","High"))</f>
        <v>High</v>
      </c>
    </row>
    <row r="638" spans="1:22" x14ac:dyDescent="0.3">
      <c r="A638">
        <v>637</v>
      </c>
      <c r="B638">
        <v>18</v>
      </c>
      <c r="C638" t="s">
        <v>18</v>
      </c>
      <c r="D638" t="s">
        <v>24</v>
      </c>
      <c r="E638">
        <v>10.7</v>
      </c>
      <c r="F638">
        <v>7.3</v>
      </c>
      <c r="G638">
        <v>1</v>
      </c>
      <c r="H638" t="str">
        <f t="shared" si="9"/>
        <v>Night Usage</v>
      </c>
      <c r="I638">
        <v>8.1999999999999993</v>
      </c>
      <c r="J638" s="3">
        <v>1</v>
      </c>
      <c r="K638">
        <v>4.5999999999999996</v>
      </c>
      <c r="L638" t="s">
        <v>20</v>
      </c>
      <c r="M638">
        <v>3</v>
      </c>
      <c r="N638">
        <v>0</v>
      </c>
      <c r="O638">
        <v>1</v>
      </c>
      <c r="P638">
        <v>1</v>
      </c>
      <c r="Q638">
        <v>0</v>
      </c>
      <c r="R638">
        <v>0</v>
      </c>
      <c r="S638">
        <v>1</v>
      </c>
      <c r="T638" t="str">
        <f>IF(mental_health[Sleep_Hours]&lt;5,"Low",IF(mental_health[Sleep_Hours]&lt;7,"Medium","Good"))</f>
        <v>Good</v>
      </c>
      <c r="U638" t="str">
        <f>IF(mental_health[Stress_Level]&lt;=3,"Low",IF(mental_health[Stress_Level]&lt;=7,"Medium","High"))</f>
        <v>Low</v>
      </c>
      <c r="V638" t="str">
        <f>IF(mental_health[Daily_Screen_Time]&lt;=4,"Low",IF(mental_health[Daily_Screen_Time]&lt;=8,"Medium","High"))</f>
        <v>High</v>
      </c>
    </row>
    <row r="639" spans="1:22" x14ac:dyDescent="0.3">
      <c r="A639">
        <v>638</v>
      </c>
      <c r="B639">
        <v>31</v>
      </c>
      <c r="C639" t="s">
        <v>18</v>
      </c>
      <c r="D639" t="s">
        <v>24</v>
      </c>
      <c r="E639">
        <v>2.6</v>
      </c>
      <c r="F639">
        <v>2.2999999999999998</v>
      </c>
      <c r="G639">
        <v>0</v>
      </c>
      <c r="H639" t="str">
        <f t="shared" si="9"/>
        <v>No Night Usage</v>
      </c>
      <c r="I639">
        <v>4.5</v>
      </c>
      <c r="J639" s="3">
        <v>2</v>
      </c>
      <c r="K639">
        <v>6.8</v>
      </c>
      <c r="L639" t="s">
        <v>20</v>
      </c>
      <c r="M639">
        <v>10</v>
      </c>
      <c r="N639">
        <v>4</v>
      </c>
      <c r="O639">
        <v>0</v>
      </c>
      <c r="P639">
        <v>1</v>
      </c>
      <c r="Q639">
        <v>0</v>
      </c>
      <c r="R639">
        <v>0</v>
      </c>
      <c r="S639">
        <v>0</v>
      </c>
      <c r="T639" t="str">
        <f>IF(mental_health[Sleep_Hours]&lt;5,"Low",IF(mental_health[Sleep_Hours]&lt;7,"Medium","Good"))</f>
        <v>Low</v>
      </c>
      <c r="U639" t="str">
        <f>IF(mental_health[Stress_Level]&lt;=3,"Low",IF(mental_health[Stress_Level]&lt;=7,"Medium","High"))</f>
        <v>Low</v>
      </c>
      <c r="V639" t="str">
        <f>IF(mental_health[Daily_Screen_Time]&lt;=4,"Low",IF(mental_health[Daily_Screen_Time]&lt;=8,"Medium","High"))</f>
        <v>Low</v>
      </c>
    </row>
    <row r="640" spans="1:22" x14ac:dyDescent="0.3">
      <c r="A640">
        <v>639</v>
      </c>
      <c r="B640">
        <v>38</v>
      </c>
      <c r="C640" t="s">
        <v>23</v>
      </c>
      <c r="D640" t="s">
        <v>22</v>
      </c>
      <c r="E640">
        <v>8.9</v>
      </c>
      <c r="F640">
        <v>5.3</v>
      </c>
      <c r="G640">
        <v>0</v>
      </c>
      <c r="H640" t="str">
        <f t="shared" si="9"/>
        <v>No Night Usage</v>
      </c>
      <c r="I640">
        <v>5.3</v>
      </c>
      <c r="J640" s="3">
        <v>10</v>
      </c>
      <c r="K640">
        <v>5</v>
      </c>
      <c r="L640" t="s">
        <v>20</v>
      </c>
      <c r="M640">
        <v>2</v>
      </c>
      <c r="N640">
        <v>3</v>
      </c>
      <c r="O640">
        <v>0</v>
      </c>
      <c r="P640">
        <v>0</v>
      </c>
      <c r="Q640">
        <v>0</v>
      </c>
      <c r="R640">
        <v>1</v>
      </c>
      <c r="S640">
        <v>1</v>
      </c>
      <c r="T640" t="str">
        <f>IF(mental_health[Sleep_Hours]&lt;5,"Low",IF(mental_health[Sleep_Hours]&lt;7,"Medium","Good"))</f>
        <v>Medium</v>
      </c>
      <c r="U640" t="str">
        <f>IF(mental_health[Stress_Level]&lt;=3,"Low",IF(mental_health[Stress_Level]&lt;=7,"Medium","High"))</f>
        <v>High</v>
      </c>
      <c r="V640" t="str">
        <f>IF(mental_health[Daily_Screen_Time]&lt;=4,"Low",IF(mental_health[Daily_Screen_Time]&lt;=8,"Medium","High"))</f>
        <v>High</v>
      </c>
    </row>
    <row r="641" spans="1:22" x14ac:dyDescent="0.3">
      <c r="A641">
        <v>640</v>
      </c>
      <c r="B641">
        <v>26</v>
      </c>
      <c r="C641" t="s">
        <v>18</v>
      </c>
      <c r="D641" t="s">
        <v>19</v>
      </c>
      <c r="E641">
        <v>3.4</v>
      </c>
      <c r="F641">
        <v>3.8</v>
      </c>
      <c r="G641">
        <v>0</v>
      </c>
      <c r="H641" t="str">
        <f t="shared" si="9"/>
        <v>No Night Usage</v>
      </c>
      <c r="I641">
        <v>8.1999999999999993</v>
      </c>
      <c r="J641" s="3">
        <v>8</v>
      </c>
      <c r="K641">
        <v>5.2</v>
      </c>
      <c r="L641" t="s">
        <v>20</v>
      </c>
      <c r="M641">
        <v>9</v>
      </c>
      <c r="N641">
        <v>1</v>
      </c>
      <c r="O641">
        <v>1</v>
      </c>
      <c r="P641">
        <v>1</v>
      </c>
      <c r="Q641">
        <v>1</v>
      </c>
      <c r="R641">
        <v>0</v>
      </c>
      <c r="S641">
        <v>0</v>
      </c>
      <c r="T641" t="str">
        <f>IF(mental_health[Sleep_Hours]&lt;5,"Low",IF(mental_health[Sleep_Hours]&lt;7,"Medium","Good"))</f>
        <v>Good</v>
      </c>
      <c r="U641" t="str">
        <f>IF(mental_health[Stress_Level]&lt;=3,"Low",IF(mental_health[Stress_Level]&lt;=7,"Medium","High"))</f>
        <v>High</v>
      </c>
      <c r="V641" t="str">
        <f>IF(mental_health[Daily_Screen_Time]&lt;=4,"Low",IF(mental_health[Daily_Screen_Time]&lt;=8,"Medium","High"))</f>
        <v>Low</v>
      </c>
    </row>
    <row r="642" spans="1:22" x14ac:dyDescent="0.3">
      <c r="A642">
        <v>641</v>
      </c>
      <c r="B642">
        <v>27</v>
      </c>
      <c r="C642" t="s">
        <v>23</v>
      </c>
      <c r="D642" t="s">
        <v>19</v>
      </c>
      <c r="E642">
        <v>6.2</v>
      </c>
      <c r="F642">
        <v>1.3</v>
      </c>
      <c r="G642">
        <v>1</v>
      </c>
      <c r="H642" t="str">
        <f t="shared" ref="H642:H705" si="10">IF(G642=1,"Night Usage","No Night Usage")</f>
        <v>Night Usage</v>
      </c>
      <c r="I642">
        <v>7</v>
      </c>
      <c r="J642" s="3">
        <v>2</v>
      </c>
      <c r="K642">
        <v>4.5999999999999996</v>
      </c>
      <c r="L642" t="s">
        <v>25</v>
      </c>
      <c r="M642">
        <v>1</v>
      </c>
      <c r="N642">
        <v>4</v>
      </c>
      <c r="O642">
        <v>1</v>
      </c>
      <c r="P642">
        <v>1</v>
      </c>
      <c r="Q642">
        <v>0</v>
      </c>
      <c r="R642">
        <v>1</v>
      </c>
      <c r="S642">
        <v>1</v>
      </c>
      <c r="T642" t="str">
        <f>IF(mental_health[Sleep_Hours]&lt;5,"Low",IF(mental_health[Sleep_Hours]&lt;7,"Medium","Good"))</f>
        <v>Good</v>
      </c>
      <c r="U642" t="str">
        <f>IF(mental_health[Stress_Level]&lt;=3,"Low",IF(mental_health[Stress_Level]&lt;=7,"Medium","High"))</f>
        <v>Low</v>
      </c>
      <c r="V642" t="str">
        <f>IF(mental_health[Daily_Screen_Time]&lt;=4,"Low",IF(mental_health[Daily_Screen_Time]&lt;=8,"Medium","High"))</f>
        <v>Medium</v>
      </c>
    </row>
    <row r="643" spans="1:22" x14ac:dyDescent="0.3">
      <c r="A643">
        <v>642</v>
      </c>
      <c r="B643">
        <v>25</v>
      </c>
      <c r="C643" t="s">
        <v>18</v>
      </c>
      <c r="D643" t="s">
        <v>24</v>
      </c>
      <c r="E643">
        <v>7.5</v>
      </c>
      <c r="F643">
        <v>3.4</v>
      </c>
      <c r="G643">
        <v>0</v>
      </c>
      <c r="H643" t="str">
        <f t="shared" si="10"/>
        <v>No Night Usage</v>
      </c>
      <c r="I643">
        <v>5.0999999999999996</v>
      </c>
      <c r="J643" s="3">
        <v>2</v>
      </c>
      <c r="K643">
        <v>9.5</v>
      </c>
      <c r="L643" t="s">
        <v>25</v>
      </c>
      <c r="M643">
        <v>5</v>
      </c>
      <c r="N643">
        <v>1</v>
      </c>
      <c r="O643">
        <v>1</v>
      </c>
      <c r="P643">
        <v>0</v>
      </c>
      <c r="Q643">
        <v>0</v>
      </c>
      <c r="R643">
        <v>0</v>
      </c>
      <c r="S643">
        <v>0</v>
      </c>
      <c r="T643" t="str">
        <f>IF(mental_health[Sleep_Hours]&lt;5,"Low",IF(mental_health[Sleep_Hours]&lt;7,"Medium","Good"))</f>
        <v>Medium</v>
      </c>
      <c r="U643" t="str">
        <f>IF(mental_health[Stress_Level]&lt;=3,"Low",IF(mental_health[Stress_Level]&lt;=7,"Medium","High"))</f>
        <v>Low</v>
      </c>
      <c r="V643" t="str">
        <f>IF(mental_health[Daily_Screen_Time]&lt;=4,"Low",IF(mental_health[Daily_Screen_Time]&lt;=8,"Medium","High"))</f>
        <v>Medium</v>
      </c>
    </row>
    <row r="644" spans="1:22" x14ac:dyDescent="0.3">
      <c r="A644">
        <v>643</v>
      </c>
      <c r="B644">
        <v>47</v>
      </c>
      <c r="C644" t="s">
        <v>18</v>
      </c>
      <c r="D644" t="s">
        <v>24</v>
      </c>
      <c r="E644">
        <v>6</v>
      </c>
      <c r="F644">
        <v>2.9</v>
      </c>
      <c r="G644">
        <v>1</v>
      </c>
      <c r="H644" t="str">
        <f t="shared" si="10"/>
        <v>Night Usage</v>
      </c>
      <c r="I644">
        <v>7.1</v>
      </c>
      <c r="J644" s="3">
        <v>10</v>
      </c>
      <c r="K644">
        <v>5.7</v>
      </c>
      <c r="L644" t="s">
        <v>20</v>
      </c>
      <c r="M644">
        <v>5</v>
      </c>
      <c r="N644">
        <v>1</v>
      </c>
      <c r="O644">
        <v>1</v>
      </c>
      <c r="P644">
        <v>0</v>
      </c>
      <c r="Q644">
        <v>1</v>
      </c>
      <c r="R644">
        <v>1</v>
      </c>
      <c r="S644">
        <v>1</v>
      </c>
      <c r="T644" t="str">
        <f>IF(mental_health[Sleep_Hours]&lt;5,"Low",IF(mental_health[Sleep_Hours]&lt;7,"Medium","Good"))</f>
        <v>Good</v>
      </c>
      <c r="U644" t="str">
        <f>IF(mental_health[Stress_Level]&lt;=3,"Low",IF(mental_health[Stress_Level]&lt;=7,"Medium","High"))</f>
        <v>High</v>
      </c>
      <c r="V644" t="str">
        <f>IF(mental_health[Daily_Screen_Time]&lt;=4,"Low",IF(mental_health[Daily_Screen_Time]&lt;=8,"Medium","High"))</f>
        <v>Medium</v>
      </c>
    </row>
    <row r="645" spans="1:22" x14ac:dyDescent="0.3">
      <c r="A645">
        <v>644</v>
      </c>
      <c r="B645">
        <v>31</v>
      </c>
      <c r="C645" t="s">
        <v>23</v>
      </c>
      <c r="D645" t="s">
        <v>22</v>
      </c>
      <c r="E645">
        <v>7.2</v>
      </c>
      <c r="F645">
        <v>5.8</v>
      </c>
      <c r="G645">
        <v>1</v>
      </c>
      <c r="H645" t="str">
        <f t="shared" si="10"/>
        <v>Night Usage</v>
      </c>
      <c r="I645">
        <v>3.1</v>
      </c>
      <c r="J645" s="3">
        <v>10</v>
      </c>
      <c r="K645">
        <v>9.3000000000000007</v>
      </c>
      <c r="L645" t="s">
        <v>21</v>
      </c>
      <c r="M645">
        <v>8</v>
      </c>
      <c r="N645">
        <v>1</v>
      </c>
      <c r="O645">
        <v>0</v>
      </c>
      <c r="P645">
        <v>1</v>
      </c>
      <c r="Q645">
        <v>1</v>
      </c>
      <c r="R645">
        <v>1</v>
      </c>
      <c r="S645">
        <v>1</v>
      </c>
      <c r="T645" t="str">
        <f>IF(mental_health[Sleep_Hours]&lt;5,"Low",IF(mental_health[Sleep_Hours]&lt;7,"Medium","Good"))</f>
        <v>Low</v>
      </c>
      <c r="U645" t="str">
        <f>IF(mental_health[Stress_Level]&lt;=3,"Low",IF(mental_health[Stress_Level]&lt;=7,"Medium","High"))</f>
        <v>High</v>
      </c>
      <c r="V645" t="str">
        <f>IF(mental_health[Daily_Screen_Time]&lt;=4,"Low",IF(mental_health[Daily_Screen_Time]&lt;=8,"Medium","High"))</f>
        <v>Medium</v>
      </c>
    </row>
    <row r="646" spans="1:22" x14ac:dyDescent="0.3">
      <c r="A646">
        <v>645</v>
      </c>
      <c r="B646">
        <v>23</v>
      </c>
      <c r="C646" t="s">
        <v>18</v>
      </c>
      <c r="D646" t="s">
        <v>24</v>
      </c>
      <c r="E646">
        <v>12</v>
      </c>
      <c r="F646">
        <v>7.6</v>
      </c>
      <c r="G646">
        <v>1</v>
      </c>
      <c r="H646" t="str">
        <f t="shared" si="10"/>
        <v>Night Usage</v>
      </c>
      <c r="I646">
        <v>7.4</v>
      </c>
      <c r="J646" s="3">
        <v>8</v>
      </c>
      <c r="K646">
        <v>6.6</v>
      </c>
      <c r="L646" t="s">
        <v>21</v>
      </c>
      <c r="M646">
        <v>6</v>
      </c>
      <c r="N646">
        <v>2</v>
      </c>
      <c r="O646">
        <v>1</v>
      </c>
      <c r="P646">
        <v>1</v>
      </c>
      <c r="Q646">
        <v>0</v>
      </c>
      <c r="R646">
        <v>0</v>
      </c>
      <c r="S646">
        <v>1</v>
      </c>
      <c r="T646" t="str">
        <f>IF(mental_health[Sleep_Hours]&lt;5,"Low",IF(mental_health[Sleep_Hours]&lt;7,"Medium","Good"))</f>
        <v>Good</v>
      </c>
      <c r="U646" t="str">
        <f>IF(mental_health[Stress_Level]&lt;=3,"Low",IF(mental_health[Stress_Level]&lt;=7,"Medium","High"))</f>
        <v>High</v>
      </c>
      <c r="V646" t="str">
        <f>IF(mental_health[Daily_Screen_Time]&lt;=4,"Low",IF(mental_health[Daily_Screen_Time]&lt;=8,"Medium","High"))</f>
        <v>High</v>
      </c>
    </row>
    <row r="647" spans="1:22" x14ac:dyDescent="0.3">
      <c r="A647">
        <v>646</v>
      </c>
      <c r="B647">
        <v>53</v>
      </c>
      <c r="C647" t="s">
        <v>23</v>
      </c>
      <c r="D647" t="s">
        <v>22</v>
      </c>
      <c r="E647">
        <v>3.4</v>
      </c>
      <c r="F647">
        <v>2.9</v>
      </c>
      <c r="G647">
        <v>0</v>
      </c>
      <c r="H647" t="str">
        <f t="shared" si="10"/>
        <v>No Night Usage</v>
      </c>
      <c r="I647">
        <v>5.9</v>
      </c>
      <c r="J647" s="3">
        <v>6</v>
      </c>
      <c r="K647">
        <v>7.5</v>
      </c>
      <c r="L647" t="s">
        <v>21</v>
      </c>
      <c r="M647">
        <v>6</v>
      </c>
      <c r="N647">
        <v>4</v>
      </c>
      <c r="O647">
        <v>1</v>
      </c>
      <c r="P647">
        <v>1</v>
      </c>
      <c r="Q647">
        <v>0</v>
      </c>
      <c r="R647">
        <v>1</v>
      </c>
      <c r="S647">
        <v>1</v>
      </c>
      <c r="T647" t="str">
        <f>IF(mental_health[Sleep_Hours]&lt;5,"Low",IF(mental_health[Sleep_Hours]&lt;7,"Medium","Good"))</f>
        <v>Medium</v>
      </c>
      <c r="U647" t="str">
        <f>IF(mental_health[Stress_Level]&lt;=3,"Low",IF(mental_health[Stress_Level]&lt;=7,"Medium","High"))</f>
        <v>Medium</v>
      </c>
      <c r="V647" t="str">
        <f>IF(mental_health[Daily_Screen_Time]&lt;=4,"Low",IF(mental_health[Daily_Screen_Time]&lt;=8,"Medium","High"))</f>
        <v>Low</v>
      </c>
    </row>
    <row r="648" spans="1:22" x14ac:dyDescent="0.3">
      <c r="A648">
        <v>647</v>
      </c>
      <c r="B648">
        <v>27</v>
      </c>
      <c r="C648" t="s">
        <v>23</v>
      </c>
      <c r="D648" t="s">
        <v>24</v>
      </c>
      <c r="E648">
        <v>8.8000000000000007</v>
      </c>
      <c r="F648">
        <v>6.7</v>
      </c>
      <c r="G648">
        <v>1</v>
      </c>
      <c r="H648" t="str">
        <f t="shared" si="10"/>
        <v>Night Usage</v>
      </c>
      <c r="I648">
        <v>7.9</v>
      </c>
      <c r="J648" s="3">
        <v>4</v>
      </c>
      <c r="K648">
        <v>7.4</v>
      </c>
      <c r="L648" t="s">
        <v>20</v>
      </c>
      <c r="M648">
        <v>6</v>
      </c>
      <c r="N648">
        <v>2</v>
      </c>
      <c r="O648">
        <v>0</v>
      </c>
      <c r="P648">
        <v>0</v>
      </c>
      <c r="Q648">
        <v>0</v>
      </c>
      <c r="R648">
        <v>0</v>
      </c>
      <c r="S648">
        <v>0</v>
      </c>
      <c r="T648" t="str">
        <f>IF(mental_health[Sleep_Hours]&lt;5,"Low",IF(mental_health[Sleep_Hours]&lt;7,"Medium","Good"))</f>
        <v>Good</v>
      </c>
      <c r="U648" t="str">
        <f>IF(mental_health[Stress_Level]&lt;=3,"Low",IF(mental_health[Stress_Level]&lt;=7,"Medium","High"))</f>
        <v>Medium</v>
      </c>
      <c r="V648" t="str">
        <f>IF(mental_health[Daily_Screen_Time]&lt;=4,"Low",IF(mental_health[Daily_Screen_Time]&lt;=8,"Medium","High"))</f>
        <v>High</v>
      </c>
    </row>
    <row r="649" spans="1:22" x14ac:dyDescent="0.3">
      <c r="A649">
        <v>648</v>
      </c>
      <c r="B649">
        <v>39</v>
      </c>
      <c r="C649" t="s">
        <v>18</v>
      </c>
      <c r="D649" t="s">
        <v>24</v>
      </c>
      <c r="E649">
        <v>6</v>
      </c>
      <c r="F649">
        <v>1.4</v>
      </c>
      <c r="G649">
        <v>0</v>
      </c>
      <c r="H649" t="str">
        <f t="shared" si="10"/>
        <v>No Night Usage</v>
      </c>
      <c r="I649">
        <v>8.6999999999999993</v>
      </c>
      <c r="J649" s="3">
        <v>3</v>
      </c>
      <c r="K649">
        <v>11.8</v>
      </c>
      <c r="L649" t="s">
        <v>25</v>
      </c>
      <c r="M649">
        <v>4</v>
      </c>
      <c r="N649">
        <v>3</v>
      </c>
      <c r="O649">
        <v>1</v>
      </c>
      <c r="P649">
        <v>0</v>
      </c>
      <c r="Q649">
        <v>0</v>
      </c>
      <c r="R649">
        <v>0</v>
      </c>
      <c r="S649">
        <v>1</v>
      </c>
      <c r="T649" t="str">
        <f>IF(mental_health[Sleep_Hours]&lt;5,"Low",IF(mental_health[Sleep_Hours]&lt;7,"Medium","Good"))</f>
        <v>Good</v>
      </c>
      <c r="U649" t="str">
        <f>IF(mental_health[Stress_Level]&lt;=3,"Low",IF(mental_health[Stress_Level]&lt;=7,"Medium","High"))</f>
        <v>Low</v>
      </c>
      <c r="V649" t="str">
        <f>IF(mental_health[Daily_Screen_Time]&lt;=4,"Low",IF(mental_health[Daily_Screen_Time]&lt;=8,"Medium","High"))</f>
        <v>Medium</v>
      </c>
    </row>
    <row r="650" spans="1:22" x14ac:dyDescent="0.3">
      <c r="A650">
        <v>649</v>
      </c>
      <c r="B650">
        <v>43</v>
      </c>
      <c r="C650" t="s">
        <v>23</v>
      </c>
      <c r="D650" t="s">
        <v>24</v>
      </c>
      <c r="E650">
        <v>3.3</v>
      </c>
      <c r="F650">
        <v>4.8</v>
      </c>
      <c r="G650">
        <v>0</v>
      </c>
      <c r="H650" t="str">
        <f t="shared" si="10"/>
        <v>No Night Usage</v>
      </c>
      <c r="I650">
        <v>8.6</v>
      </c>
      <c r="J650" s="3">
        <v>1</v>
      </c>
      <c r="K650">
        <v>5.7</v>
      </c>
      <c r="L650" t="s">
        <v>25</v>
      </c>
      <c r="M650">
        <v>1</v>
      </c>
      <c r="N650">
        <v>3</v>
      </c>
      <c r="O650">
        <v>1</v>
      </c>
      <c r="P650">
        <v>0</v>
      </c>
      <c r="Q650">
        <v>0</v>
      </c>
      <c r="R650">
        <v>1</v>
      </c>
      <c r="S650">
        <v>0</v>
      </c>
      <c r="T650" t="str">
        <f>IF(mental_health[Sleep_Hours]&lt;5,"Low",IF(mental_health[Sleep_Hours]&lt;7,"Medium","Good"))</f>
        <v>Good</v>
      </c>
      <c r="U650" t="str">
        <f>IF(mental_health[Stress_Level]&lt;=3,"Low",IF(mental_health[Stress_Level]&lt;=7,"Medium","High"))</f>
        <v>Low</v>
      </c>
      <c r="V650" t="str">
        <f>IF(mental_health[Daily_Screen_Time]&lt;=4,"Low",IF(mental_health[Daily_Screen_Time]&lt;=8,"Medium","High"))</f>
        <v>Low</v>
      </c>
    </row>
    <row r="651" spans="1:22" x14ac:dyDescent="0.3">
      <c r="A651">
        <v>650</v>
      </c>
      <c r="B651">
        <v>23</v>
      </c>
      <c r="C651" t="s">
        <v>23</v>
      </c>
      <c r="D651" t="s">
        <v>19</v>
      </c>
      <c r="E651">
        <v>3.6</v>
      </c>
      <c r="F651">
        <v>1.5</v>
      </c>
      <c r="G651">
        <v>1</v>
      </c>
      <c r="H651" t="str">
        <f t="shared" si="10"/>
        <v>Night Usage</v>
      </c>
      <c r="I651">
        <v>8.5</v>
      </c>
      <c r="J651" s="3">
        <v>3</v>
      </c>
      <c r="K651">
        <v>4.0999999999999996</v>
      </c>
      <c r="L651" t="s">
        <v>21</v>
      </c>
      <c r="M651">
        <v>3</v>
      </c>
      <c r="N651">
        <v>0</v>
      </c>
      <c r="O651">
        <v>1</v>
      </c>
      <c r="P651">
        <v>0</v>
      </c>
      <c r="Q651">
        <v>0</v>
      </c>
      <c r="R651">
        <v>1</v>
      </c>
      <c r="S651">
        <v>0</v>
      </c>
      <c r="T651" t="str">
        <f>IF(mental_health[Sleep_Hours]&lt;5,"Low",IF(mental_health[Sleep_Hours]&lt;7,"Medium","Good"))</f>
        <v>Good</v>
      </c>
      <c r="U651" t="str">
        <f>IF(mental_health[Stress_Level]&lt;=3,"Low",IF(mental_health[Stress_Level]&lt;=7,"Medium","High"))</f>
        <v>Low</v>
      </c>
      <c r="V651" t="str">
        <f>IF(mental_health[Daily_Screen_Time]&lt;=4,"Low",IF(mental_health[Daily_Screen_Time]&lt;=8,"Medium","High"))</f>
        <v>Low</v>
      </c>
    </row>
    <row r="652" spans="1:22" x14ac:dyDescent="0.3">
      <c r="A652">
        <v>651</v>
      </c>
      <c r="B652">
        <v>43</v>
      </c>
      <c r="C652" t="s">
        <v>18</v>
      </c>
      <c r="D652" t="s">
        <v>19</v>
      </c>
      <c r="E652">
        <v>11.5</v>
      </c>
      <c r="F652">
        <v>7.5</v>
      </c>
      <c r="G652">
        <v>1</v>
      </c>
      <c r="H652" t="str">
        <f t="shared" si="10"/>
        <v>Night Usage</v>
      </c>
      <c r="I652">
        <v>6.1</v>
      </c>
      <c r="J652" s="3">
        <v>9</v>
      </c>
      <c r="K652">
        <v>11.1</v>
      </c>
      <c r="L652" t="s">
        <v>21</v>
      </c>
      <c r="M652">
        <v>10</v>
      </c>
      <c r="N652">
        <v>0</v>
      </c>
      <c r="O652">
        <v>1</v>
      </c>
      <c r="P652">
        <v>1</v>
      </c>
      <c r="Q652">
        <v>1</v>
      </c>
      <c r="R652">
        <v>1</v>
      </c>
      <c r="S652">
        <v>1</v>
      </c>
      <c r="T652" t="str">
        <f>IF(mental_health[Sleep_Hours]&lt;5,"Low",IF(mental_health[Sleep_Hours]&lt;7,"Medium","Good"))</f>
        <v>Medium</v>
      </c>
      <c r="U652" t="str">
        <f>IF(mental_health[Stress_Level]&lt;=3,"Low",IF(mental_health[Stress_Level]&lt;=7,"Medium","High"))</f>
        <v>High</v>
      </c>
      <c r="V652" t="str">
        <f>IF(mental_health[Daily_Screen_Time]&lt;=4,"Low",IF(mental_health[Daily_Screen_Time]&lt;=8,"Medium","High"))</f>
        <v>High</v>
      </c>
    </row>
    <row r="653" spans="1:22" x14ac:dyDescent="0.3">
      <c r="A653">
        <v>652</v>
      </c>
      <c r="B653">
        <v>51</v>
      </c>
      <c r="C653" t="s">
        <v>23</v>
      </c>
      <c r="D653" t="s">
        <v>19</v>
      </c>
      <c r="E653">
        <v>10.8</v>
      </c>
      <c r="F653">
        <v>6.4</v>
      </c>
      <c r="G653">
        <v>1</v>
      </c>
      <c r="H653" t="str">
        <f t="shared" si="10"/>
        <v>Night Usage</v>
      </c>
      <c r="I653">
        <v>5.2</v>
      </c>
      <c r="J653" s="3">
        <v>5</v>
      </c>
      <c r="K653">
        <v>3.7</v>
      </c>
      <c r="L653" t="s">
        <v>25</v>
      </c>
      <c r="M653">
        <v>6</v>
      </c>
      <c r="N653">
        <v>0</v>
      </c>
      <c r="O653">
        <v>1</v>
      </c>
      <c r="P653">
        <v>0</v>
      </c>
      <c r="Q653">
        <v>0</v>
      </c>
      <c r="R653">
        <v>1</v>
      </c>
      <c r="S653">
        <v>0</v>
      </c>
      <c r="T653" t="str">
        <f>IF(mental_health[Sleep_Hours]&lt;5,"Low",IF(mental_health[Sleep_Hours]&lt;7,"Medium","Good"))</f>
        <v>Medium</v>
      </c>
      <c r="U653" t="str">
        <f>IF(mental_health[Stress_Level]&lt;=3,"Low",IF(mental_health[Stress_Level]&lt;=7,"Medium","High"))</f>
        <v>Medium</v>
      </c>
      <c r="V653" t="str">
        <f>IF(mental_health[Daily_Screen_Time]&lt;=4,"Low",IF(mental_health[Daily_Screen_Time]&lt;=8,"Medium","High"))</f>
        <v>High</v>
      </c>
    </row>
    <row r="654" spans="1:22" x14ac:dyDescent="0.3">
      <c r="A654">
        <v>653</v>
      </c>
      <c r="B654">
        <v>41</v>
      </c>
      <c r="C654" t="s">
        <v>18</v>
      </c>
      <c r="D654" t="s">
        <v>24</v>
      </c>
      <c r="E654">
        <v>11.1</v>
      </c>
      <c r="F654">
        <v>5.6</v>
      </c>
      <c r="G654">
        <v>0</v>
      </c>
      <c r="H654" t="str">
        <f t="shared" si="10"/>
        <v>No Night Usage</v>
      </c>
      <c r="I654">
        <v>5.8</v>
      </c>
      <c r="J654" s="3">
        <v>6</v>
      </c>
      <c r="K654">
        <v>10.3</v>
      </c>
      <c r="L654" t="s">
        <v>21</v>
      </c>
      <c r="M654">
        <v>5</v>
      </c>
      <c r="N654">
        <v>3</v>
      </c>
      <c r="O654">
        <v>0</v>
      </c>
      <c r="P654">
        <v>1</v>
      </c>
      <c r="Q654">
        <v>1</v>
      </c>
      <c r="R654">
        <v>1</v>
      </c>
      <c r="S654">
        <v>1</v>
      </c>
      <c r="T654" t="str">
        <f>IF(mental_health[Sleep_Hours]&lt;5,"Low",IF(mental_health[Sleep_Hours]&lt;7,"Medium","Good"))</f>
        <v>Medium</v>
      </c>
      <c r="U654" t="str">
        <f>IF(mental_health[Stress_Level]&lt;=3,"Low",IF(mental_health[Stress_Level]&lt;=7,"Medium","High"))</f>
        <v>Medium</v>
      </c>
      <c r="V654" t="str">
        <f>IF(mental_health[Daily_Screen_Time]&lt;=4,"Low",IF(mental_health[Daily_Screen_Time]&lt;=8,"Medium","High"))</f>
        <v>High</v>
      </c>
    </row>
    <row r="655" spans="1:22" x14ac:dyDescent="0.3">
      <c r="A655">
        <v>654</v>
      </c>
      <c r="B655">
        <v>23</v>
      </c>
      <c r="C655" t="s">
        <v>18</v>
      </c>
      <c r="D655" t="s">
        <v>22</v>
      </c>
      <c r="E655">
        <v>11.9</v>
      </c>
      <c r="F655">
        <v>6.8</v>
      </c>
      <c r="G655">
        <v>0</v>
      </c>
      <c r="H655" t="str">
        <f t="shared" si="10"/>
        <v>No Night Usage</v>
      </c>
      <c r="I655">
        <v>7.1</v>
      </c>
      <c r="J655" s="3">
        <v>5</v>
      </c>
      <c r="K655">
        <v>3.5</v>
      </c>
      <c r="L655" t="s">
        <v>21</v>
      </c>
      <c r="M655">
        <v>10</v>
      </c>
      <c r="N655">
        <v>1</v>
      </c>
      <c r="O655">
        <v>1</v>
      </c>
      <c r="P655">
        <v>0</v>
      </c>
      <c r="Q655">
        <v>1</v>
      </c>
      <c r="R655">
        <v>1</v>
      </c>
      <c r="S655">
        <v>0</v>
      </c>
      <c r="T655" t="str">
        <f>IF(mental_health[Sleep_Hours]&lt;5,"Low",IF(mental_health[Sleep_Hours]&lt;7,"Medium","Good"))</f>
        <v>Good</v>
      </c>
      <c r="U655" t="str">
        <f>IF(mental_health[Stress_Level]&lt;=3,"Low",IF(mental_health[Stress_Level]&lt;=7,"Medium","High"))</f>
        <v>Medium</v>
      </c>
      <c r="V655" t="str">
        <f>IF(mental_health[Daily_Screen_Time]&lt;=4,"Low",IF(mental_health[Daily_Screen_Time]&lt;=8,"Medium","High"))</f>
        <v>High</v>
      </c>
    </row>
    <row r="656" spans="1:22" x14ac:dyDescent="0.3">
      <c r="A656">
        <v>655</v>
      </c>
      <c r="B656">
        <v>43</v>
      </c>
      <c r="C656" t="s">
        <v>18</v>
      </c>
      <c r="D656" t="s">
        <v>22</v>
      </c>
      <c r="E656">
        <v>4.0999999999999996</v>
      </c>
      <c r="F656">
        <v>5.5</v>
      </c>
      <c r="G656">
        <v>1</v>
      </c>
      <c r="H656" t="str">
        <f t="shared" si="10"/>
        <v>Night Usage</v>
      </c>
      <c r="I656">
        <v>8.3000000000000007</v>
      </c>
      <c r="J656" s="3">
        <v>1</v>
      </c>
      <c r="K656">
        <v>8.6</v>
      </c>
      <c r="L656" t="s">
        <v>25</v>
      </c>
      <c r="M656">
        <v>1</v>
      </c>
      <c r="N656">
        <v>1</v>
      </c>
      <c r="O656">
        <v>0</v>
      </c>
      <c r="P656">
        <v>1</v>
      </c>
      <c r="Q656">
        <v>0</v>
      </c>
      <c r="R656">
        <v>0</v>
      </c>
      <c r="S656">
        <v>0</v>
      </c>
      <c r="T656" t="str">
        <f>IF(mental_health[Sleep_Hours]&lt;5,"Low",IF(mental_health[Sleep_Hours]&lt;7,"Medium","Good"))</f>
        <v>Good</v>
      </c>
      <c r="U656" t="str">
        <f>IF(mental_health[Stress_Level]&lt;=3,"Low",IF(mental_health[Stress_Level]&lt;=7,"Medium","High"))</f>
        <v>Low</v>
      </c>
      <c r="V656" t="str">
        <f>IF(mental_health[Daily_Screen_Time]&lt;=4,"Low",IF(mental_health[Daily_Screen_Time]&lt;=8,"Medium","High"))</f>
        <v>Medium</v>
      </c>
    </row>
    <row r="657" spans="1:22" x14ac:dyDescent="0.3">
      <c r="A657">
        <v>656</v>
      </c>
      <c r="B657">
        <v>43</v>
      </c>
      <c r="C657" t="s">
        <v>18</v>
      </c>
      <c r="D657" t="s">
        <v>22</v>
      </c>
      <c r="E657">
        <v>5.6</v>
      </c>
      <c r="F657">
        <v>7.8</v>
      </c>
      <c r="G657">
        <v>1</v>
      </c>
      <c r="H657" t="str">
        <f t="shared" si="10"/>
        <v>Night Usage</v>
      </c>
      <c r="I657">
        <v>4.2</v>
      </c>
      <c r="J657" s="3">
        <v>10</v>
      </c>
      <c r="K657">
        <v>3.5</v>
      </c>
      <c r="L657" t="s">
        <v>21</v>
      </c>
      <c r="M657">
        <v>5</v>
      </c>
      <c r="N657">
        <v>4</v>
      </c>
      <c r="O657">
        <v>0</v>
      </c>
      <c r="P657">
        <v>1</v>
      </c>
      <c r="Q657">
        <v>1</v>
      </c>
      <c r="R657">
        <v>1</v>
      </c>
      <c r="S657">
        <v>0</v>
      </c>
      <c r="T657" t="str">
        <f>IF(mental_health[Sleep_Hours]&lt;5,"Low",IF(mental_health[Sleep_Hours]&lt;7,"Medium","Good"))</f>
        <v>Low</v>
      </c>
      <c r="U657" t="str">
        <f>IF(mental_health[Stress_Level]&lt;=3,"Low",IF(mental_health[Stress_Level]&lt;=7,"Medium","High"))</f>
        <v>High</v>
      </c>
      <c r="V657" t="str">
        <f>IF(mental_health[Daily_Screen_Time]&lt;=4,"Low",IF(mental_health[Daily_Screen_Time]&lt;=8,"Medium","High"))</f>
        <v>Medium</v>
      </c>
    </row>
    <row r="658" spans="1:22" x14ac:dyDescent="0.3">
      <c r="A658">
        <v>657</v>
      </c>
      <c r="B658">
        <v>52</v>
      </c>
      <c r="C658" t="s">
        <v>23</v>
      </c>
      <c r="D658" t="s">
        <v>22</v>
      </c>
      <c r="E658">
        <v>8.6999999999999993</v>
      </c>
      <c r="F658">
        <v>6</v>
      </c>
      <c r="G658">
        <v>0</v>
      </c>
      <c r="H658" t="str">
        <f t="shared" si="10"/>
        <v>No Night Usage</v>
      </c>
      <c r="I658">
        <v>8.5</v>
      </c>
      <c r="J658" s="3">
        <v>1</v>
      </c>
      <c r="K658">
        <v>11.2</v>
      </c>
      <c r="L658" t="s">
        <v>21</v>
      </c>
      <c r="M658">
        <v>2</v>
      </c>
      <c r="N658">
        <v>3</v>
      </c>
      <c r="O658">
        <v>0</v>
      </c>
      <c r="P658">
        <v>1</v>
      </c>
      <c r="Q658">
        <v>0</v>
      </c>
      <c r="R658">
        <v>0</v>
      </c>
      <c r="S658">
        <v>1</v>
      </c>
      <c r="T658" t="str">
        <f>IF(mental_health[Sleep_Hours]&lt;5,"Low",IF(mental_health[Sleep_Hours]&lt;7,"Medium","Good"))</f>
        <v>Good</v>
      </c>
      <c r="U658" t="str">
        <f>IF(mental_health[Stress_Level]&lt;=3,"Low",IF(mental_health[Stress_Level]&lt;=7,"Medium","High"))</f>
        <v>Low</v>
      </c>
      <c r="V658" t="str">
        <f>IF(mental_health[Daily_Screen_Time]&lt;=4,"Low",IF(mental_health[Daily_Screen_Time]&lt;=8,"Medium","High"))</f>
        <v>High</v>
      </c>
    </row>
    <row r="659" spans="1:22" x14ac:dyDescent="0.3">
      <c r="A659">
        <v>658</v>
      </c>
      <c r="B659">
        <v>56</v>
      </c>
      <c r="C659" t="s">
        <v>18</v>
      </c>
      <c r="D659" t="s">
        <v>19</v>
      </c>
      <c r="E659">
        <v>6.8</v>
      </c>
      <c r="F659">
        <v>7.5</v>
      </c>
      <c r="G659">
        <v>0</v>
      </c>
      <c r="H659" t="str">
        <f t="shared" si="10"/>
        <v>No Night Usage</v>
      </c>
      <c r="I659">
        <v>7.9</v>
      </c>
      <c r="J659" s="3">
        <v>4</v>
      </c>
      <c r="K659">
        <v>7.7</v>
      </c>
      <c r="L659" t="s">
        <v>20</v>
      </c>
      <c r="M659">
        <v>1</v>
      </c>
      <c r="N659">
        <v>0</v>
      </c>
      <c r="O659">
        <v>0</v>
      </c>
      <c r="P659">
        <v>0</v>
      </c>
      <c r="Q659">
        <v>1</v>
      </c>
      <c r="R659">
        <v>0</v>
      </c>
      <c r="S659">
        <v>0</v>
      </c>
      <c r="T659" t="str">
        <f>IF(mental_health[Sleep_Hours]&lt;5,"Low",IF(mental_health[Sleep_Hours]&lt;7,"Medium","Good"))</f>
        <v>Good</v>
      </c>
      <c r="U659" t="str">
        <f>IF(mental_health[Stress_Level]&lt;=3,"Low",IF(mental_health[Stress_Level]&lt;=7,"Medium","High"))</f>
        <v>Medium</v>
      </c>
      <c r="V659" t="str">
        <f>IF(mental_health[Daily_Screen_Time]&lt;=4,"Low",IF(mental_health[Daily_Screen_Time]&lt;=8,"Medium","High"))</f>
        <v>Medium</v>
      </c>
    </row>
    <row r="660" spans="1:22" x14ac:dyDescent="0.3">
      <c r="A660">
        <v>659</v>
      </c>
      <c r="B660">
        <v>51</v>
      </c>
      <c r="C660" t="s">
        <v>18</v>
      </c>
      <c r="D660" t="s">
        <v>19</v>
      </c>
      <c r="E660">
        <v>6.2</v>
      </c>
      <c r="F660">
        <v>4.5999999999999996</v>
      </c>
      <c r="G660">
        <v>1</v>
      </c>
      <c r="H660" t="str">
        <f t="shared" si="10"/>
        <v>Night Usage</v>
      </c>
      <c r="I660">
        <v>8.9</v>
      </c>
      <c r="J660" s="3">
        <v>3</v>
      </c>
      <c r="K660">
        <v>5.3</v>
      </c>
      <c r="L660" t="s">
        <v>21</v>
      </c>
      <c r="M660">
        <v>4</v>
      </c>
      <c r="N660">
        <v>3</v>
      </c>
      <c r="O660">
        <v>1</v>
      </c>
      <c r="P660">
        <v>1</v>
      </c>
      <c r="Q660">
        <v>1</v>
      </c>
      <c r="R660">
        <v>0</v>
      </c>
      <c r="S660">
        <v>0</v>
      </c>
      <c r="T660" t="str">
        <f>IF(mental_health[Sleep_Hours]&lt;5,"Low",IF(mental_health[Sleep_Hours]&lt;7,"Medium","Good"))</f>
        <v>Good</v>
      </c>
      <c r="U660" t="str">
        <f>IF(mental_health[Stress_Level]&lt;=3,"Low",IF(mental_health[Stress_Level]&lt;=7,"Medium","High"))</f>
        <v>Low</v>
      </c>
      <c r="V660" t="str">
        <f>IF(mental_health[Daily_Screen_Time]&lt;=4,"Low",IF(mental_health[Daily_Screen_Time]&lt;=8,"Medium","High"))</f>
        <v>Medium</v>
      </c>
    </row>
    <row r="661" spans="1:22" x14ac:dyDescent="0.3">
      <c r="A661">
        <v>660</v>
      </c>
      <c r="B661">
        <v>42</v>
      </c>
      <c r="C661" t="s">
        <v>23</v>
      </c>
      <c r="D661" t="s">
        <v>24</v>
      </c>
      <c r="E661">
        <v>5.6</v>
      </c>
      <c r="F661">
        <v>1.8</v>
      </c>
      <c r="G661">
        <v>0</v>
      </c>
      <c r="H661" t="str">
        <f t="shared" si="10"/>
        <v>No Night Usage</v>
      </c>
      <c r="I661">
        <v>8.3000000000000007</v>
      </c>
      <c r="J661" s="3">
        <v>8</v>
      </c>
      <c r="K661">
        <v>3.4</v>
      </c>
      <c r="L661" t="s">
        <v>20</v>
      </c>
      <c r="M661">
        <v>6</v>
      </c>
      <c r="N661">
        <v>1</v>
      </c>
      <c r="O661">
        <v>1</v>
      </c>
      <c r="P661">
        <v>1</v>
      </c>
      <c r="Q661">
        <v>1</v>
      </c>
      <c r="R661">
        <v>1</v>
      </c>
      <c r="S661">
        <v>0</v>
      </c>
      <c r="T661" t="str">
        <f>IF(mental_health[Sleep_Hours]&lt;5,"Low",IF(mental_health[Sleep_Hours]&lt;7,"Medium","Good"))</f>
        <v>Good</v>
      </c>
      <c r="U661" t="str">
        <f>IF(mental_health[Stress_Level]&lt;=3,"Low",IF(mental_health[Stress_Level]&lt;=7,"Medium","High"))</f>
        <v>High</v>
      </c>
      <c r="V661" t="str">
        <f>IF(mental_health[Daily_Screen_Time]&lt;=4,"Low",IF(mental_health[Daily_Screen_Time]&lt;=8,"Medium","High"))</f>
        <v>Medium</v>
      </c>
    </row>
    <row r="662" spans="1:22" x14ac:dyDescent="0.3">
      <c r="A662">
        <v>661</v>
      </c>
      <c r="B662">
        <v>32</v>
      </c>
      <c r="C662" t="s">
        <v>18</v>
      </c>
      <c r="D662" t="s">
        <v>24</v>
      </c>
      <c r="E662">
        <v>7.9</v>
      </c>
      <c r="F662">
        <v>4.7</v>
      </c>
      <c r="G662">
        <v>0</v>
      </c>
      <c r="H662" t="str">
        <f t="shared" si="10"/>
        <v>No Night Usage</v>
      </c>
      <c r="I662">
        <v>4.7</v>
      </c>
      <c r="J662" s="3">
        <v>7</v>
      </c>
      <c r="K662">
        <v>5.7</v>
      </c>
      <c r="L662" t="s">
        <v>25</v>
      </c>
      <c r="M662">
        <v>7</v>
      </c>
      <c r="N662">
        <v>1</v>
      </c>
      <c r="O662">
        <v>0</v>
      </c>
      <c r="P662">
        <v>1</v>
      </c>
      <c r="Q662">
        <v>0</v>
      </c>
      <c r="R662">
        <v>1</v>
      </c>
      <c r="S662">
        <v>1</v>
      </c>
      <c r="T662" t="str">
        <f>IF(mental_health[Sleep_Hours]&lt;5,"Low",IF(mental_health[Sleep_Hours]&lt;7,"Medium","Good"))</f>
        <v>Low</v>
      </c>
      <c r="U662" t="str">
        <f>IF(mental_health[Stress_Level]&lt;=3,"Low",IF(mental_health[Stress_Level]&lt;=7,"Medium","High"))</f>
        <v>Medium</v>
      </c>
      <c r="V662" t="str">
        <f>IF(mental_health[Daily_Screen_Time]&lt;=4,"Low",IF(mental_health[Daily_Screen_Time]&lt;=8,"Medium","High"))</f>
        <v>Medium</v>
      </c>
    </row>
    <row r="663" spans="1:22" x14ac:dyDescent="0.3">
      <c r="A663">
        <v>662</v>
      </c>
      <c r="B663">
        <v>24</v>
      </c>
      <c r="C663" t="s">
        <v>18</v>
      </c>
      <c r="D663" t="s">
        <v>22</v>
      </c>
      <c r="E663">
        <v>7.8</v>
      </c>
      <c r="F663">
        <v>1.9</v>
      </c>
      <c r="G663">
        <v>0</v>
      </c>
      <c r="H663" t="str">
        <f t="shared" si="10"/>
        <v>No Night Usage</v>
      </c>
      <c r="I663">
        <v>3.6</v>
      </c>
      <c r="J663" s="3">
        <v>7</v>
      </c>
      <c r="K663">
        <v>9.1</v>
      </c>
      <c r="L663" t="s">
        <v>20</v>
      </c>
      <c r="M663">
        <v>9</v>
      </c>
      <c r="N663">
        <v>2</v>
      </c>
      <c r="O663">
        <v>1</v>
      </c>
      <c r="P663">
        <v>0</v>
      </c>
      <c r="Q663">
        <v>1</v>
      </c>
      <c r="R663">
        <v>1</v>
      </c>
      <c r="S663">
        <v>0</v>
      </c>
      <c r="T663" t="str">
        <f>IF(mental_health[Sleep_Hours]&lt;5,"Low",IF(mental_health[Sleep_Hours]&lt;7,"Medium","Good"))</f>
        <v>Low</v>
      </c>
      <c r="U663" t="str">
        <f>IF(mental_health[Stress_Level]&lt;=3,"Low",IF(mental_health[Stress_Level]&lt;=7,"Medium","High"))</f>
        <v>Medium</v>
      </c>
      <c r="V663" t="str">
        <f>IF(mental_health[Daily_Screen_Time]&lt;=4,"Low",IF(mental_health[Daily_Screen_Time]&lt;=8,"Medium","High"))</f>
        <v>Medium</v>
      </c>
    </row>
    <row r="664" spans="1:22" x14ac:dyDescent="0.3">
      <c r="A664">
        <v>663</v>
      </c>
      <c r="B664">
        <v>48</v>
      </c>
      <c r="C664" t="s">
        <v>23</v>
      </c>
      <c r="D664" t="s">
        <v>19</v>
      </c>
      <c r="E664">
        <v>3.6</v>
      </c>
      <c r="F664">
        <v>5.0999999999999996</v>
      </c>
      <c r="G664">
        <v>0</v>
      </c>
      <c r="H664" t="str">
        <f t="shared" si="10"/>
        <v>No Night Usage</v>
      </c>
      <c r="I664">
        <v>3.7</v>
      </c>
      <c r="J664" s="3">
        <v>8</v>
      </c>
      <c r="K664">
        <v>5.8</v>
      </c>
      <c r="L664" t="s">
        <v>25</v>
      </c>
      <c r="M664">
        <v>5</v>
      </c>
      <c r="N664">
        <v>2</v>
      </c>
      <c r="O664">
        <v>1</v>
      </c>
      <c r="P664">
        <v>1</v>
      </c>
      <c r="Q664">
        <v>1</v>
      </c>
      <c r="R664">
        <v>0</v>
      </c>
      <c r="S664">
        <v>0</v>
      </c>
      <c r="T664" t="str">
        <f>IF(mental_health[Sleep_Hours]&lt;5,"Low",IF(mental_health[Sleep_Hours]&lt;7,"Medium","Good"))</f>
        <v>Low</v>
      </c>
      <c r="U664" t="str">
        <f>IF(mental_health[Stress_Level]&lt;=3,"Low",IF(mental_health[Stress_Level]&lt;=7,"Medium","High"))</f>
        <v>High</v>
      </c>
      <c r="V664" t="str">
        <f>IF(mental_health[Daily_Screen_Time]&lt;=4,"Low",IF(mental_health[Daily_Screen_Time]&lt;=8,"Medium","High"))</f>
        <v>Low</v>
      </c>
    </row>
    <row r="665" spans="1:22" x14ac:dyDescent="0.3">
      <c r="A665">
        <v>664</v>
      </c>
      <c r="B665">
        <v>35</v>
      </c>
      <c r="C665" t="s">
        <v>23</v>
      </c>
      <c r="D665" t="s">
        <v>22</v>
      </c>
      <c r="E665">
        <v>6.7</v>
      </c>
      <c r="F665">
        <v>4.4000000000000004</v>
      </c>
      <c r="G665">
        <v>0</v>
      </c>
      <c r="H665" t="str">
        <f t="shared" si="10"/>
        <v>No Night Usage</v>
      </c>
      <c r="I665">
        <v>4.7</v>
      </c>
      <c r="J665" s="3">
        <v>10</v>
      </c>
      <c r="K665">
        <v>4.5</v>
      </c>
      <c r="L665" t="s">
        <v>20</v>
      </c>
      <c r="M665">
        <v>8</v>
      </c>
      <c r="N665">
        <v>4</v>
      </c>
      <c r="O665">
        <v>0</v>
      </c>
      <c r="P665">
        <v>0</v>
      </c>
      <c r="Q665">
        <v>0</v>
      </c>
      <c r="R665">
        <v>0</v>
      </c>
      <c r="S665">
        <v>0</v>
      </c>
      <c r="T665" t="str">
        <f>IF(mental_health[Sleep_Hours]&lt;5,"Low",IF(mental_health[Sleep_Hours]&lt;7,"Medium","Good"))</f>
        <v>Low</v>
      </c>
      <c r="U665" t="str">
        <f>IF(mental_health[Stress_Level]&lt;=3,"Low",IF(mental_health[Stress_Level]&lt;=7,"Medium","High"))</f>
        <v>High</v>
      </c>
      <c r="V665" t="str">
        <f>IF(mental_health[Daily_Screen_Time]&lt;=4,"Low",IF(mental_health[Daily_Screen_Time]&lt;=8,"Medium","High"))</f>
        <v>Medium</v>
      </c>
    </row>
    <row r="666" spans="1:22" x14ac:dyDescent="0.3">
      <c r="A666">
        <v>665</v>
      </c>
      <c r="B666">
        <v>28</v>
      </c>
      <c r="C666" t="s">
        <v>23</v>
      </c>
      <c r="D666" t="s">
        <v>24</v>
      </c>
      <c r="E666">
        <v>7.5</v>
      </c>
      <c r="F666">
        <v>5.4</v>
      </c>
      <c r="G666">
        <v>0</v>
      </c>
      <c r="H666" t="str">
        <f t="shared" si="10"/>
        <v>No Night Usage</v>
      </c>
      <c r="I666">
        <v>6.7</v>
      </c>
      <c r="J666" s="3">
        <v>7</v>
      </c>
      <c r="K666">
        <v>7.8</v>
      </c>
      <c r="L666" t="s">
        <v>20</v>
      </c>
      <c r="M666">
        <v>8</v>
      </c>
      <c r="N666">
        <v>3</v>
      </c>
      <c r="O666">
        <v>1</v>
      </c>
      <c r="P666">
        <v>1</v>
      </c>
      <c r="Q666">
        <v>1</v>
      </c>
      <c r="R666">
        <v>1</v>
      </c>
      <c r="S666">
        <v>1</v>
      </c>
      <c r="T666" t="str">
        <f>IF(mental_health[Sleep_Hours]&lt;5,"Low",IF(mental_health[Sleep_Hours]&lt;7,"Medium","Good"))</f>
        <v>Medium</v>
      </c>
      <c r="U666" t="str">
        <f>IF(mental_health[Stress_Level]&lt;=3,"Low",IF(mental_health[Stress_Level]&lt;=7,"Medium","High"))</f>
        <v>Medium</v>
      </c>
      <c r="V666" t="str">
        <f>IF(mental_health[Daily_Screen_Time]&lt;=4,"Low",IF(mental_health[Daily_Screen_Time]&lt;=8,"Medium","High"))</f>
        <v>Medium</v>
      </c>
    </row>
    <row r="667" spans="1:22" x14ac:dyDescent="0.3">
      <c r="A667">
        <v>666</v>
      </c>
      <c r="B667">
        <v>43</v>
      </c>
      <c r="C667" t="s">
        <v>23</v>
      </c>
      <c r="D667" t="s">
        <v>24</v>
      </c>
      <c r="E667">
        <v>7.7</v>
      </c>
      <c r="F667">
        <v>1.1000000000000001</v>
      </c>
      <c r="G667">
        <v>1</v>
      </c>
      <c r="H667" t="str">
        <f t="shared" si="10"/>
        <v>Night Usage</v>
      </c>
      <c r="I667">
        <v>7.8</v>
      </c>
      <c r="J667" s="3">
        <v>10</v>
      </c>
      <c r="K667">
        <v>6.2</v>
      </c>
      <c r="L667" t="s">
        <v>20</v>
      </c>
      <c r="M667">
        <v>9</v>
      </c>
      <c r="N667">
        <v>2</v>
      </c>
      <c r="O667">
        <v>0</v>
      </c>
      <c r="P667">
        <v>0</v>
      </c>
      <c r="Q667">
        <v>1</v>
      </c>
      <c r="R667">
        <v>1</v>
      </c>
      <c r="S667">
        <v>0</v>
      </c>
      <c r="T667" t="str">
        <f>IF(mental_health[Sleep_Hours]&lt;5,"Low",IF(mental_health[Sleep_Hours]&lt;7,"Medium","Good"))</f>
        <v>Good</v>
      </c>
      <c r="U667" t="str">
        <f>IF(mental_health[Stress_Level]&lt;=3,"Low",IF(mental_health[Stress_Level]&lt;=7,"Medium","High"))</f>
        <v>High</v>
      </c>
      <c r="V667" t="str">
        <f>IF(mental_health[Daily_Screen_Time]&lt;=4,"Low",IF(mental_health[Daily_Screen_Time]&lt;=8,"Medium","High"))</f>
        <v>Medium</v>
      </c>
    </row>
    <row r="668" spans="1:22" x14ac:dyDescent="0.3">
      <c r="A668">
        <v>667</v>
      </c>
      <c r="B668">
        <v>44</v>
      </c>
      <c r="C668" t="s">
        <v>23</v>
      </c>
      <c r="D668" t="s">
        <v>22</v>
      </c>
      <c r="E668">
        <v>4.0999999999999996</v>
      </c>
      <c r="F668">
        <v>2.4</v>
      </c>
      <c r="G668">
        <v>0</v>
      </c>
      <c r="H668" t="str">
        <f t="shared" si="10"/>
        <v>No Night Usage</v>
      </c>
      <c r="I668">
        <v>8.4</v>
      </c>
      <c r="J668" s="3">
        <v>2</v>
      </c>
      <c r="K668">
        <v>3.7</v>
      </c>
      <c r="L668" t="s">
        <v>21</v>
      </c>
      <c r="M668">
        <v>3</v>
      </c>
      <c r="N668">
        <v>2</v>
      </c>
      <c r="O668">
        <v>0</v>
      </c>
      <c r="P668">
        <v>1</v>
      </c>
      <c r="Q668">
        <v>0</v>
      </c>
      <c r="R668">
        <v>0</v>
      </c>
      <c r="S668">
        <v>1</v>
      </c>
      <c r="T668" t="str">
        <f>IF(mental_health[Sleep_Hours]&lt;5,"Low",IF(mental_health[Sleep_Hours]&lt;7,"Medium","Good"))</f>
        <v>Good</v>
      </c>
      <c r="U668" t="str">
        <f>IF(mental_health[Stress_Level]&lt;=3,"Low",IF(mental_health[Stress_Level]&lt;=7,"Medium","High"))</f>
        <v>Low</v>
      </c>
      <c r="V668" t="str">
        <f>IF(mental_health[Daily_Screen_Time]&lt;=4,"Low",IF(mental_health[Daily_Screen_Time]&lt;=8,"Medium","High"))</f>
        <v>Medium</v>
      </c>
    </row>
    <row r="669" spans="1:22" x14ac:dyDescent="0.3">
      <c r="A669">
        <v>668</v>
      </c>
      <c r="B669">
        <v>28</v>
      </c>
      <c r="C669" t="s">
        <v>23</v>
      </c>
      <c r="D669" t="s">
        <v>24</v>
      </c>
      <c r="E669">
        <v>9.4</v>
      </c>
      <c r="F669">
        <v>4.4000000000000004</v>
      </c>
      <c r="G669">
        <v>1</v>
      </c>
      <c r="H669" t="str">
        <f t="shared" si="10"/>
        <v>Night Usage</v>
      </c>
      <c r="I669">
        <v>6.7</v>
      </c>
      <c r="J669" s="3">
        <v>4</v>
      </c>
      <c r="K669">
        <v>3.5</v>
      </c>
      <c r="L669" t="s">
        <v>21</v>
      </c>
      <c r="M669">
        <v>3</v>
      </c>
      <c r="N669">
        <v>3</v>
      </c>
      <c r="O669">
        <v>1</v>
      </c>
      <c r="P669">
        <v>1</v>
      </c>
      <c r="Q669">
        <v>1</v>
      </c>
      <c r="R669">
        <v>0</v>
      </c>
      <c r="S669">
        <v>1</v>
      </c>
      <c r="T669" t="str">
        <f>IF(mental_health[Sleep_Hours]&lt;5,"Low",IF(mental_health[Sleep_Hours]&lt;7,"Medium","Good"))</f>
        <v>Medium</v>
      </c>
      <c r="U669" t="str">
        <f>IF(mental_health[Stress_Level]&lt;=3,"Low",IF(mental_health[Stress_Level]&lt;=7,"Medium","High"))</f>
        <v>Medium</v>
      </c>
      <c r="V669" t="str">
        <f>IF(mental_health[Daily_Screen_Time]&lt;=4,"Low",IF(mental_health[Daily_Screen_Time]&lt;=8,"Medium","High"))</f>
        <v>High</v>
      </c>
    </row>
    <row r="670" spans="1:22" x14ac:dyDescent="0.3">
      <c r="A670">
        <v>669</v>
      </c>
      <c r="B670">
        <v>50</v>
      </c>
      <c r="C670" t="s">
        <v>23</v>
      </c>
      <c r="D670" t="s">
        <v>22</v>
      </c>
      <c r="E670">
        <v>2.2999999999999998</v>
      </c>
      <c r="F670">
        <v>7.7</v>
      </c>
      <c r="G670">
        <v>1</v>
      </c>
      <c r="H670" t="str">
        <f t="shared" si="10"/>
        <v>Night Usage</v>
      </c>
      <c r="I670">
        <v>3</v>
      </c>
      <c r="J670" s="3">
        <v>6</v>
      </c>
      <c r="K670">
        <v>9.1</v>
      </c>
      <c r="L670" t="s">
        <v>21</v>
      </c>
      <c r="M670">
        <v>9</v>
      </c>
      <c r="N670">
        <v>1</v>
      </c>
      <c r="O670">
        <v>1</v>
      </c>
      <c r="P670">
        <v>1</v>
      </c>
      <c r="Q670">
        <v>1</v>
      </c>
      <c r="R670">
        <v>1</v>
      </c>
      <c r="S670">
        <v>0</v>
      </c>
      <c r="T670" t="str">
        <f>IF(mental_health[Sleep_Hours]&lt;5,"Low",IF(mental_health[Sleep_Hours]&lt;7,"Medium","Good"))</f>
        <v>Low</v>
      </c>
      <c r="U670" t="str">
        <f>IF(mental_health[Stress_Level]&lt;=3,"Low",IF(mental_health[Stress_Level]&lt;=7,"Medium","High"))</f>
        <v>Medium</v>
      </c>
      <c r="V670" t="str">
        <f>IF(mental_health[Daily_Screen_Time]&lt;=4,"Low",IF(mental_health[Daily_Screen_Time]&lt;=8,"Medium","High"))</f>
        <v>Low</v>
      </c>
    </row>
    <row r="671" spans="1:22" x14ac:dyDescent="0.3">
      <c r="A671">
        <v>670</v>
      </c>
      <c r="B671">
        <v>21</v>
      </c>
      <c r="C671" t="s">
        <v>18</v>
      </c>
      <c r="D671" t="s">
        <v>19</v>
      </c>
      <c r="E671">
        <v>5.5</v>
      </c>
      <c r="F671">
        <v>3.7</v>
      </c>
      <c r="G671">
        <v>0</v>
      </c>
      <c r="H671" t="str">
        <f t="shared" si="10"/>
        <v>No Night Usage</v>
      </c>
      <c r="I671">
        <v>4.0999999999999996</v>
      </c>
      <c r="J671" s="3">
        <v>3</v>
      </c>
      <c r="K671">
        <v>11.7</v>
      </c>
      <c r="L671" t="s">
        <v>21</v>
      </c>
      <c r="M671">
        <v>7</v>
      </c>
      <c r="N671">
        <v>4</v>
      </c>
      <c r="O671">
        <v>1</v>
      </c>
      <c r="P671">
        <v>1</v>
      </c>
      <c r="Q671">
        <v>0</v>
      </c>
      <c r="R671">
        <v>1</v>
      </c>
      <c r="S671">
        <v>0</v>
      </c>
      <c r="T671" t="str">
        <f>IF(mental_health[Sleep_Hours]&lt;5,"Low",IF(mental_health[Sleep_Hours]&lt;7,"Medium","Good"))</f>
        <v>Low</v>
      </c>
      <c r="U671" t="str">
        <f>IF(mental_health[Stress_Level]&lt;=3,"Low",IF(mental_health[Stress_Level]&lt;=7,"Medium","High"))</f>
        <v>Low</v>
      </c>
      <c r="V671" t="str">
        <f>IF(mental_health[Daily_Screen_Time]&lt;=4,"Low",IF(mental_health[Daily_Screen_Time]&lt;=8,"Medium","High"))</f>
        <v>Medium</v>
      </c>
    </row>
    <row r="672" spans="1:22" x14ac:dyDescent="0.3">
      <c r="A672">
        <v>671</v>
      </c>
      <c r="B672">
        <v>33</v>
      </c>
      <c r="C672" t="s">
        <v>23</v>
      </c>
      <c r="D672" t="s">
        <v>22</v>
      </c>
      <c r="E672">
        <v>9.8000000000000007</v>
      </c>
      <c r="F672">
        <v>4</v>
      </c>
      <c r="G672">
        <v>1</v>
      </c>
      <c r="H672" t="str">
        <f t="shared" si="10"/>
        <v>Night Usage</v>
      </c>
      <c r="I672">
        <v>3.6</v>
      </c>
      <c r="J672" s="3">
        <v>3</v>
      </c>
      <c r="K672">
        <v>4.3</v>
      </c>
      <c r="L672" t="s">
        <v>21</v>
      </c>
      <c r="M672">
        <v>4</v>
      </c>
      <c r="N672">
        <v>4</v>
      </c>
      <c r="O672">
        <v>0</v>
      </c>
      <c r="P672">
        <v>0</v>
      </c>
      <c r="Q672">
        <v>0</v>
      </c>
      <c r="R672">
        <v>0</v>
      </c>
      <c r="S672">
        <v>0</v>
      </c>
      <c r="T672" t="str">
        <f>IF(mental_health[Sleep_Hours]&lt;5,"Low",IF(mental_health[Sleep_Hours]&lt;7,"Medium","Good"))</f>
        <v>Low</v>
      </c>
      <c r="U672" t="str">
        <f>IF(mental_health[Stress_Level]&lt;=3,"Low",IF(mental_health[Stress_Level]&lt;=7,"Medium","High"))</f>
        <v>Low</v>
      </c>
      <c r="V672" t="str">
        <f>IF(mental_health[Daily_Screen_Time]&lt;=4,"Low",IF(mental_health[Daily_Screen_Time]&lt;=8,"Medium","High"))</f>
        <v>High</v>
      </c>
    </row>
    <row r="673" spans="1:22" x14ac:dyDescent="0.3">
      <c r="A673">
        <v>672</v>
      </c>
      <c r="B673">
        <v>20</v>
      </c>
      <c r="C673" t="s">
        <v>23</v>
      </c>
      <c r="D673" t="s">
        <v>19</v>
      </c>
      <c r="E673">
        <v>7.6</v>
      </c>
      <c r="F673">
        <v>6</v>
      </c>
      <c r="G673">
        <v>1</v>
      </c>
      <c r="H673" t="str">
        <f t="shared" si="10"/>
        <v>Night Usage</v>
      </c>
      <c r="I673">
        <v>5.2</v>
      </c>
      <c r="J673" s="3">
        <v>6</v>
      </c>
      <c r="K673">
        <v>9.6999999999999993</v>
      </c>
      <c r="L673" t="s">
        <v>20</v>
      </c>
      <c r="M673">
        <v>1</v>
      </c>
      <c r="N673">
        <v>4</v>
      </c>
      <c r="O673">
        <v>0</v>
      </c>
      <c r="P673">
        <v>1</v>
      </c>
      <c r="Q673">
        <v>0</v>
      </c>
      <c r="R673">
        <v>1</v>
      </c>
      <c r="S673">
        <v>1</v>
      </c>
      <c r="T673" t="str">
        <f>IF(mental_health[Sleep_Hours]&lt;5,"Low",IF(mental_health[Sleep_Hours]&lt;7,"Medium","Good"))</f>
        <v>Medium</v>
      </c>
      <c r="U673" t="str">
        <f>IF(mental_health[Stress_Level]&lt;=3,"Low",IF(mental_health[Stress_Level]&lt;=7,"Medium","High"))</f>
        <v>Medium</v>
      </c>
      <c r="V673" t="str">
        <f>IF(mental_health[Daily_Screen_Time]&lt;=4,"Low",IF(mental_health[Daily_Screen_Time]&lt;=8,"Medium","High"))</f>
        <v>Medium</v>
      </c>
    </row>
    <row r="674" spans="1:22" x14ac:dyDescent="0.3">
      <c r="A674">
        <v>673</v>
      </c>
      <c r="B674">
        <v>40</v>
      </c>
      <c r="C674" t="s">
        <v>23</v>
      </c>
      <c r="D674" t="s">
        <v>19</v>
      </c>
      <c r="E674">
        <v>4.5999999999999996</v>
      </c>
      <c r="F674">
        <v>5.2</v>
      </c>
      <c r="G674">
        <v>1</v>
      </c>
      <c r="H674" t="str">
        <f t="shared" si="10"/>
        <v>Night Usage</v>
      </c>
      <c r="I674">
        <v>6</v>
      </c>
      <c r="J674" s="3">
        <v>1</v>
      </c>
      <c r="K674">
        <v>2.9</v>
      </c>
      <c r="L674" t="s">
        <v>21</v>
      </c>
      <c r="M674">
        <v>7</v>
      </c>
      <c r="N674">
        <v>2</v>
      </c>
      <c r="O674">
        <v>1</v>
      </c>
      <c r="P674">
        <v>1</v>
      </c>
      <c r="Q674">
        <v>0</v>
      </c>
      <c r="R674">
        <v>0</v>
      </c>
      <c r="S674">
        <v>0</v>
      </c>
      <c r="T674" t="str">
        <f>IF(mental_health[Sleep_Hours]&lt;5,"Low",IF(mental_health[Sleep_Hours]&lt;7,"Medium","Good"))</f>
        <v>Medium</v>
      </c>
      <c r="U674" t="str">
        <f>IF(mental_health[Stress_Level]&lt;=3,"Low",IF(mental_health[Stress_Level]&lt;=7,"Medium","High"))</f>
        <v>Low</v>
      </c>
      <c r="V674" t="str">
        <f>IF(mental_health[Daily_Screen_Time]&lt;=4,"Low",IF(mental_health[Daily_Screen_Time]&lt;=8,"Medium","High"))</f>
        <v>Medium</v>
      </c>
    </row>
    <row r="675" spans="1:22" x14ac:dyDescent="0.3">
      <c r="A675">
        <v>674</v>
      </c>
      <c r="B675">
        <v>17</v>
      </c>
      <c r="C675" t="s">
        <v>18</v>
      </c>
      <c r="D675" t="s">
        <v>24</v>
      </c>
      <c r="E675">
        <v>8.9</v>
      </c>
      <c r="F675">
        <v>3.1</v>
      </c>
      <c r="G675">
        <v>0</v>
      </c>
      <c r="H675" t="str">
        <f t="shared" si="10"/>
        <v>No Night Usage</v>
      </c>
      <c r="I675">
        <v>3.3</v>
      </c>
      <c r="J675" s="3">
        <v>1</v>
      </c>
      <c r="K675">
        <v>5.8</v>
      </c>
      <c r="L675" t="s">
        <v>25</v>
      </c>
      <c r="M675">
        <v>10</v>
      </c>
      <c r="N675">
        <v>1</v>
      </c>
      <c r="O675">
        <v>0</v>
      </c>
      <c r="P675">
        <v>1</v>
      </c>
      <c r="Q675">
        <v>1</v>
      </c>
      <c r="R675">
        <v>0</v>
      </c>
      <c r="S675">
        <v>0</v>
      </c>
      <c r="T675" t="str">
        <f>IF(mental_health[Sleep_Hours]&lt;5,"Low",IF(mental_health[Sleep_Hours]&lt;7,"Medium","Good"))</f>
        <v>Low</v>
      </c>
      <c r="U675" t="str">
        <f>IF(mental_health[Stress_Level]&lt;=3,"Low",IF(mental_health[Stress_Level]&lt;=7,"Medium","High"))</f>
        <v>Low</v>
      </c>
      <c r="V675" t="str">
        <f>IF(mental_health[Daily_Screen_Time]&lt;=4,"Low",IF(mental_health[Daily_Screen_Time]&lt;=8,"Medium","High"))</f>
        <v>High</v>
      </c>
    </row>
    <row r="676" spans="1:22" x14ac:dyDescent="0.3">
      <c r="A676">
        <v>675</v>
      </c>
      <c r="B676">
        <v>25</v>
      </c>
      <c r="C676" t="s">
        <v>18</v>
      </c>
      <c r="D676" t="s">
        <v>24</v>
      </c>
      <c r="E676">
        <v>7.7</v>
      </c>
      <c r="F676">
        <v>3.9</v>
      </c>
      <c r="G676">
        <v>1</v>
      </c>
      <c r="H676" t="str">
        <f t="shared" si="10"/>
        <v>Night Usage</v>
      </c>
      <c r="I676">
        <v>5.0999999999999996</v>
      </c>
      <c r="J676" s="3">
        <v>5</v>
      </c>
      <c r="K676">
        <v>7.1</v>
      </c>
      <c r="L676" t="s">
        <v>20</v>
      </c>
      <c r="M676">
        <v>6</v>
      </c>
      <c r="N676">
        <v>4</v>
      </c>
      <c r="O676">
        <v>1</v>
      </c>
      <c r="P676">
        <v>0</v>
      </c>
      <c r="Q676">
        <v>0</v>
      </c>
      <c r="R676">
        <v>0</v>
      </c>
      <c r="S676">
        <v>1</v>
      </c>
      <c r="T676" t="str">
        <f>IF(mental_health[Sleep_Hours]&lt;5,"Low",IF(mental_health[Sleep_Hours]&lt;7,"Medium","Good"))</f>
        <v>Medium</v>
      </c>
      <c r="U676" t="str">
        <f>IF(mental_health[Stress_Level]&lt;=3,"Low",IF(mental_health[Stress_Level]&lt;=7,"Medium","High"))</f>
        <v>Medium</v>
      </c>
      <c r="V676" t="str">
        <f>IF(mental_health[Daily_Screen_Time]&lt;=4,"Low",IF(mental_health[Daily_Screen_Time]&lt;=8,"Medium","High"))</f>
        <v>Medium</v>
      </c>
    </row>
    <row r="677" spans="1:22" x14ac:dyDescent="0.3">
      <c r="A677">
        <v>676</v>
      </c>
      <c r="B677">
        <v>45</v>
      </c>
      <c r="C677" t="s">
        <v>23</v>
      </c>
      <c r="D677" t="s">
        <v>24</v>
      </c>
      <c r="E677">
        <v>10</v>
      </c>
      <c r="F677">
        <v>2.5</v>
      </c>
      <c r="G677">
        <v>0</v>
      </c>
      <c r="H677" t="str">
        <f t="shared" si="10"/>
        <v>No Night Usage</v>
      </c>
      <c r="I677">
        <v>4.0999999999999996</v>
      </c>
      <c r="J677" s="3">
        <v>1</v>
      </c>
      <c r="K677">
        <v>4.7</v>
      </c>
      <c r="L677" t="s">
        <v>20</v>
      </c>
      <c r="M677">
        <v>3</v>
      </c>
      <c r="N677">
        <v>3</v>
      </c>
      <c r="O677">
        <v>1</v>
      </c>
      <c r="P677">
        <v>0</v>
      </c>
      <c r="Q677">
        <v>0</v>
      </c>
      <c r="R677">
        <v>1</v>
      </c>
      <c r="S677">
        <v>0</v>
      </c>
      <c r="T677" t="str">
        <f>IF(mental_health[Sleep_Hours]&lt;5,"Low",IF(mental_health[Sleep_Hours]&lt;7,"Medium","Good"))</f>
        <v>Low</v>
      </c>
      <c r="U677" t="str">
        <f>IF(mental_health[Stress_Level]&lt;=3,"Low",IF(mental_health[Stress_Level]&lt;=7,"Medium","High"))</f>
        <v>Low</v>
      </c>
      <c r="V677" t="str">
        <f>IF(mental_health[Daily_Screen_Time]&lt;=4,"Low",IF(mental_health[Daily_Screen_Time]&lt;=8,"Medium","High"))</f>
        <v>High</v>
      </c>
    </row>
    <row r="678" spans="1:22" x14ac:dyDescent="0.3">
      <c r="A678">
        <v>677</v>
      </c>
      <c r="B678">
        <v>20</v>
      </c>
      <c r="C678" t="s">
        <v>23</v>
      </c>
      <c r="D678" t="s">
        <v>22</v>
      </c>
      <c r="E678">
        <v>9.4</v>
      </c>
      <c r="F678">
        <v>7.8</v>
      </c>
      <c r="G678">
        <v>1</v>
      </c>
      <c r="H678" t="str">
        <f t="shared" si="10"/>
        <v>Night Usage</v>
      </c>
      <c r="I678">
        <v>6.9</v>
      </c>
      <c r="J678" s="3">
        <v>10</v>
      </c>
      <c r="K678">
        <v>7.3</v>
      </c>
      <c r="L678" t="s">
        <v>25</v>
      </c>
      <c r="M678">
        <v>5</v>
      </c>
      <c r="N678">
        <v>4</v>
      </c>
      <c r="O678">
        <v>1</v>
      </c>
      <c r="P678">
        <v>0</v>
      </c>
      <c r="Q678">
        <v>0</v>
      </c>
      <c r="R678">
        <v>1</v>
      </c>
      <c r="S678">
        <v>1</v>
      </c>
      <c r="T678" t="str">
        <f>IF(mental_health[Sleep_Hours]&lt;5,"Low",IF(mental_health[Sleep_Hours]&lt;7,"Medium","Good"))</f>
        <v>Medium</v>
      </c>
      <c r="U678" t="str">
        <f>IF(mental_health[Stress_Level]&lt;=3,"Low",IF(mental_health[Stress_Level]&lt;=7,"Medium","High"))</f>
        <v>High</v>
      </c>
      <c r="V678" t="str">
        <f>IF(mental_health[Daily_Screen_Time]&lt;=4,"Low",IF(mental_health[Daily_Screen_Time]&lt;=8,"Medium","High"))</f>
        <v>High</v>
      </c>
    </row>
    <row r="679" spans="1:22" x14ac:dyDescent="0.3">
      <c r="A679">
        <v>678</v>
      </c>
      <c r="B679">
        <v>48</v>
      </c>
      <c r="C679" t="s">
        <v>23</v>
      </c>
      <c r="D679" t="s">
        <v>22</v>
      </c>
      <c r="E679">
        <v>8.1</v>
      </c>
      <c r="F679">
        <v>1.9</v>
      </c>
      <c r="G679">
        <v>1</v>
      </c>
      <c r="H679" t="str">
        <f t="shared" si="10"/>
        <v>Night Usage</v>
      </c>
      <c r="I679">
        <v>5.8</v>
      </c>
      <c r="J679" s="3">
        <v>8</v>
      </c>
      <c r="K679">
        <v>10.8</v>
      </c>
      <c r="L679" t="s">
        <v>21</v>
      </c>
      <c r="M679">
        <v>3</v>
      </c>
      <c r="N679">
        <v>0</v>
      </c>
      <c r="O679">
        <v>1</v>
      </c>
      <c r="P679">
        <v>1</v>
      </c>
      <c r="Q679">
        <v>1</v>
      </c>
      <c r="R679">
        <v>1</v>
      </c>
      <c r="S679">
        <v>1</v>
      </c>
      <c r="T679" t="str">
        <f>IF(mental_health[Sleep_Hours]&lt;5,"Low",IF(mental_health[Sleep_Hours]&lt;7,"Medium","Good"))</f>
        <v>Medium</v>
      </c>
      <c r="U679" t="str">
        <f>IF(mental_health[Stress_Level]&lt;=3,"Low",IF(mental_health[Stress_Level]&lt;=7,"Medium","High"))</f>
        <v>High</v>
      </c>
      <c r="V679" t="str">
        <f>IF(mental_health[Daily_Screen_Time]&lt;=4,"Low",IF(mental_health[Daily_Screen_Time]&lt;=8,"Medium","High"))</f>
        <v>High</v>
      </c>
    </row>
    <row r="680" spans="1:22" x14ac:dyDescent="0.3">
      <c r="A680">
        <v>679</v>
      </c>
      <c r="B680">
        <v>16</v>
      </c>
      <c r="C680" t="s">
        <v>18</v>
      </c>
      <c r="D680" t="s">
        <v>24</v>
      </c>
      <c r="E680">
        <v>6.9</v>
      </c>
      <c r="F680">
        <v>3.6</v>
      </c>
      <c r="G680">
        <v>1</v>
      </c>
      <c r="H680" t="str">
        <f t="shared" si="10"/>
        <v>Night Usage</v>
      </c>
      <c r="I680">
        <v>6</v>
      </c>
      <c r="J680" s="3">
        <v>2</v>
      </c>
      <c r="K680">
        <v>11.4</v>
      </c>
      <c r="L680" t="s">
        <v>25</v>
      </c>
      <c r="M680">
        <v>8</v>
      </c>
      <c r="N680">
        <v>1</v>
      </c>
      <c r="O680">
        <v>0</v>
      </c>
      <c r="P680">
        <v>0</v>
      </c>
      <c r="Q680">
        <v>0</v>
      </c>
      <c r="R680">
        <v>0</v>
      </c>
      <c r="S680">
        <v>1</v>
      </c>
      <c r="T680" t="str">
        <f>IF(mental_health[Sleep_Hours]&lt;5,"Low",IF(mental_health[Sleep_Hours]&lt;7,"Medium","Good"))</f>
        <v>Medium</v>
      </c>
      <c r="U680" t="str">
        <f>IF(mental_health[Stress_Level]&lt;=3,"Low",IF(mental_health[Stress_Level]&lt;=7,"Medium","High"))</f>
        <v>Low</v>
      </c>
      <c r="V680" t="str">
        <f>IF(mental_health[Daily_Screen_Time]&lt;=4,"Low",IF(mental_health[Daily_Screen_Time]&lt;=8,"Medium","High"))</f>
        <v>Medium</v>
      </c>
    </row>
    <row r="681" spans="1:22" x14ac:dyDescent="0.3">
      <c r="A681">
        <v>680</v>
      </c>
      <c r="B681">
        <v>33</v>
      </c>
      <c r="C681" t="s">
        <v>18</v>
      </c>
      <c r="D681" t="s">
        <v>22</v>
      </c>
      <c r="E681">
        <v>3.3</v>
      </c>
      <c r="F681">
        <v>1.2</v>
      </c>
      <c r="G681">
        <v>1</v>
      </c>
      <c r="H681" t="str">
        <f t="shared" si="10"/>
        <v>Night Usage</v>
      </c>
      <c r="I681">
        <v>5.6</v>
      </c>
      <c r="J681" s="3">
        <v>6</v>
      </c>
      <c r="K681">
        <v>3</v>
      </c>
      <c r="L681" t="s">
        <v>20</v>
      </c>
      <c r="M681">
        <v>5</v>
      </c>
      <c r="N681">
        <v>0</v>
      </c>
      <c r="O681">
        <v>1</v>
      </c>
      <c r="P681">
        <v>0</v>
      </c>
      <c r="Q681">
        <v>1</v>
      </c>
      <c r="R681">
        <v>0</v>
      </c>
      <c r="S681">
        <v>1</v>
      </c>
      <c r="T681" t="str">
        <f>IF(mental_health[Sleep_Hours]&lt;5,"Low",IF(mental_health[Sleep_Hours]&lt;7,"Medium","Good"))</f>
        <v>Medium</v>
      </c>
      <c r="U681" t="str">
        <f>IF(mental_health[Stress_Level]&lt;=3,"Low",IF(mental_health[Stress_Level]&lt;=7,"Medium","High"))</f>
        <v>Medium</v>
      </c>
      <c r="V681" t="str">
        <f>IF(mental_health[Daily_Screen_Time]&lt;=4,"Low",IF(mental_health[Daily_Screen_Time]&lt;=8,"Medium","High"))</f>
        <v>Low</v>
      </c>
    </row>
    <row r="682" spans="1:22" x14ac:dyDescent="0.3">
      <c r="A682">
        <v>681</v>
      </c>
      <c r="B682">
        <v>47</v>
      </c>
      <c r="C682" t="s">
        <v>23</v>
      </c>
      <c r="D682" t="s">
        <v>24</v>
      </c>
      <c r="E682">
        <v>4.5999999999999996</v>
      </c>
      <c r="F682">
        <v>2.6</v>
      </c>
      <c r="G682">
        <v>0</v>
      </c>
      <c r="H682" t="str">
        <f t="shared" si="10"/>
        <v>No Night Usage</v>
      </c>
      <c r="I682">
        <v>8.6999999999999993</v>
      </c>
      <c r="J682" s="3">
        <v>10</v>
      </c>
      <c r="K682">
        <v>4.7</v>
      </c>
      <c r="L682" t="s">
        <v>20</v>
      </c>
      <c r="M682">
        <v>10</v>
      </c>
      <c r="N682">
        <v>1</v>
      </c>
      <c r="O682">
        <v>0</v>
      </c>
      <c r="P682">
        <v>0</v>
      </c>
      <c r="Q682">
        <v>0</v>
      </c>
      <c r="R682">
        <v>0</v>
      </c>
      <c r="S682">
        <v>0</v>
      </c>
      <c r="T682" t="str">
        <f>IF(mental_health[Sleep_Hours]&lt;5,"Low",IF(mental_health[Sleep_Hours]&lt;7,"Medium","Good"))</f>
        <v>Good</v>
      </c>
      <c r="U682" t="str">
        <f>IF(mental_health[Stress_Level]&lt;=3,"Low",IF(mental_health[Stress_Level]&lt;=7,"Medium","High"))</f>
        <v>High</v>
      </c>
      <c r="V682" t="str">
        <f>IF(mental_health[Daily_Screen_Time]&lt;=4,"Low",IF(mental_health[Daily_Screen_Time]&lt;=8,"Medium","High"))</f>
        <v>Medium</v>
      </c>
    </row>
    <row r="683" spans="1:22" x14ac:dyDescent="0.3">
      <c r="A683">
        <v>682</v>
      </c>
      <c r="B683">
        <v>26</v>
      </c>
      <c r="C683" t="s">
        <v>18</v>
      </c>
      <c r="D683" t="s">
        <v>22</v>
      </c>
      <c r="E683">
        <v>6.2</v>
      </c>
      <c r="F683">
        <v>6.5</v>
      </c>
      <c r="G683">
        <v>1</v>
      </c>
      <c r="H683" t="str">
        <f t="shared" si="10"/>
        <v>Night Usage</v>
      </c>
      <c r="I683">
        <v>4.3</v>
      </c>
      <c r="J683" s="3">
        <v>10</v>
      </c>
      <c r="K683">
        <v>11.8</v>
      </c>
      <c r="L683" t="s">
        <v>20</v>
      </c>
      <c r="M683">
        <v>10</v>
      </c>
      <c r="N683">
        <v>3</v>
      </c>
      <c r="O683">
        <v>0</v>
      </c>
      <c r="P683">
        <v>1</v>
      </c>
      <c r="Q683">
        <v>1</v>
      </c>
      <c r="R683">
        <v>1</v>
      </c>
      <c r="S683">
        <v>1</v>
      </c>
      <c r="T683" t="str">
        <f>IF(mental_health[Sleep_Hours]&lt;5,"Low",IF(mental_health[Sleep_Hours]&lt;7,"Medium","Good"))</f>
        <v>Low</v>
      </c>
      <c r="U683" t="str">
        <f>IF(mental_health[Stress_Level]&lt;=3,"Low",IF(mental_health[Stress_Level]&lt;=7,"Medium","High"))</f>
        <v>High</v>
      </c>
      <c r="V683" t="str">
        <f>IF(mental_health[Daily_Screen_Time]&lt;=4,"Low",IF(mental_health[Daily_Screen_Time]&lt;=8,"Medium","High"))</f>
        <v>Medium</v>
      </c>
    </row>
    <row r="684" spans="1:22" x14ac:dyDescent="0.3">
      <c r="A684">
        <v>683</v>
      </c>
      <c r="B684">
        <v>36</v>
      </c>
      <c r="C684" t="s">
        <v>23</v>
      </c>
      <c r="D684" t="s">
        <v>19</v>
      </c>
      <c r="E684">
        <v>8</v>
      </c>
      <c r="F684">
        <v>2.4</v>
      </c>
      <c r="G684">
        <v>1</v>
      </c>
      <c r="H684" t="str">
        <f t="shared" si="10"/>
        <v>Night Usage</v>
      </c>
      <c r="I684">
        <v>6.1</v>
      </c>
      <c r="J684" s="3">
        <v>5</v>
      </c>
      <c r="K684">
        <v>4.7</v>
      </c>
      <c r="L684" t="s">
        <v>25</v>
      </c>
      <c r="M684">
        <v>6</v>
      </c>
      <c r="N684">
        <v>2</v>
      </c>
      <c r="O684">
        <v>0</v>
      </c>
      <c r="P684">
        <v>0</v>
      </c>
      <c r="Q684">
        <v>0</v>
      </c>
      <c r="R684">
        <v>1</v>
      </c>
      <c r="S684">
        <v>1</v>
      </c>
      <c r="T684" t="str">
        <f>IF(mental_health[Sleep_Hours]&lt;5,"Low",IF(mental_health[Sleep_Hours]&lt;7,"Medium","Good"))</f>
        <v>Medium</v>
      </c>
      <c r="U684" t="str">
        <f>IF(mental_health[Stress_Level]&lt;=3,"Low",IF(mental_health[Stress_Level]&lt;=7,"Medium","High"))</f>
        <v>Medium</v>
      </c>
      <c r="V684" t="str">
        <f>IF(mental_health[Daily_Screen_Time]&lt;=4,"Low",IF(mental_health[Daily_Screen_Time]&lt;=8,"Medium","High"))</f>
        <v>Medium</v>
      </c>
    </row>
    <row r="685" spans="1:22" x14ac:dyDescent="0.3">
      <c r="A685">
        <v>684</v>
      </c>
      <c r="B685">
        <v>41</v>
      </c>
      <c r="C685" t="s">
        <v>18</v>
      </c>
      <c r="D685" t="s">
        <v>19</v>
      </c>
      <c r="E685">
        <v>7.1</v>
      </c>
      <c r="F685">
        <v>1.6</v>
      </c>
      <c r="G685">
        <v>0</v>
      </c>
      <c r="H685" t="str">
        <f t="shared" si="10"/>
        <v>No Night Usage</v>
      </c>
      <c r="I685">
        <v>7.4</v>
      </c>
      <c r="J685" s="3">
        <v>10</v>
      </c>
      <c r="K685">
        <v>8.9</v>
      </c>
      <c r="L685" t="s">
        <v>21</v>
      </c>
      <c r="M685">
        <v>2</v>
      </c>
      <c r="N685">
        <v>2</v>
      </c>
      <c r="O685">
        <v>0</v>
      </c>
      <c r="P685">
        <v>1</v>
      </c>
      <c r="Q685">
        <v>1</v>
      </c>
      <c r="R685">
        <v>1</v>
      </c>
      <c r="S685">
        <v>1</v>
      </c>
      <c r="T685" t="str">
        <f>IF(mental_health[Sleep_Hours]&lt;5,"Low",IF(mental_health[Sleep_Hours]&lt;7,"Medium","Good"))</f>
        <v>Good</v>
      </c>
      <c r="U685" t="str">
        <f>IF(mental_health[Stress_Level]&lt;=3,"Low",IF(mental_health[Stress_Level]&lt;=7,"Medium","High"))</f>
        <v>High</v>
      </c>
      <c r="V685" t="str">
        <f>IF(mental_health[Daily_Screen_Time]&lt;=4,"Low",IF(mental_health[Daily_Screen_Time]&lt;=8,"Medium","High"))</f>
        <v>Medium</v>
      </c>
    </row>
    <row r="686" spans="1:22" x14ac:dyDescent="0.3">
      <c r="A686">
        <v>685</v>
      </c>
      <c r="B686">
        <v>40</v>
      </c>
      <c r="C686" t="s">
        <v>18</v>
      </c>
      <c r="D686" t="s">
        <v>24</v>
      </c>
      <c r="E686">
        <v>4.9000000000000004</v>
      </c>
      <c r="F686">
        <v>4.3</v>
      </c>
      <c r="G686">
        <v>0</v>
      </c>
      <c r="H686" t="str">
        <f t="shared" si="10"/>
        <v>No Night Usage</v>
      </c>
      <c r="I686">
        <v>6.3</v>
      </c>
      <c r="J686" s="3">
        <v>4</v>
      </c>
      <c r="K686">
        <v>4.5</v>
      </c>
      <c r="L686" t="s">
        <v>20</v>
      </c>
      <c r="M686">
        <v>8</v>
      </c>
      <c r="N686">
        <v>1</v>
      </c>
      <c r="O686">
        <v>0</v>
      </c>
      <c r="P686">
        <v>0</v>
      </c>
      <c r="Q686">
        <v>1</v>
      </c>
      <c r="R686">
        <v>1</v>
      </c>
      <c r="S686">
        <v>0</v>
      </c>
      <c r="T686" t="str">
        <f>IF(mental_health[Sleep_Hours]&lt;5,"Low",IF(mental_health[Sleep_Hours]&lt;7,"Medium","Good"))</f>
        <v>Medium</v>
      </c>
      <c r="U686" t="str">
        <f>IF(mental_health[Stress_Level]&lt;=3,"Low",IF(mental_health[Stress_Level]&lt;=7,"Medium","High"))</f>
        <v>Medium</v>
      </c>
      <c r="V686" t="str">
        <f>IF(mental_health[Daily_Screen_Time]&lt;=4,"Low",IF(mental_health[Daily_Screen_Time]&lt;=8,"Medium","High"))</f>
        <v>Medium</v>
      </c>
    </row>
    <row r="687" spans="1:22" x14ac:dyDescent="0.3">
      <c r="A687">
        <v>686</v>
      </c>
      <c r="B687">
        <v>37</v>
      </c>
      <c r="C687" t="s">
        <v>23</v>
      </c>
      <c r="D687" t="s">
        <v>22</v>
      </c>
      <c r="E687">
        <v>2.1</v>
      </c>
      <c r="F687">
        <v>1.1000000000000001</v>
      </c>
      <c r="G687">
        <v>0</v>
      </c>
      <c r="H687" t="str">
        <f t="shared" si="10"/>
        <v>No Night Usage</v>
      </c>
      <c r="I687">
        <v>8.6</v>
      </c>
      <c r="J687" s="3">
        <v>1</v>
      </c>
      <c r="K687">
        <v>5.6</v>
      </c>
      <c r="L687" t="s">
        <v>21</v>
      </c>
      <c r="M687">
        <v>9</v>
      </c>
      <c r="N687">
        <v>4</v>
      </c>
      <c r="O687">
        <v>0</v>
      </c>
      <c r="P687">
        <v>0</v>
      </c>
      <c r="Q687">
        <v>0</v>
      </c>
      <c r="R687">
        <v>0</v>
      </c>
      <c r="S687">
        <v>1</v>
      </c>
      <c r="T687" t="str">
        <f>IF(mental_health[Sleep_Hours]&lt;5,"Low",IF(mental_health[Sleep_Hours]&lt;7,"Medium","Good"))</f>
        <v>Good</v>
      </c>
      <c r="U687" t="str">
        <f>IF(mental_health[Stress_Level]&lt;=3,"Low",IF(mental_health[Stress_Level]&lt;=7,"Medium","High"))</f>
        <v>Low</v>
      </c>
      <c r="V687" t="str">
        <f>IF(mental_health[Daily_Screen_Time]&lt;=4,"Low",IF(mental_health[Daily_Screen_Time]&lt;=8,"Medium","High"))</f>
        <v>Low</v>
      </c>
    </row>
    <row r="688" spans="1:22" x14ac:dyDescent="0.3">
      <c r="A688">
        <v>687</v>
      </c>
      <c r="B688">
        <v>42</v>
      </c>
      <c r="C688" t="s">
        <v>23</v>
      </c>
      <c r="D688" t="s">
        <v>22</v>
      </c>
      <c r="E688">
        <v>7</v>
      </c>
      <c r="F688">
        <v>1.6</v>
      </c>
      <c r="G688">
        <v>1</v>
      </c>
      <c r="H688" t="str">
        <f t="shared" si="10"/>
        <v>Night Usage</v>
      </c>
      <c r="I688">
        <v>5.3</v>
      </c>
      <c r="J688" s="3">
        <v>3</v>
      </c>
      <c r="K688">
        <v>3.9</v>
      </c>
      <c r="L688" t="s">
        <v>20</v>
      </c>
      <c r="M688">
        <v>3</v>
      </c>
      <c r="N688">
        <v>0</v>
      </c>
      <c r="O688">
        <v>1</v>
      </c>
      <c r="P688">
        <v>1</v>
      </c>
      <c r="Q688">
        <v>0</v>
      </c>
      <c r="R688">
        <v>1</v>
      </c>
      <c r="S688">
        <v>0</v>
      </c>
      <c r="T688" t="str">
        <f>IF(mental_health[Sleep_Hours]&lt;5,"Low",IF(mental_health[Sleep_Hours]&lt;7,"Medium","Good"))</f>
        <v>Medium</v>
      </c>
      <c r="U688" t="str">
        <f>IF(mental_health[Stress_Level]&lt;=3,"Low",IF(mental_health[Stress_Level]&lt;=7,"Medium","High"))</f>
        <v>Low</v>
      </c>
      <c r="V688" t="str">
        <f>IF(mental_health[Daily_Screen_Time]&lt;=4,"Low",IF(mental_health[Daily_Screen_Time]&lt;=8,"Medium","High"))</f>
        <v>Medium</v>
      </c>
    </row>
    <row r="689" spans="1:22" x14ac:dyDescent="0.3">
      <c r="A689">
        <v>688</v>
      </c>
      <c r="B689">
        <v>28</v>
      </c>
      <c r="C689" t="s">
        <v>23</v>
      </c>
      <c r="D689" t="s">
        <v>19</v>
      </c>
      <c r="E689">
        <v>4.9000000000000004</v>
      </c>
      <c r="F689">
        <v>6.7</v>
      </c>
      <c r="G689">
        <v>0</v>
      </c>
      <c r="H689" t="str">
        <f t="shared" si="10"/>
        <v>No Night Usage</v>
      </c>
      <c r="I689">
        <v>5.8</v>
      </c>
      <c r="J689" s="3">
        <v>4</v>
      </c>
      <c r="K689">
        <v>10.6</v>
      </c>
      <c r="L689" t="s">
        <v>21</v>
      </c>
      <c r="M689">
        <v>6</v>
      </c>
      <c r="N689">
        <v>3</v>
      </c>
      <c r="O689">
        <v>0</v>
      </c>
      <c r="P689">
        <v>1</v>
      </c>
      <c r="Q689">
        <v>0</v>
      </c>
      <c r="R689">
        <v>0</v>
      </c>
      <c r="S689">
        <v>1</v>
      </c>
      <c r="T689" t="str">
        <f>IF(mental_health[Sleep_Hours]&lt;5,"Low",IF(mental_health[Sleep_Hours]&lt;7,"Medium","Good"))</f>
        <v>Medium</v>
      </c>
      <c r="U689" t="str">
        <f>IF(mental_health[Stress_Level]&lt;=3,"Low",IF(mental_health[Stress_Level]&lt;=7,"Medium","High"))</f>
        <v>Medium</v>
      </c>
      <c r="V689" t="str">
        <f>IF(mental_health[Daily_Screen_Time]&lt;=4,"Low",IF(mental_health[Daily_Screen_Time]&lt;=8,"Medium","High"))</f>
        <v>Medium</v>
      </c>
    </row>
    <row r="690" spans="1:22" x14ac:dyDescent="0.3">
      <c r="A690">
        <v>689</v>
      </c>
      <c r="B690">
        <v>48</v>
      </c>
      <c r="C690" t="s">
        <v>23</v>
      </c>
      <c r="D690" t="s">
        <v>19</v>
      </c>
      <c r="E690">
        <v>9.3000000000000007</v>
      </c>
      <c r="F690">
        <v>6.4</v>
      </c>
      <c r="G690">
        <v>0</v>
      </c>
      <c r="H690" t="str">
        <f t="shared" si="10"/>
        <v>No Night Usage</v>
      </c>
      <c r="I690">
        <v>3.5</v>
      </c>
      <c r="J690" s="3">
        <v>2</v>
      </c>
      <c r="K690">
        <v>10.8</v>
      </c>
      <c r="L690" t="s">
        <v>25</v>
      </c>
      <c r="M690">
        <v>6</v>
      </c>
      <c r="N690">
        <v>4</v>
      </c>
      <c r="O690">
        <v>1</v>
      </c>
      <c r="P690">
        <v>1</v>
      </c>
      <c r="Q690">
        <v>1</v>
      </c>
      <c r="R690">
        <v>0</v>
      </c>
      <c r="S690">
        <v>1</v>
      </c>
      <c r="T690" t="str">
        <f>IF(mental_health[Sleep_Hours]&lt;5,"Low",IF(mental_health[Sleep_Hours]&lt;7,"Medium","Good"))</f>
        <v>Low</v>
      </c>
      <c r="U690" t="str">
        <f>IF(mental_health[Stress_Level]&lt;=3,"Low",IF(mental_health[Stress_Level]&lt;=7,"Medium","High"))</f>
        <v>Low</v>
      </c>
      <c r="V690" t="str">
        <f>IF(mental_health[Daily_Screen_Time]&lt;=4,"Low",IF(mental_health[Daily_Screen_Time]&lt;=8,"Medium","High"))</f>
        <v>High</v>
      </c>
    </row>
    <row r="691" spans="1:22" x14ac:dyDescent="0.3">
      <c r="A691">
        <v>690</v>
      </c>
      <c r="B691">
        <v>49</v>
      </c>
      <c r="C691" t="s">
        <v>18</v>
      </c>
      <c r="D691" t="s">
        <v>24</v>
      </c>
      <c r="E691">
        <v>2.2000000000000002</v>
      </c>
      <c r="F691">
        <v>7.4</v>
      </c>
      <c r="G691">
        <v>0</v>
      </c>
      <c r="H691" t="str">
        <f t="shared" si="10"/>
        <v>No Night Usage</v>
      </c>
      <c r="I691">
        <v>6.7</v>
      </c>
      <c r="J691" s="3">
        <v>2</v>
      </c>
      <c r="K691">
        <v>5</v>
      </c>
      <c r="L691" t="s">
        <v>20</v>
      </c>
      <c r="M691">
        <v>2</v>
      </c>
      <c r="N691">
        <v>2</v>
      </c>
      <c r="O691">
        <v>0</v>
      </c>
      <c r="P691">
        <v>0</v>
      </c>
      <c r="Q691">
        <v>0</v>
      </c>
      <c r="R691">
        <v>0</v>
      </c>
      <c r="S691">
        <v>1</v>
      </c>
      <c r="T691" t="str">
        <f>IF(mental_health[Sleep_Hours]&lt;5,"Low",IF(mental_health[Sleep_Hours]&lt;7,"Medium","Good"))</f>
        <v>Medium</v>
      </c>
      <c r="U691" t="str">
        <f>IF(mental_health[Stress_Level]&lt;=3,"Low",IF(mental_health[Stress_Level]&lt;=7,"Medium","High"))</f>
        <v>Low</v>
      </c>
      <c r="V691" t="str">
        <f>IF(mental_health[Daily_Screen_Time]&lt;=4,"Low",IF(mental_health[Daily_Screen_Time]&lt;=8,"Medium","High"))</f>
        <v>Low</v>
      </c>
    </row>
    <row r="692" spans="1:22" x14ac:dyDescent="0.3">
      <c r="A692">
        <v>691</v>
      </c>
      <c r="B692">
        <v>56</v>
      </c>
      <c r="C692" t="s">
        <v>18</v>
      </c>
      <c r="D692" t="s">
        <v>19</v>
      </c>
      <c r="E692">
        <v>7.8</v>
      </c>
      <c r="F692">
        <v>7</v>
      </c>
      <c r="G692">
        <v>0</v>
      </c>
      <c r="H692" t="str">
        <f t="shared" si="10"/>
        <v>No Night Usage</v>
      </c>
      <c r="I692">
        <v>4.7</v>
      </c>
      <c r="J692" s="3">
        <v>2</v>
      </c>
      <c r="K692">
        <v>10.199999999999999</v>
      </c>
      <c r="L692" t="s">
        <v>20</v>
      </c>
      <c r="M692">
        <v>10</v>
      </c>
      <c r="N692">
        <v>4</v>
      </c>
      <c r="O692">
        <v>1</v>
      </c>
      <c r="P692">
        <v>1</v>
      </c>
      <c r="Q692">
        <v>0</v>
      </c>
      <c r="R692">
        <v>0</v>
      </c>
      <c r="S692">
        <v>0</v>
      </c>
      <c r="T692" t="str">
        <f>IF(mental_health[Sleep_Hours]&lt;5,"Low",IF(mental_health[Sleep_Hours]&lt;7,"Medium","Good"))</f>
        <v>Low</v>
      </c>
      <c r="U692" t="str">
        <f>IF(mental_health[Stress_Level]&lt;=3,"Low",IF(mental_health[Stress_Level]&lt;=7,"Medium","High"))</f>
        <v>Low</v>
      </c>
      <c r="V692" t="str">
        <f>IF(mental_health[Daily_Screen_Time]&lt;=4,"Low",IF(mental_health[Daily_Screen_Time]&lt;=8,"Medium","High"))</f>
        <v>Medium</v>
      </c>
    </row>
    <row r="693" spans="1:22" x14ac:dyDescent="0.3">
      <c r="A693">
        <v>692</v>
      </c>
      <c r="B693">
        <v>50</v>
      </c>
      <c r="C693" t="s">
        <v>18</v>
      </c>
      <c r="D693" t="s">
        <v>24</v>
      </c>
      <c r="E693">
        <v>11.4</v>
      </c>
      <c r="F693">
        <v>5.8</v>
      </c>
      <c r="G693">
        <v>0</v>
      </c>
      <c r="H693" t="str">
        <f t="shared" si="10"/>
        <v>No Night Usage</v>
      </c>
      <c r="I693">
        <v>4</v>
      </c>
      <c r="J693" s="3">
        <v>1</v>
      </c>
      <c r="K693">
        <v>5.6</v>
      </c>
      <c r="L693" t="s">
        <v>20</v>
      </c>
      <c r="M693">
        <v>8</v>
      </c>
      <c r="N693">
        <v>0</v>
      </c>
      <c r="O693">
        <v>1</v>
      </c>
      <c r="P693">
        <v>1</v>
      </c>
      <c r="Q693">
        <v>1</v>
      </c>
      <c r="R693">
        <v>1</v>
      </c>
      <c r="S693">
        <v>1</v>
      </c>
      <c r="T693" t="str">
        <f>IF(mental_health[Sleep_Hours]&lt;5,"Low",IF(mental_health[Sleep_Hours]&lt;7,"Medium","Good"))</f>
        <v>Low</v>
      </c>
      <c r="U693" t="str">
        <f>IF(mental_health[Stress_Level]&lt;=3,"Low",IF(mental_health[Stress_Level]&lt;=7,"Medium","High"))</f>
        <v>Low</v>
      </c>
      <c r="V693" t="str">
        <f>IF(mental_health[Daily_Screen_Time]&lt;=4,"Low",IF(mental_health[Daily_Screen_Time]&lt;=8,"Medium","High"))</f>
        <v>High</v>
      </c>
    </row>
    <row r="694" spans="1:22" x14ac:dyDescent="0.3">
      <c r="A694">
        <v>693</v>
      </c>
      <c r="B694">
        <v>16</v>
      </c>
      <c r="C694" t="s">
        <v>23</v>
      </c>
      <c r="D694" t="s">
        <v>19</v>
      </c>
      <c r="E694">
        <v>3.7</v>
      </c>
      <c r="F694">
        <v>1.4</v>
      </c>
      <c r="G694">
        <v>0</v>
      </c>
      <c r="H694" t="str">
        <f t="shared" si="10"/>
        <v>No Night Usage</v>
      </c>
      <c r="I694">
        <v>6.3</v>
      </c>
      <c r="J694" s="3">
        <v>10</v>
      </c>
      <c r="K694">
        <v>3</v>
      </c>
      <c r="L694" t="s">
        <v>25</v>
      </c>
      <c r="M694">
        <v>5</v>
      </c>
      <c r="N694">
        <v>2</v>
      </c>
      <c r="O694">
        <v>0</v>
      </c>
      <c r="P694">
        <v>0</v>
      </c>
      <c r="Q694">
        <v>1</v>
      </c>
      <c r="R694">
        <v>1</v>
      </c>
      <c r="S694">
        <v>1</v>
      </c>
      <c r="T694" t="str">
        <f>IF(mental_health[Sleep_Hours]&lt;5,"Low",IF(mental_health[Sleep_Hours]&lt;7,"Medium","Good"))</f>
        <v>Medium</v>
      </c>
      <c r="U694" t="str">
        <f>IF(mental_health[Stress_Level]&lt;=3,"Low",IF(mental_health[Stress_Level]&lt;=7,"Medium","High"))</f>
        <v>High</v>
      </c>
      <c r="V694" t="str">
        <f>IF(mental_health[Daily_Screen_Time]&lt;=4,"Low",IF(mental_health[Daily_Screen_Time]&lt;=8,"Medium","High"))</f>
        <v>Low</v>
      </c>
    </row>
    <row r="695" spans="1:22" x14ac:dyDescent="0.3">
      <c r="A695">
        <v>694</v>
      </c>
      <c r="B695">
        <v>36</v>
      </c>
      <c r="C695" t="s">
        <v>18</v>
      </c>
      <c r="D695" t="s">
        <v>19</v>
      </c>
      <c r="E695">
        <v>6.7</v>
      </c>
      <c r="F695">
        <v>6.5</v>
      </c>
      <c r="G695">
        <v>1</v>
      </c>
      <c r="H695" t="str">
        <f t="shared" si="10"/>
        <v>Night Usage</v>
      </c>
      <c r="I695">
        <v>6.2</v>
      </c>
      <c r="J695" s="3">
        <v>2</v>
      </c>
      <c r="K695">
        <v>9.6</v>
      </c>
      <c r="L695" t="s">
        <v>25</v>
      </c>
      <c r="M695">
        <v>8</v>
      </c>
      <c r="N695">
        <v>1</v>
      </c>
      <c r="O695">
        <v>1</v>
      </c>
      <c r="P695">
        <v>1</v>
      </c>
      <c r="Q695">
        <v>0</v>
      </c>
      <c r="R695">
        <v>0</v>
      </c>
      <c r="S695">
        <v>1</v>
      </c>
      <c r="T695" t="str">
        <f>IF(mental_health[Sleep_Hours]&lt;5,"Low",IF(mental_health[Sleep_Hours]&lt;7,"Medium","Good"))</f>
        <v>Medium</v>
      </c>
      <c r="U695" t="str">
        <f>IF(mental_health[Stress_Level]&lt;=3,"Low",IF(mental_health[Stress_Level]&lt;=7,"Medium","High"))</f>
        <v>Low</v>
      </c>
      <c r="V695" t="str">
        <f>IF(mental_health[Daily_Screen_Time]&lt;=4,"Low",IF(mental_health[Daily_Screen_Time]&lt;=8,"Medium","High"))</f>
        <v>Medium</v>
      </c>
    </row>
    <row r="696" spans="1:22" x14ac:dyDescent="0.3">
      <c r="A696">
        <v>695</v>
      </c>
      <c r="B696">
        <v>21</v>
      </c>
      <c r="C696" t="s">
        <v>23</v>
      </c>
      <c r="D696" t="s">
        <v>22</v>
      </c>
      <c r="E696">
        <v>2.9</v>
      </c>
      <c r="F696">
        <v>6.9</v>
      </c>
      <c r="G696">
        <v>0</v>
      </c>
      <c r="H696" t="str">
        <f t="shared" si="10"/>
        <v>No Night Usage</v>
      </c>
      <c r="I696">
        <v>3.5</v>
      </c>
      <c r="J696" s="3">
        <v>6</v>
      </c>
      <c r="K696">
        <v>8</v>
      </c>
      <c r="L696" t="s">
        <v>21</v>
      </c>
      <c r="M696">
        <v>8</v>
      </c>
      <c r="N696">
        <v>3</v>
      </c>
      <c r="O696">
        <v>1</v>
      </c>
      <c r="P696">
        <v>1</v>
      </c>
      <c r="Q696">
        <v>0</v>
      </c>
      <c r="R696">
        <v>0</v>
      </c>
      <c r="S696">
        <v>0</v>
      </c>
      <c r="T696" t="str">
        <f>IF(mental_health[Sleep_Hours]&lt;5,"Low",IF(mental_health[Sleep_Hours]&lt;7,"Medium","Good"))</f>
        <v>Low</v>
      </c>
      <c r="U696" t="str">
        <f>IF(mental_health[Stress_Level]&lt;=3,"Low",IF(mental_health[Stress_Level]&lt;=7,"Medium","High"))</f>
        <v>Medium</v>
      </c>
      <c r="V696" t="str">
        <f>IF(mental_health[Daily_Screen_Time]&lt;=4,"Low",IF(mental_health[Daily_Screen_Time]&lt;=8,"Medium","High"))</f>
        <v>Low</v>
      </c>
    </row>
    <row r="697" spans="1:22" x14ac:dyDescent="0.3">
      <c r="A697">
        <v>696</v>
      </c>
      <c r="B697">
        <v>43</v>
      </c>
      <c r="C697" t="s">
        <v>18</v>
      </c>
      <c r="D697" t="s">
        <v>19</v>
      </c>
      <c r="E697">
        <v>8.3000000000000007</v>
      </c>
      <c r="F697">
        <v>6.6</v>
      </c>
      <c r="G697">
        <v>1</v>
      </c>
      <c r="H697" t="str">
        <f t="shared" si="10"/>
        <v>Night Usage</v>
      </c>
      <c r="I697">
        <v>7.2</v>
      </c>
      <c r="J697" s="3">
        <v>3</v>
      </c>
      <c r="K697">
        <v>4.7</v>
      </c>
      <c r="L697" t="s">
        <v>25</v>
      </c>
      <c r="M697">
        <v>3</v>
      </c>
      <c r="N697">
        <v>3</v>
      </c>
      <c r="O697">
        <v>0</v>
      </c>
      <c r="P697">
        <v>0</v>
      </c>
      <c r="Q697">
        <v>1</v>
      </c>
      <c r="R697">
        <v>1</v>
      </c>
      <c r="S697">
        <v>0</v>
      </c>
      <c r="T697" t="str">
        <f>IF(mental_health[Sleep_Hours]&lt;5,"Low",IF(mental_health[Sleep_Hours]&lt;7,"Medium","Good"))</f>
        <v>Good</v>
      </c>
      <c r="U697" t="str">
        <f>IF(mental_health[Stress_Level]&lt;=3,"Low",IF(mental_health[Stress_Level]&lt;=7,"Medium","High"))</f>
        <v>Low</v>
      </c>
      <c r="V697" t="str">
        <f>IF(mental_health[Daily_Screen_Time]&lt;=4,"Low",IF(mental_health[Daily_Screen_Time]&lt;=8,"Medium","High"))</f>
        <v>High</v>
      </c>
    </row>
    <row r="698" spans="1:22" x14ac:dyDescent="0.3">
      <c r="A698">
        <v>697</v>
      </c>
      <c r="B698">
        <v>32</v>
      </c>
      <c r="C698" t="s">
        <v>23</v>
      </c>
      <c r="D698" t="s">
        <v>19</v>
      </c>
      <c r="E698">
        <v>7.5</v>
      </c>
      <c r="F698">
        <v>4.5999999999999996</v>
      </c>
      <c r="G698">
        <v>0</v>
      </c>
      <c r="H698" t="str">
        <f t="shared" si="10"/>
        <v>No Night Usage</v>
      </c>
      <c r="I698">
        <v>6.7</v>
      </c>
      <c r="J698" s="3">
        <v>10</v>
      </c>
      <c r="K698">
        <v>4.5</v>
      </c>
      <c r="L698" t="s">
        <v>20</v>
      </c>
      <c r="M698">
        <v>5</v>
      </c>
      <c r="N698">
        <v>2</v>
      </c>
      <c r="O698">
        <v>0</v>
      </c>
      <c r="P698">
        <v>0</v>
      </c>
      <c r="Q698">
        <v>1</v>
      </c>
      <c r="R698">
        <v>0</v>
      </c>
      <c r="S698">
        <v>1</v>
      </c>
      <c r="T698" t="str">
        <f>IF(mental_health[Sleep_Hours]&lt;5,"Low",IF(mental_health[Sleep_Hours]&lt;7,"Medium","Good"))</f>
        <v>Medium</v>
      </c>
      <c r="U698" t="str">
        <f>IF(mental_health[Stress_Level]&lt;=3,"Low",IF(mental_health[Stress_Level]&lt;=7,"Medium","High"))</f>
        <v>High</v>
      </c>
      <c r="V698" t="str">
        <f>IF(mental_health[Daily_Screen_Time]&lt;=4,"Low",IF(mental_health[Daily_Screen_Time]&lt;=8,"Medium","High"))</f>
        <v>Medium</v>
      </c>
    </row>
    <row r="699" spans="1:22" x14ac:dyDescent="0.3">
      <c r="A699">
        <v>698</v>
      </c>
      <c r="B699">
        <v>20</v>
      </c>
      <c r="C699" t="s">
        <v>23</v>
      </c>
      <c r="D699" t="s">
        <v>24</v>
      </c>
      <c r="E699">
        <v>6.1</v>
      </c>
      <c r="F699">
        <v>2.6</v>
      </c>
      <c r="G699">
        <v>0</v>
      </c>
      <c r="H699" t="str">
        <f t="shared" si="10"/>
        <v>No Night Usage</v>
      </c>
      <c r="I699">
        <v>4.0999999999999996</v>
      </c>
      <c r="J699" s="3">
        <v>5</v>
      </c>
      <c r="K699">
        <v>11.8</v>
      </c>
      <c r="L699" t="s">
        <v>21</v>
      </c>
      <c r="M699">
        <v>7</v>
      </c>
      <c r="N699">
        <v>1</v>
      </c>
      <c r="O699">
        <v>0</v>
      </c>
      <c r="P699">
        <v>0</v>
      </c>
      <c r="Q699">
        <v>0</v>
      </c>
      <c r="R699">
        <v>0</v>
      </c>
      <c r="S699">
        <v>1</v>
      </c>
      <c r="T699" t="str">
        <f>IF(mental_health[Sleep_Hours]&lt;5,"Low",IF(mental_health[Sleep_Hours]&lt;7,"Medium","Good"))</f>
        <v>Low</v>
      </c>
      <c r="U699" t="str">
        <f>IF(mental_health[Stress_Level]&lt;=3,"Low",IF(mental_health[Stress_Level]&lt;=7,"Medium","High"))</f>
        <v>Medium</v>
      </c>
      <c r="V699" t="str">
        <f>IF(mental_health[Daily_Screen_Time]&lt;=4,"Low",IF(mental_health[Daily_Screen_Time]&lt;=8,"Medium","High"))</f>
        <v>Medium</v>
      </c>
    </row>
    <row r="700" spans="1:22" x14ac:dyDescent="0.3">
      <c r="A700">
        <v>699</v>
      </c>
      <c r="B700">
        <v>46</v>
      </c>
      <c r="C700" t="s">
        <v>18</v>
      </c>
      <c r="D700" t="s">
        <v>19</v>
      </c>
      <c r="E700">
        <v>7.2</v>
      </c>
      <c r="F700">
        <v>6.9</v>
      </c>
      <c r="G700">
        <v>0</v>
      </c>
      <c r="H700" t="str">
        <f t="shared" si="10"/>
        <v>No Night Usage</v>
      </c>
      <c r="I700">
        <v>5.8</v>
      </c>
      <c r="J700" s="3">
        <v>1</v>
      </c>
      <c r="K700">
        <v>10.6</v>
      </c>
      <c r="L700" t="s">
        <v>25</v>
      </c>
      <c r="M700">
        <v>5</v>
      </c>
      <c r="N700">
        <v>0</v>
      </c>
      <c r="O700">
        <v>0</v>
      </c>
      <c r="P700">
        <v>1</v>
      </c>
      <c r="Q700">
        <v>0</v>
      </c>
      <c r="R700">
        <v>0</v>
      </c>
      <c r="S700">
        <v>0</v>
      </c>
      <c r="T700" t="str">
        <f>IF(mental_health[Sleep_Hours]&lt;5,"Low",IF(mental_health[Sleep_Hours]&lt;7,"Medium","Good"))</f>
        <v>Medium</v>
      </c>
      <c r="U700" t="str">
        <f>IF(mental_health[Stress_Level]&lt;=3,"Low",IF(mental_health[Stress_Level]&lt;=7,"Medium","High"))</f>
        <v>Low</v>
      </c>
      <c r="V700" t="str">
        <f>IF(mental_health[Daily_Screen_Time]&lt;=4,"Low",IF(mental_health[Daily_Screen_Time]&lt;=8,"Medium","High"))</f>
        <v>Medium</v>
      </c>
    </row>
    <row r="701" spans="1:22" x14ac:dyDescent="0.3">
      <c r="A701">
        <v>700</v>
      </c>
      <c r="B701">
        <v>20</v>
      </c>
      <c r="C701" t="s">
        <v>23</v>
      </c>
      <c r="D701" t="s">
        <v>24</v>
      </c>
      <c r="E701">
        <v>11</v>
      </c>
      <c r="F701">
        <v>6.1</v>
      </c>
      <c r="G701">
        <v>1</v>
      </c>
      <c r="H701" t="str">
        <f t="shared" si="10"/>
        <v>Night Usage</v>
      </c>
      <c r="I701">
        <v>7.3</v>
      </c>
      <c r="J701" s="3">
        <v>8</v>
      </c>
      <c r="K701">
        <v>10.1</v>
      </c>
      <c r="L701" t="s">
        <v>21</v>
      </c>
      <c r="M701">
        <v>6</v>
      </c>
      <c r="N701">
        <v>3</v>
      </c>
      <c r="O701">
        <v>0</v>
      </c>
      <c r="P701">
        <v>0</v>
      </c>
      <c r="Q701">
        <v>0</v>
      </c>
      <c r="R701">
        <v>1</v>
      </c>
      <c r="S701">
        <v>1</v>
      </c>
      <c r="T701" t="str">
        <f>IF(mental_health[Sleep_Hours]&lt;5,"Low",IF(mental_health[Sleep_Hours]&lt;7,"Medium","Good"))</f>
        <v>Good</v>
      </c>
      <c r="U701" t="str">
        <f>IF(mental_health[Stress_Level]&lt;=3,"Low",IF(mental_health[Stress_Level]&lt;=7,"Medium","High"))</f>
        <v>High</v>
      </c>
      <c r="V701" t="str">
        <f>IF(mental_health[Daily_Screen_Time]&lt;=4,"Low",IF(mental_health[Daily_Screen_Time]&lt;=8,"Medium","High"))</f>
        <v>High</v>
      </c>
    </row>
    <row r="702" spans="1:22" x14ac:dyDescent="0.3">
      <c r="A702">
        <v>701</v>
      </c>
      <c r="B702">
        <v>53</v>
      </c>
      <c r="C702" t="s">
        <v>23</v>
      </c>
      <c r="D702" t="s">
        <v>19</v>
      </c>
      <c r="E702">
        <v>4</v>
      </c>
      <c r="F702">
        <v>7.9</v>
      </c>
      <c r="G702">
        <v>0</v>
      </c>
      <c r="H702" t="str">
        <f t="shared" si="10"/>
        <v>No Night Usage</v>
      </c>
      <c r="I702">
        <v>6.2</v>
      </c>
      <c r="J702" s="3">
        <v>4</v>
      </c>
      <c r="K702">
        <v>3.3</v>
      </c>
      <c r="L702" t="s">
        <v>21</v>
      </c>
      <c r="M702">
        <v>2</v>
      </c>
      <c r="N702">
        <v>2</v>
      </c>
      <c r="O702">
        <v>0</v>
      </c>
      <c r="P702">
        <v>1</v>
      </c>
      <c r="Q702">
        <v>1</v>
      </c>
      <c r="R702">
        <v>1</v>
      </c>
      <c r="S702">
        <v>1</v>
      </c>
      <c r="T702" t="str">
        <f>IF(mental_health[Sleep_Hours]&lt;5,"Low",IF(mental_health[Sleep_Hours]&lt;7,"Medium","Good"))</f>
        <v>Medium</v>
      </c>
      <c r="U702" t="str">
        <f>IF(mental_health[Stress_Level]&lt;=3,"Low",IF(mental_health[Stress_Level]&lt;=7,"Medium","High"))</f>
        <v>Medium</v>
      </c>
      <c r="V702" t="str">
        <f>IF(mental_health[Daily_Screen_Time]&lt;=4,"Low",IF(mental_health[Daily_Screen_Time]&lt;=8,"Medium","High"))</f>
        <v>Low</v>
      </c>
    </row>
    <row r="703" spans="1:22" x14ac:dyDescent="0.3">
      <c r="A703">
        <v>702</v>
      </c>
      <c r="B703">
        <v>18</v>
      </c>
      <c r="C703" t="s">
        <v>18</v>
      </c>
      <c r="D703" t="s">
        <v>19</v>
      </c>
      <c r="E703">
        <v>2.2000000000000002</v>
      </c>
      <c r="F703">
        <v>2.1</v>
      </c>
      <c r="G703">
        <v>0</v>
      </c>
      <c r="H703" t="str">
        <f t="shared" si="10"/>
        <v>No Night Usage</v>
      </c>
      <c r="I703">
        <v>5.4</v>
      </c>
      <c r="J703" s="3">
        <v>9</v>
      </c>
      <c r="K703">
        <v>9.6</v>
      </c>
      <c r="L703" t="s">
        <v>21</v>
      </c>
      <c r="M703">
        <v>8</v>
      </c>
      <c r="N703">
        <v>3</v>
      </c>
      <c r="O703">
        <v>0</v>
      </c>
      <c r="P703">
        <v>0</v>
      </c>
      <c r="Q703">
        <v>1</v>
      </c>
      <c r="R703">
        <v>1</v>
      </c>
      <c r="S703">
        <v>1</v>
      </c>
      <c r="T703" t="str">
        <f>IF(mental_health[Sleep_Hours]&lt;5,"Low",IF(mental_health[Sleep_Hours]&lt;7,"Medium","Good"))</f>
        <v>Medium</v>
      </c>
      <c r="U703" t="str">
        <f>IF(mental_health[Stress_Level]&lt;=3,"Low",IF(mental_health[Stress_Level]&lt;=7,"Medium","High"))</f>
        <v>High</v>
      </c>
      <c r="V703" t="str">
        <f>IF(mental_health[Daily_Screen_Time]&lt;=4,"Low",IF(mental_health[Daily_Screen_Time]&lt;=8,"Medium","High"))</f>
        <v>Low</v>
      </c>
    </row>
    <row r="704" spans="1:22" x14ac:dyDescent="0.3">
      <c r="A704">
        <v>703</v>
      </c>
      <c r="B704">
        <v>38</v>
      </c>
      <c r="C704" t="s">
        <v>23</v>
      </c>
      <c r="D704" t="s">
        <v>24</v>
      </c>
      <c r="E704">
        <v>10.6</v>
      </c>
      <c r="F704">
        <v>2.6</v>
      </c>
      <c r="G704">
        <v>0</v>
      </c>
      <c r="H704" t="str">
        <f t="shared" si="10"/>
        <v>No Night Usage</v>
      </c>
      <c r="I704">
        <v>4.9000000000000004</v>
      </c>
      <c r="J704" s="3">
        <v>4</v>
      </c>
      <c r="K704">
        <v>4.0999999999999996</v>
      </c>
      <c r="L704" t="s">
        <v>20</v>
      </c>
      <c r="M704">
        <v>5</v>
      </c>
      <c r="N704">
        <v>1</v>
      </c>
      <c r="O704">
        <v>0</v>
      </c>
      <c r="P704">
        <v>0</v>
      </c>
      <c r="Q704">
        <v>1</v>
      </c>
      <c r="R704">
        <v>1</v>
      </c>
      <c r="S704">
        <v>0</v>
      </c>
      <c r="T704" t="str">
        <f>IF(mental_health[Sleep_Hours]&lt;5,"Low",IF(mental_health[Sleep_Hours]&lt;7,"Medium","Good"))</f>
        <v>Low</v>
      </c>
      <c r="U704" t="str">
        <f>IF(mental_health[Stress_Level]&lt;=3,"Low",IF(mental_health[Stress_Level]&lt;=7,"Medium","High"))</f>
        <v>Medium</v>
      </c>
      <c r="V704" t="str">
        <f>IF(mental_health[Daily_Screen_Time]&lt;=4,"Low",IF(mental_health[Daily_Screen_Time]&lt;=8,"Medium","High"))</f>
        <v>High</v>
      </c>
    </row>
    <row r="705" spans="1:22" x14ac:dyDescent="0.3">
      <c r="A705">
        <v>704</v>
      </c>
      <c r="B705">
        <v>52</v>
      </c>
      <c r="C705" t="s">
        <v>23</v>
      </c>
      <c r="D705" t="s">
        <v>22</v>
      </c>
      <c r="E705">
        <v>7.8</v>
      </c>
      <c r="F705">
        <v>2.5</v>
      </c>
      <c r="G705">
        <v>0</v>
      </c>
      <c r="H705" t="str">
        <f t="shared" si="10"/>
        <v>No Night Usage</v>
      </c>
      <c r="I705">
        <v>6.7</v>
      </c>
      <c r="J705" s="3">
        <v>2</v>
      </c>
      <c r="K705">
        <v>11.8</v>
      </c>
      <c r="L705" t="s">
        <v>20</v>
      </c>
      <c r="M705">
        <v>6</v>
      </c>
      <c r="N705">
        <v>0</v>
      </c>
      <c r="O705">
        <v>1</v>
      </c>
      <c r="P705">
        <v>0</v>
      </c>
      <c r="Q705">
        <v>0</v>
      </c>
      <c r="R705">
        <v>1</v>
      </c>
      <c r="S705">
        <v>0</v>
      </c>
      <c r="T705" t="str">
        <f>IF(mental_health[Sleep_Hours]&lt;5,"Low",IF(mental_health[Sleep_Hours]&lt;7,"Medium","Good"))</f>
        <v>Medium</v>
      </c>
      <c r="U705" t="str">
        <f>IF(mental_health[Stress_Level]&lt;=3,"Low",IF(mental_health[Stress_Level]&lt;=7,"Medium","High"))</f>
        <v>Low</v>
      </c>
      <c r="V705" t="str">
        <f>IF(mental_health[Daily_Screen_Time]&lt;=4,"Low",IF(mental_health[Daily_Screen_Time]&lt;=8,"Medium","High"))</f>
        <v>Medium</v>
      </c>
    </row>
    <row r="706" spans="1:22" x14ac:dyDescent="0.3">
      <c r="A706">
        <v>705</v>
      </c>
      <c r="B706">
        <v>52</v>
      </c>
      <c r="C706" t="s">
        <v>23</v>
      </c>
      <c r="D706" t="s">
        <v>24</v>
      </c>
      <c r="E706">
        <v>10.9</v>
      </c>
      <c r="F706">
        <v>6.5</v>
      </c>
      <c r="G706">
        <v>1</v>
      </c>
      <c r="H706" t="str">
        <f t="shared" ref="H706:H769" si="11">IF(G706=1,"Night Usage","No Night Usage")</f>
        <v>Night Usage</v>
      </c>
      <c r="I706">
        <v>8.6</v>
      </c>
      <c r="J706" s="3">
        <v>3</v>
      </c>
      <c r="K706">
        <v>2.5</v>
      </c>
      <c r="L706" t="s">
        <v>25</v>
      </c>
      <c r="M706">
        <v>1</v>
      </c>
      <c r="N706">
        <v>1</v>
      </c>
      <c r="O706">
        <v>0</v>
      </c>
      <c r="P706">
        <v>1</v>
      </c>
      <c r="Q706">
        <v>1</v>
      </c>
      <c r="R706">
        <v>1</v>
      </c>
      <c r="S706">
        <v>1</v>
      </c>
      <c r="T706" t="str">
        <f>IF(mental_health[Sleep_Hours]&lt;5,"Low",IF(mental_health[Sleep_Hours]&lt;7,"Medium","Good"))</f>
        <v>Good</v>
      </c>
      <c r="U706" t="str">
        <f>IF(mental_health[Stress_Level]&lt;=3,"Low",IF(mental_health[Stress_Level]&lt;=7,"Medium","High"))</f>
        <v>Low</v>
      </c>
      <c r="V706" t="str">
        <f>IF(mental_health[Daily_Screen_Time]&lt;=4,"Low",IF(mental_health[Daily_Screen_Time]&lt;=8,"Medium","High"))</f>
        <v>High</v>
      </c>
    </row>
    <row r="707" spans="1:22" x14ac:dyDescent="0.3">
      <c r="A707">
        <v>706</v>
      </c>
      <c r="B707">
        <v>25</v>
      </c>
      <c r="C707" t="s">
        <v>18</v>
      </c>
      <c r="D707" t="s">
        <v>24</v>
      </c>
      <c r="E707">
        <v>8</v>
      </c>
      <c r="F707">
        <v>2.2999999999999998</v>
      </c>
      <c r="G707">
        <v>1</v>
      </c>
      <c r="H707" t="str">
        <f t="shared" si="11"/>
        <v>Night Usage</v>
      </c>
      <c r="I707">
        <v>7</v>
      </c>
      <c r="J707" s="3">
        <v>5</v>
      </c>
      <c r="K707">
        <v>5.5</v>
      </c>
      <c r="L707" t="s">
        <v>20</v>
      </c>
      <c r="M707">
        <v>10</v>
      </c>
      <c r="N707">
        <v>4</v>
      </c>
      <c r="O707">
        <v>1</v>
      </c>
      <c r="P707">
        <v>1</v>
      </c>
      <c r="Q707">
        <v>0</v>
      </c>
      <c r="R707">
        <v>1</v>
      </c>
      <c r="S707">
        <v>1</v>
      </c>
      <c r="T707" t="str">
        <f>IF(mental_health[Sleep_Hours]&lt;5,"Low",IF(mental_health[Sleep_Hours]&lt;7,"Medium","Good"))</f>
        <v>Good</v>
      </c>
      <c r="U707" t="str">
        <f>IF(mental_health[Stress_Level]&lt;=3,"Low",IF(mental_health[Stress_Level]&lt;=7,"Medium","High"))</f>
        <v>Medium</v>
      </c>
      <c r="V707" t="str">
        <f>IF(mental_health[Daily_Screen_Time]&lt;=4,"Low",IF(mental_health[Daily_Screen_Time]&lt;=8,"Medium","High"))</f>
        <v>Medium</v>
      </c>
    </row>
    <row r="708" spans="1:22" x14ac:dyDescent="0.3">
      <c r="A708">
        <v>707</v>
      </c>
      <c r="B708">
        <v>25</v>
      </c>
      <c r="C708" t="s">
        <v>18</v>
      </c>
      <c r="D708" t="s">
        <v>24</v>
      </c>
      <c r="E708">
        <v>10.1</v>
      </c>
      <c r="F708">
        <v>1.5</v>
      </c>
      <c r="G708">
        <v>1</v>
      </c>
      <c r="H708" t="str">
        <f t="shared" si="11"/>
        <v>Night Usage</v>
      </c>
      <c r="I708">
        <v>3.4</v>
      </c>
      <c r="J708" s="3">
        <v>10</v>
      </c>
      <c r="K708">
        <v>6.3</v>
      </c>
      <c r="L708" t="s">
        <v>21</v>
      </c>
      <c r="M708">
        <v>2</v>
      </c>
      <c r="N708">
        <v>1</v>
      </c>
      <c r="O708">
        <v>0</v>
      </c>
      <c r="P708">
        <v>1</v>
      </c>
      <c r="Q708">
        <v>1</v>
      </c>
      <c r="R708">
        <v>1</v>
      </c>
      <c r="S708">
        <v>0</v>
      </c>
      <c r="T708" t="str">
        <f>IF(mental_health[Sleep_Hours]&lt;5,"Low",IF(mental_health[Sleep_Hours]&lt;7,"Medium","Good"))</f>
        <v>Low</v>
      </c>
      <c r="U708" t="str">
        <f>IF(mental_health[Stress_Level]&lt;=3,"Low",IF(mental_health[Stress_Level]&lt;=7,"Medium","High"))</f>
        <v>High</v>
      </c>
      <c r="V708" t="str">
        <f>IF(mental_health[Daily_Screen_Time]&lt;=4,"Low",IF(mental_health[Daily_Screen_Time]&lt;=8,"Medium","High"))</f>
        <v>High</v>
      </c>
    </row>
    <row r="709" spans="1:22" x14ac:dyDescent="0.3">
      <c r="A709">
        <v>708</v>
      </c>
      <c r="B709">
        <v>34</v>
      </c>
      <c r="C709" t="s">
        <v>23</v>
      </c>
      <c r="D709" t="s">
        <v>22</v>
      </c>
      <c r="E709">
        <v>6.3</v>
      </c>
      <c r="F709">
        <v>8</v>
      </c>
      <c r="G709">
        <v>1</v>
      </c>
      <c r="H709" t="str">
        <f t="shared" si="11"/>
        <v>Night Usage</v>
      </c>
      <c r="I709">
        <v>5.8</v>
      </c>
      <c r="J709" s="3">
        <v>6</v>
      </c>
      <c r="K709">
        <v>10.199999999999999</v>
      </c>
      <c r="L709" t="s">
        <v>21</v>
      </c>
      <c r="M709">
        <v>4</v>
      </c>
      <c r="N709">
        <v>1</v>
      </c>
      <c r="O709">
        <v>0</v>
      </c>
      <c r="P709">
        <v>1</v>
      </c>
      <c r="Q709">
        <v>1</v>
      </c>
      <c r="R709">
        <v>0</v>
      </c>
      <c r="S709">
        <v>1</v>
      </c>
      <c r="T709" t="str">
        <f>IF(mental_health[Sleep_Hours]&lt;5,"Low",IF(mental_health[Sleep_Hours]&lt;7,"Medium","Good"))</f>
        <v>Medium</v>
      </c>
      <c r="U709" t="str">
        <f>IF(mental_health[Stress_Level]&lt;=3,"Low",IF(mental_health[Stress_Level]&lt;=7,"Medium","High"))</f>
        <v>Medium</v>
      </c>
      <c r="V709" t="str">
        <f>IF(mental_health[Daily_Screen_Time]&lt;=4,"Low",IF(mental_health[Daily_Screen_Time]&lt;=8,"Medium","High"))</f>
        <v>Medium</v>
      </c>
    </row>
    <row r="710" spans="1:22" x14ac:dyDescent="0.3">
      <c r="A710">
        <v>709</v>
      </c>
      <c r="B710">
        <v>32</v>
      </c>
      <c r="C710" t="s">
        <v>18</v>
      </c>
      <c r="D710" t="s">
        <v>19</v>
      </c>
      <c r="E710">
        <v>9.5</v>
      </c>
      <c r="F710">
        <v>1.2</v>
      </c>
      <c r="G710">
        <v>1</v>
      </c>
      <c r="H710" t="str">
        <f t="shared" si="11"/>
        <v>Night Usage</v>
      </c>
      <c r="I710">
        <v>8.3000000000000007</v>
      </c>
      <c r="J710" s="3">
        <v>7</v>
      </c>
      <c r="K710">
        <v>9.6999999999999993</v>
      </c>
      <c r="L710" t="s">
        <v>20</v>
      </c>
      <c r="M710">
        <v>9</v>
      </c>
      <c r="N710">
        <v>3</v>
      </c>
      <c r="O710">
        <v>0</v>
      </c>
      <c r="P710">
        <v>1</v>
      </c>
      <c r="Q710">
        <v>1</v>
      </c>
      <c r="R710">
        <v>1</v>
      </c>
      <c r="S710">
        <v>1</v>
      </c>
      <c r="T710" t="str">
        <f>IF(mental_health[Sleep_Hours]&lt;5,"Low",IF(mental_health[Sleep_Hours]&lt;7,"Medium","Good"))</f>
        <v>Good</v>
      </c>
      <c r="U710" t="str">
        <f>IF(mental_health[Stress_Level]&lt;=3,"Low",IF(mental_health[Stress_Level]&lt;=7,"Medium","High"))</f>
        <v>Medium</v>
      </c>
      <c r="V710" t="str">
        <f>IF(mental_health[Daily_Screen_Time]&lt;=4,"Low",IF(mental_health[Daily_Screen_Time]&lt;=8,"Medium","High"))</f>
        <v>High</v>
      </c>
    </row>
    <row r="711" spans="1:22" x14ac:dyDescent="0.3">
      <c r="A711">
        <v>710</v>
      </c>
      <c r="B711">
        <v>36</v>
      </c>
      <c r="C711" t="s">
        <v>23</v>
      </c>
      <c r="D711" t="s">
        <v>24</v>
      </c>
      <c r="E711">
        <v>11.1</v>
      </c>
      <c r="F711">
        <v>6.8</v>
      </c>
      <c r="G711">
        <v>0</v>
      </c>
      <c r="H711" t="str">
        <f t="shared" si="11"/>
        <v>No Night Usage</v>
      </c>
      <c r="I711">
        <v>3.6</v>
      </c>
      <c r="J711" s="3">
        <v>4</v>
      </c>
      <c r="K711">
        <v>5.7</v>
      </c>
      <c r="L711" t="s">
        <v>21</v>
      </c>
      <c r="M711">
        <v>6</v>
      </c>
      <c r="N711">
        <v>1</v>
      </c>
      <c r="O711">
        <v>0</v>
      </c>
      <c r="P711">
        <v>0</v>
      </c>
      <c r="Q711">
        <v>0</v>
      </c>
      <c r="R711">
        <v>1</v>
      </c>
      <c r="S711">
        <v>1</v>
      </c>
      <c r="T711" t="str">
        <f>IF(mental_health[Sleep_Hours]&lt;5,"Low",IF(mental_health[Sleep_Hours]&lt;7,"Medium","Good"))</f>
        <v>Low</v>
      </c>
      <c r="U711" t="str">
        <f>IF(mental_health[Stress_Level]&lt;=3,"Low",IF(mental_health[Stress_Level]&lt;=7,"Medium","High"))</f>
        <v>Medium</v>
      </c>
      <c r="V711" t="str">
        <f>IF(mental_health[Daily_Screen_Time]&lt;=4,"Low",IF(mental_health[Daily_Screen_Time]&lt;=8,"Medium","High"))</f>
        <v>High</v>
      </c>
    </row>
    <row r="712" spans="1:22" x14ac:dyDescent="0.3">
      <c r="A712">
        <v>711</v>
      </c>
      <c r="B712">
        <v>29</v>
      </c>
      <c r="C712" t="s">
        <v>23</v>
      </c>
      <c r="D712" t="s">
        <v>24</v>
      </c>
      <c r="E712">
        <v>7.7</v>
      </c>
      <c r="F712">
        <v>3.6</v>
      </c>
      <c r="G712">
        <v>0</v>
      </c>
      <c r="H712" t="str">
        <f t="shared" si="11"/>
        <v>No Night Usage</v>
      </c>
      <c r="I712">
        <v>8.9</v>
      </c>
      <c r="J712" s="3">
        <v>7</v>
      </c>
      <c r="K712">
        <v>7.7</v>
      </c>
      <c r="L712" t="s">
        <v>20</v>
      </c>
      <c r="M712">
        <v>8</v>
      </c>
      <c r="N712">
        <v>2</v>
      </c>
      <c r="O712">
        <v>1</v>
      </c>
      <c r="P712">
        <v>0</v>
      </c>
      <c r="Q712">
        <v>0</v>
      </c>
      <c r="R712">
        <v>1</v>
      </c>
      <c r="S712">
        <v>0</v>
      </c>
      <c r="T712" t="str">
        <f>IF(mental_health[Sleep_Hours]&lt;5,"Low",IF(mental_health[Sleep_Hours]&lt;7,"Medium","Good"))</f>
        <v>Good</v>
      </c>
      <c r="U712" t="str">
        <f>IF(mental_health[Stress_Level]&lt;=3,"Low",IF(mental_health[Stress_Level]&lt;=7,"Medium","High"))</f>
        <v>Medium</v>
      </c>
      <c r="V712" t="str">
        <f>IF(mental_health[Daily_Screen_Time]&lt;=4,"Low",IF(mental_health[Daily_Screen_Time]&lt;=8,"Medium","High"))</f>
        <v>Medium</v>
      </c>
    </row>
    <row r="713" spans="1:22" x14ac:dyDescent="0.3">
      <c r="A713">
        <v>712</v>
      </c>
      <c r="B713">
        <v>24</v>
      </c>
      <c r="C713" t="s">
        <v>23</v>
      </c>
      <c r="D713" t="s">
        <v>22</v>
      </c>
      <c r="E713">
        <v>3.8</v>
      </c>
      <c r="F713">
        <v>6.9</v>
      </c>
      <c r="G713">
        <v>0</v>
      </c>
      <c r="H713" t="str">
        <f t="shared" si="11"/>
        <v>No Night Usage</v>
      </c>
      <c r="I713">
        <v>8.6999999999999993</v>
      </c>
      <c r="J713" s="3">
        <v>10</v>
      </c>
      <c r="K713">
        <v>10.4</v>
      </c>
      <c r="L713" t="s">
        <v>21</v>
      </c>
      <c r="M713">
        <v>2</v>
      </c>
      <c r="N713">
        <v>3</v>
      </c>
      <c r="O713">
        <v>1</v>
      </c>
      <c r="P713">
        <v>0</v>
      </c>
      <c r="Q713">
        <v>1</v>
      </c>
      <c r="R713">
        <v>0</v>
      </c>
      <c r="S713">
        <v>1</v>
      </c>
      <c r="T713" t="str">
        <f>IF(mental_health[Sleep_Hours]&lt;5,"Low",IF(mental_health[Sleep_Hours]&lt;7,"Medium","Good"))</f>
        <v>Good</v>
      </c>
      <c r="U713" t="str">
        <f>IF(mental_health[Stress_Level]&lt;=3,"Low",IF(mental_health[Stress_Level]&lt;=7,"Medium","High"))</f>
        <v>High</v>
      </c>
      <c r="V713" t="str">
        <f>IF(mental_health[Daily_Screen_Time]&lt;=4,"Low",IF(mental_health[Daily_Screen_Time]&lt;=8,"Medium","High"))</f>
        <v>Low</v>
      </c>
    </row>
    <row r="714" spans="1:22" x14ac:dyDescent="0.3">
      <c r="A714">
        <v>713</v>
      </c>
      <c r="B714">
        <v>16</v>
      </c>
      <c r="C714" t="s">
        <v>23</v>
      </c>
      <c r="D714" t="s">
        <v>24</v>
      </c>
      <c r="E714">
        <v>4.7</v>
      </c>
      <c r="F714">
        <v>4.9000000000000004</v>
      </c>
      <c r="G714">
        <v>1</v>
      </c>
      <c r="H714" t="str">
        <f t="shared" si="11"/>
        <v>Night Usage</v>
      </c>
      <c r="I714">
        <v>3.5</v>
      </c>
      <c r="J714" s="3">
        <v>3</v>
      </c>
      <c r="K714">
        <v>2.2000000000000002</v>
      </c>
      <c r="L714" t="s">
        <v>25</v>
      </c>
      <c r="M714">
        <v>10</v>
      </c>
      <c r="N714">
        <v>3</v>
      </c>
      <c r="O714">
        <v>0</v>
      </c>
      <c r="P714">
        <v>0</v>
      </c>
      <c r="Q714">
        <v>0</v>
      </c>
      <c r="R714">
        <v>1</v>
      </c>
      <c r="S714">
        <v>0</v>
      </c>
      <c r="T714" t="str">
        <f>IF(mental_health[Sleep_Hours]&lt;5,"Low",IF(mental_health[Sleep_Hours]&lt;7,"Medium","Good"))</f>
        <v>Low</v>
      </c>
      <c r="U714" t="str">
        <f>IF(mental_health[Stress_Level]&lt;=3,"Low",IF(mental_health[Stress_Level]&lt;=7,"Medium","High"))</f>
        <v>Low</v>
      </c>
      <c r="V714" t="str">
        <f>IF(mental_health[Daily_Screen_Time]&lt;=4,"Low",IF(mental_health[Daily_Screen_Time]&lt;=8,"Medium","High"))</f>
        <v>Medium</v>
      </c>
    </row>
    <row r="715" spans="1:22" x14ac:dyDescent="0.3">
      <c r="A715">
        <v>714</v>
      </c>
      <c r="B715">
        <v>28</v>
      </c>
      <c r="C715" t="s">
        <v>23</v>
      </c>
      <c r="D715" t="s">
        <v>19</v>
      </c>
      <c r="E715">
        <v>4</v>
      </c>
      <c r="F715">
        <v>7.3</v>
      </c>
      <c r="G715">
        <v>0</v>
      </c>
      <c r="H715" t="str">
        <f t="shared" si="11"/>
        <v>No Night Usage</v>
      </c>
      <c r="I715">
        <v>8.6</v>
      </c>
      <c r="J715" s="3">
        <v>7</v>
      </c>
      <c r="K715">
        <v>10</v>
      </c>
      <c r="L715" t="s">
        <v>25</v>
      </c>
      <c r="M715">
        <v>5</v>
      </c>
      <c r="N715">
        <v>4</v>
      </c>
      <c r="O715">
        <v>1</v>
      </c>
      <c r="P715">
        <v>1</v>
      </c>
      <c r="Q715">
        <v>1</v>
      </c>
      <c r="R715">
        <v>0</v>
      </c>
      <c r="S715">
        <v>1</v>
      </c>
      <c r="T715" t="str">
        <f>IF(mental_health[Sleep_Hours]&lt;5,"Low",IF(mental_health[Sleep_Hours]&lt;7,"Medium","Good"))</f>
        <v>Good</v>
      </c>
      <c r="U715" t="str">
        <f>IF(mental_health[Stress_Level]&lt;=3,"Low",IF(mental_health[Stress_Level]&lt;=7,"Medium","High"))</f>
        <v>Medium</v>
      </c>
      <c r="V715" t="str">
        <f>IF(mental_health[Daily_Screen_Time]&lt;=4,"Low",IF(mental_health[Daily_Screen_Time]&lt;=8,"Medium","High"))</f>
        <v>Low</v>
      </c>
    </row>
    <row r="716" spans="1:22" x14ac:dyDescent="0.3">
      <c r="A716">
        <v>715</v>
      </c>
      <c r="B716">
        <v>19</v>
      </c>
      <c r="C716" t="s">
        <v>18</v>
      </c>
      <c r="D716" t="s">
        <v>22</v>
      </c>
      <c r="E716">
        <v>4.5</v>
      </c>
      <c r="F716">
        <v>7.5</v>
      </c>
      <c r="G716">
        <v>1</v>
      </c>
      <c r="H716" t="str">
        <f t="shared" si="11"/>
        <v>Night Usage</v>
      </c>
      <c r="I716">
        <v>5.2</v>
      </c>
      <c r="J716" s="3">
        <v>4</v>
      </c>
      <c r="K716">
        <v>11.5</v>
      </c>
      <c r="L716" t="s">
        <v>20</v>
      </c>
      <c r="M716">
        <v>1</v>
      </c>
      <c r="N716">
        <v>2</v>
      </c>
      <c r="O716">
        <v>0</v>
      </c>
      <c r="P716">
        <v>1</v>
      </c>
      <c r="Q716">
        <v>0</v>
      </c>
      <c r="R716">
        <v>1</v>
      </c>
      <c r="S716">
        <v>1</v>
      </c>
      <c r="T716" t="str">
        <f>IF(mental_health[Sleep_Hours]&lt;5,"Low",IF(mental_health[Sleep_Hours]&lt;7,"Medium","Good"))</f>
        <v>Medium</v>
      </c>
      <c r="U716" t="str">
        <f>IF(mental_health[Stress_Level]&lt;=3,"Low",IF(mental_health[Stress_Level]&lt;=7,"Medium","High"))</f>
        <v>Medium</v>
      </c>
      <c r="V716" t="str">
        <f>IF(mental_health[Daily_Screen_Time]&lt;=4,"Low",IF(mental_health[Daily_Screen_Time]&lt;=8,"Medium","High"))</f>
        <v>Medium</v>
      </c>
    </row>
    <row r="717" spans="1:22" x14ac:dyDescent="0.3">
      <c r="A717">
        <v>716</v>
      </c>
      <c r="B717">
        <v>16</v>
      </c>
      <c r="C717" t="s">
        <v>23</v>
      </c>
      <c r="D717" t="s">
        <v>19</v>
      </c>
      <c r="E717">
        <v>5.0999999999999996</v>
      </c>
      <c r="F717">
        <v>1.1000000000000001</v>
      </c>
      <c r="G717">
        <v>0</v>
      </c>
      <c r="H717" t="str">
        <f t="shared" si="11"/>
        <v>No Night Usage</v>
      </c>
      <c r="I717">
        <v>8.1</v>
      </c>
      <c r="J717" s="3">
        <v>8</v>
      </c>
      <c r="K717">
        <v>2.2999999999999998</v>
      </c>
      <c r="L717" t="s">
        <v>20</v>
      </c>
      <c r="M717">
        <v>4</v>
      </c>
      <c r="N717">
        <v>1</v>
      </c>
      <c r="O717">
        <v>1</v>
      </c>
      <c r="P717">
        <v>1</v>
      </c>
      <c r="Q717">
        <v>0</v>
      </c>
      <c r="R717">
        <v>0</v>
      </c>
      <c r="S717">
        <v>0</v>
      </c>
      <c r="T717" t="str">
        <f>IF(mental_health[Sleep_Hours]&lt;5,"Low",IF(mental_health[Sleep_Hours]&lt;7,"Medium","Good"))</f>
        <v>Good</v>
      </c>
      <c r="U717" t="str">
        <f>IF(mental_health[Stress_Level]&lt;=3,"Low",IF(mental_health[Stress_Level]&lt;=7,"Medium","High"))</f>
        <v>High</v>
      </c>
      <c r="V717" t="str">
        <f>IF(mental_health[Daily_Screen_Time]&lt;=4,"Low",IF(mental_health[Daily_Screen_Time]&lt;=8,"Medium","High"))</f>
        <v>Medium</v>
      </c>
    </row>
    <row r="718" spans="1:22" x14ac:dyDescent="0.3">
      <c r="A718">
        <v>717</v>
      </c>
      <c r="B718">
        <v>55</v>
      </c>
      <c r="C718" t="s">
        <v>18</v>
      </c>
      <c r="D718" t="s">
        <v>19</v>
      </c>
      <c r="E718">
        <v>7.6</v>
      </c>
      <c r="F718">
        <v>1.5</v>
      </c>
      <c r="G718">
        <v>1</v>
      </c>
      <c r="H718" t="str">
        <f t="shared" si="11"/>
        <v>Night Usage</v>
      </c>
      <c r="I718">
        <v>5.5</v>
      </c>
      <c r="J718" s="3">
        <v>9</v>
      </c>
      <c r="K718">
        <v>2.5</v>
      </c>
      <c r="L718" t="s">
        <v>20</v>
      </c>
      <c r="M718">
        <v>10</v>
      </c>
      <c r="N718">
        <v>4</v>
      </c>
      <c r="O718">
        <v>0</v>
      </c>
      <c r="P718">
        <v>0</v>
      </c>
      <c r="Q718">
        <v>1</v>
      </c>
      <c r="R718">
        <v>1</v>
      </c>
      <c r="S718">
        <v>0</v>
      </c>
      <c r="T718" t="str">
        <f>IF(mental_health[Sleep_Hours]&lt;5,"Low",IF(mental_health[Sleep_Hours]&lt;7,"Medium","Good"))</f>
        <v>Medium</v>
      </c>
      <c r="U718" t="str">
        <f>IF(mental_health[Stress_Level]&lt;=3,"Low",IF(mental_health[Stress_Level]&lt;=7,"Medium","High"))</f>
        <v>High</v>
      </c>
      <c r="V718" t="str">
        <f>IF(mental_health[Daily_Screen_Time]&lt;=4,"Low",IF(mental_health[Daily_Screen_Time]&lt;=8,"Medium","High"))</f>
        <v>Medium</v>
      </c>
    </row>
    <row r="719" spans="1:22" x14ac:dyDescent="0.3">
      <c r="A719">
        <v>718</v>
      </c>
      <c r="B719">
        <v>47</v>
      </c>
      <c r="C719" t="s">
        <v>18</v>
      </c>
      <c r="D719" t="s">
        <v>22</v>
      </c>
      <c r="E719">
        <v>7.9</v>
      </c>
      <c r="F719">
        <v>2.8</v>
      </c>
      <c r="G719">
        <v>0</v>
      </c>
      <c r="H719" t="str">
        <f t="shared" si="11"/>
        <v>No Night Usage</v>
      </c>
      <c r="I719">
        <v>5.6</v>
      </c>
      <c r="J719" s="3">
        <v>7</v>
      </c>
      <c r="K719">
        <v>5.4</v>
      </c>
      <c r="L719" t="s">
        <v>20</v>
      </c>
      <c r="M719">
        <v>1</v>
      </c>
      <c r="N719">
        <v>2</v>
      </c>
      <c r="O719">
        <v>1</v>
      </c>
      <c r="P719">
        <v>0</v>
      </c>
      <c r="Q719">
        <v>1</v>
      </c>
      <c r="R719">
        <v>1</v>
      </c>
      <c r="S719">
        <v>1</v>
      </c>
      <c r="T719" t="str">
        <f>IF(mental_health[Sleep_Hours]&lt;5,"Low",IF(mental_health[Sleep_Hours]&lt;7,"Medium","Good"))</f>
        <v>Medium</v>
      </c>
      <c r="U719" t="str">
        <f>IF(mental_health[Stress_Level]&lt;=3,"Low",IF(mental_health[Stress_Level]&lt;=7,"Medium","High"))</f>
        <v>Medium</v>
      </c>
      <c r="V719" t="str">
        <f>IF(mental_health[Daily_Screen_Time]&lt;=4,"Low",IF(mental_health[Daily_Screen_Time]&lt;=8,"Medium","High"))</f>
        <v>Medium</v>
      </c>
    </row>
    <row r="720" spans="1:22" x14ac:dyDescent="0.3">
      <c r="A720">
        <v>719</v>
      </c>
      <c r="B720">
        <v>49</v>
      </c>
      <c r="C720" t="s">
        <v>23</v>
      </c>
      <c r="D720" t="s">
        <v>24</v>
      </c>
      <c r="E720">
        <v>6.3</v>
      </c>
      <c r="F720">
        <v>5.7</v>
      </c>
      <c r="G720">
        <v>0</v>
      </c>
      <c r="H720" t="str">
        <f t="shared" si="11"/>
        <v>No Night Usage</v>
      </c>
      <c r="I720">
        <v>6.8</v>
      </c>
      <c r="J720" s="3">
        <v>8</v>
      </c>
      <c r="K720">
        <v>2.9</v>
      </c>
      <c r="L720" t="s">
        <v>20</v>
      </c>
      <c r="M720">
        <v>9</v>
      </c>
      <c r="N720">
        <v>4</v>
      </c>
      <c r="O720">
        <v>1</v>
      </c>
      <c r="P720">
        <v>1</v>
      </c>
      <c r="Q720">
        <v>0</v>
      </c>
      <c r="R720">
        <v>1</v>
      </c>
      <c r="S720">
        <v>1</v>
      </c>
      <c r="T720" t="str">
        <f>IF(mental_health[Sleep_Hours]&lt;5,"Low",IF(mental_health[Sleep_Hours]&lt;7,"Medium","Good"))</f>
        <v>Medium</v>
      </c>
      <c r="U720" t="str">
        <f>IF(mental_health[Stress_Level]&lt;=3,"Low",IF(mental_health[Stress_Level]&lt;=7,"Medium","High"))</f>
        <v>High</v>
      </c>
      <c r="V720" t="str">
        <f>IF(mental_health[Daily_Screen_Time]&lt;=4,"Low",IF(mental_health[Daily_Screen_Time]&lt;=8,"Medium","High"))</f>
        <v>Medium</v>
      </c>
    </row>
    <row r="721" spans="1:22" x14ac:dyDescent="0.3">
      <c r="A721">
        <v>720</v>
      </c>
      <c r="B721">
        <v>43</v>
      </c>
      <c r="C721" t="s">
        <v>23</v>
      </c>
      <c r="D721" t="s">
        <v>19</v>
      </c>
      <c r="E721">
        <v>8.1999999999999993</v>
      </c>
      <c r="F721">
        <v>7.2</v>
      </c>
      <c r="G721">
        <v>0</v>
      </c>
      <c r="H721" t="str">
        <f t="shared" si="11"/>
        <v>No Night Usage</v>
      </c>
      <c r="I721">
        <v>7.6</v>
      </c>
      <c r="J721" s="3">
        <v>8</v>
      </c>
      <c r="K721">
        <v>6.8</v>
      </c>
      <c r="L721" t="s">
        <v>21</v>
      </c>
      <c r="M721">
        <v>2</v>
      </c>
      <c r="N721">
        <v>0</v>
      </c>
      <c r="O721">
        <v>1</v>
      </c>
      <c r="P721">
        <v>0</v>
      </c>
      <c r="Q721">
        <v>0</v>
      </c>
      <c r="R721">
        <v>0</v>
      </c>
      <c r="S721">
        <v>0</v>
      </c>
      <c r="T721" t="str">
        <f>IF(mental_health[Sleep_Hours]&lt;5,"Low",IF(mental_health[Sleep_Hours]&lt;7,"Medium","Good"))</f>
        <v>Good</v>
      </c>
      <c r="U721" t="str">
        <f>IF(mental_health[Stress_Level]&lt;=3,"Low",IF(mental_health[Stress_Level]&lt;=7,"Medium","High"))</f>
        <v>High</v>
      </c>
      <c r="V721" t="str">
        <f>IF(mental_health[Daily_Screen_Time]&lt;=4,"Low",IF(mental_health[Daily_Screen_Time]&lt;=8,"Medium","High"))</f>
        <v>High</v>
      </c>
    </row>
    <row r="722" spans="1:22" x14ac:dyDescent="0.3">
      <c r="A722">
        <v>721</v>
      </c>
      <c r="B722">
        <v>46</v>
      </c>
      <c r="C722" t="s">
        <v>18</v>
      </c>
      <c r="D722" t="s">
        <v>19</v>
      </c>
      <c r="E722">
        <v>2.8</v>
      </c>
      <c r="F722">
        <v>4.2</v>
      </c>
      <c r="G722">
        <v>0</v>
      </c>
      <c r="H722" t="str">
        <f t="shared" si="11"/>
        <v>No Night Usage</v>
      </c>
      <c r="I722">
        <v>3.2</v>
      </c>
      <c r="J722" s="3">
        <v>2</v>
      </c>
      <c r="K722">
        <v>9.3000000000000007</v>
      </c>
      <c r="L722" t="s">
        <v>25</v>
      </c>
      <c r="M722">
        <v>7</v>
      </c>
      <c r="N722">
        <v>1</v>
      </c>
      <c r="O722">
        <v>0</v>
      </c>
      <c r="P722">
        <v>0</v>
      </c>
      <c r="Q722">
        <v>1</v>
      </c>
      <c r="R722">
        <v>0</v>
      </c>
      <c r="S722">
        <v>0</v>
      </c>
      <c r="T722" t="str">
        <f>IF(mental_health[Sleep_Hours]&lt;5,"Low",IF(mental_health[Sleep_Hours]&lt;7,"Medium","Good"))</f>
        <v>Low</v>
      </c>
      <c r="U722" t="str">
        <f>IF(mental_health[Stress_Level]&lt;=3,"Low",IF(mental_health[Stress_Level]&lt;=7,"Medium","High"))</f>
        <v>Low</v>
      </c>
      <c r="V722" t="str">
        <f>IF(mental_health[Daily_Screen_Time]&lt;=4,"Low",IF(mental_health[Daily_Screen_Time]&lt;=8,"Medium","High"))</f>
        <v>Low</v>
      </c>
    </row>
    <row r="723" spans="1:22" x14ac:dyDescent="0.3">
      <c r="A723">
        <v>722</v>
      </c>
      <c r="B723">
        <v>23</v>
      </c>
      <c r="C723" t="s">
        <v>18</v>
      </c>
      <c r="D723" t="s">
        <v>19</v>
      </c>
      <c r="E723">
        <v>2.9</v>
      </c>
      <c r="F723">
        <v>5.2</v>
      </c>
      <c r="G723">
        <v>1</v>
      </c>
      <c r="H723" t="str">
        <f t="shared" si="11"/>
        <v>Night Usage</v>
      </c>
      <c r="I723">
        <v>6.6</v>
      </c>
      <c r="J723" s="3">
        <v>9</v>
      </c>
      <c r="K723">
        <v>7.7</v>
      </c>
      <c r="L723" t="s">
        <v>21</v>
      </c>
      <c r="M723">
        <v>3</v>
      </c>
      <c r="N723">
        <v>4</v>
      </c>
      <c r="O723">
        <v>1</v>
      </c>
      <c r="P723">
        <v>1</v>
      </c>
      <c r="Q723">
        <v>0</v>
      </c>
      <c r="R723">
        <v>1</v>
      </c>
      <c r="S723">
        <v>0</v>
      </c>
      <c r="T723" t="str">
        <f>IF(mental_health[Sleep_Hours]&lt;5,"Low",IF(mental_health[Sleep_Hours]&lt;7,"Medium","Good"))</f>
        <v>Medium</v>
      </c>
      <c r="U723" t="str">
        <f>IF(mental_health[Stress_Level]&lt;=3,"Low",IF(mental_health[Stress_Level]&lt;=7,"Medium","High"))</f>
        <v>High</v>
      </c>
      <c r="V723" t="str">
        <f>IF(mental_health[Daily_Screen_Time]&lt;=4,"Low",IF(mental_health[Daily_Screen_Time]&lt;=8,"Medium","High"))</f>
        <v>Low</v>
      </c>
    </row>
    <row r="724" spans="1:22" x14ac:dyDescent="0.3">
      <c r="A724">
        <v>723</v>
      </c>
      <c r="B724">
        <v>54</v>
      </c>
      <c r="C724" t="s">
        <v>18</v>
      </c>
      <c r="D724" t="s">
        <v>19</v>
      </c>
      <c r="E724">
        <v>3.7</v>
      </c>
      <c r="F724">
        <v>2.2999999999999998</v>
      </c>
      <c r="G724">
        <v>0</v>
      </c>
      <c r="H724" t="str">
        <f t="shared" si="11"/>
        <v>No Night Usage</v>
      </c>
      <c r="I724">
        <v>4.0999999999999996</v>
      </c>
      <c r="J724" s="3">
        <v>6</v>
      </c>
      <c r="K724">
        <v>4</v>
      </c>
      <c r="L724" t="s">
        <v>25</v>
      </c>
      <c r="M724">
        <v>2</v>
      </c>
      <c r="N724">
        <v>0</v>
      </c>
      <c r="O724">
        <v>0</v>
      </c>
      <c r="P724">
        <v>0</v>
      </c>
      <c r="Q724">
        <v>0</v>
      </c>
      <c r="R724">
        <v>1</v>
      </c>
      <c r="S724">
        <v>1</v>
      </c>
      <c r="T724" t="str">
        <f>IF(mental_health[Sleep_Hours]&lt;5,"Low",IF(mental_health[Sleep_Hours]&lt;7,"Medium","Good"))</f>
        <v>Low</v>
      </c>
      <c r="U724" t="str">
        <f>IF(mental_health[Stress_Level]&lt;=3,"Low",IF(mental_health[Stress_Level]&lt;=7,"Medium","High"))</f>
        <v>Medium</v>
      </c>
      <c r="V724" t="str">
        <f>IF(mental_health[Daily_Screen_Time]&lt;=4,"Low",IF(mental_health[Daily_Screen_Time]&lt;=8,"Medium","High"))</f>
        <v>Low</v>
      </c>
    </row>
    <row r="725" spans="1:22" x14ac:dyDescent="0.3">
      <c r="A725">
        <v>724</v>
      </c>
      <c r="B725">
        <v>41</v>
      </c>
      <c r="C725" t="s">
        <v>23</v>
      </c>
      <c r="D725" t="s">
        <v>22</v>
      </c>
      <c r="E725">
        <v>7.2</v>
      </c>
      <c r="F725">
        <v>6.6</v>
      </c>
      <c r="G725">
        <v>0</v>
      </c>
      <c r="H725" t="str">
        <f t="shared" si="11"/>
        <v>No Night Usage</v>
      </c>
      <c r="I725">
        <v>5.0999999999999996</v>
      </c>
      <c r="J725" s="3">
        <v>4</v>
      </c>
      <c r="K725">
        <v>8.5</v>
      </c>
      <c r="L725" t="s">
        <v>21</v>
      </c>
      <c r="M725">
        <v>4</v>
      </c>
      <c r="N725">
        <v>1</v>
      </c>
      <c r="O725">
        <v>1</v>
      </c>
      <c r="P725">
        <v>1</v>
      </c>
      <c r="Q725">
        <v>0</v>
      </c>
      <c r="R725">
        <v>0</v>
      </c>
      <c r="S725">
        <v>1</v>
      </c>
      <c r="T725" t="str">
        <f>IF(mental_health[Sleep_Hours]&lt;5,"Low",IF(mental_health[Sleep_Hours]&lt;7,"Medium","Good"))</f>
        <v>Medium</v>
      </c>
      <c r="U725" t="str">
        <f>IF(mental_health[Stress_Level]&lt;=3,"Low",IF(mental_health[Stress_Level]&lt;=7,"Medium","High"))</f>
        <v>Medium</v>
      </c>
      <c r="V725" t="str">
        <f>IF(mental_health[Daily_Screen_Time]&lt;=4,"Low",IF(mental_health[Daily_Screen_Time]&lt;=8,"Medium","High"))</f>
        <v>Medium</v>
      </c>
    </row>
    <row r="726" spans="1:22" x14ac:dyDescent="0.3">
      <c r="A726">
        <v>725</v>
      </c>
      <c r="B726">
        <v>49</v>
      </c>
      <c r="C726" t="s">
        <v>18</v>
      </c>
      <c r="D726" t="s">
        <v>22</v>
      </c>
      <c r="E726">
        <v>4.0999999999999996</v>
      </c>
      <c r="F726">
        <v>7.8</v>
      </c>
      <c r="G726">
        <v>0</v>
      </c>
      <c r="H726" t="str">
        <f t="shared" si="11"/>
        <v>No Night Usage</v>
      </c>
      <c r="I726">
        <v>5.0999999999999996</v>
      </c>
      <c r="J726" s="3">
        <v>5</v>
      </c>
      <c r="K726">
        <v>8.8000000000000007</v>
      </c>
      <c r="L726" t="s">
        <v>21</v>
      </c>
      <c r="M726">
        <v>7</v>
      </c>
      <c r="N726">
        <v>4</v>
      </c>
      <c r="O726">
        <v>0</v>
      </c>
      <c r="P726">
        <v>0</v>
      </c>
      <c r="Q726">
        <v>1</v>
      </c>
      <c r="R726">
        <v>0</v>
      </c>
      <c r="S726">
        <v>0</v>
      </c>
      <c r="T726" t="str">
        <f>IF(mental_health[Sleep_Hours]&lt;5,"Low",IF(mental_health[Sleep_Hours]&lt;7,"Medium","Good"))</f>
        <v>Medium</v>
      </c>
      <c r="U726" t="str">
        <f>IF(mental_health[Stress_Level]&lt;=3,"Low",IF(mental_health[Stress_Level]&lt;=7,"Medium","High"))</f>
        <v>Medium</v>
      </c>
      <c r="V726" t="str">
        <f>IF(mental_health[Daily_Screen_Time]&lt;=4,"Low",IF(mental_health[Daily_Screen_Time]&lt;=8,"Medium","High"))</f>
        <v>Medium</v>
      </c>
    </row>
    <row r="727" spans="1:22" x14ac:dyDescent="0.3">
      <c r="A727">
        <v>726</v>
      </c>
      <c r="B727">
        <v>18</v>
      </c>
      <c r="C727" t="s">
        <v>23</v>
      </c>
      <c r="D727" t="s">
        <v>19</v>
      </c>
      <c r="E727">
        <v>4.8</v>
      </c>
      <c r="F727">
        <v>2.9</v>
      </c>
      <c r="G727">
        <v>1</v>
      </c>
      <c r="H727" t="str">
        <f t="shared" si="11"/>
        <v>Night Usage</v>
      </c>
      <c r="I727">
        <v>5.8</v>
      </c>
      <c r="J727" s="3">
        <v>10</v>
      </c>
      <c r="K727">
        <v>11.3</v>
      </c>
      <c r="L727" t="s">
        <v>21</v>
      </c>
      <c r="M727">
        <v>7</v>
      </c>
      <c r="N727">
        <v>4</v>
      </c>
      <c r="O727">
        <v>0</v>
      </c>
      <c r="P727">
        <v>1</v>
      </c>
      <c r="Q727">
        <v>1</v>
      </c>
      <c r="R727">
        <v>0</v>
      </c>
      <c r="S727">
        <v>1</v>
      </c>
      <c r="T727" t="str">
        <f>IF(mental_health[Sleep_Hours]&lt;5,"Low",IF(mental_health[Sleep_Hours]&lt;7,"Medium","Good"))</f>
        <v>Medium</v>
      </c>
      <c r="U727" t="str">
        <f>IF(mental_health[Stress_Level]&lt;=3,"Low",IF(mental_health[Stress_Level]&lt;=7,"Medium","High"))</f>
        <v>High</v>
      </c>
      <c r="V727" t="str">
        <f>IF(mental_health[Daily_Screen_Time]&lt;=4,"Low",IF(mental_health[Daily_Screen_Time]&lt;=8,"Medium","High"))</f>
        <v>Medium</v>
      </c>
    </row>
    <row r="728" spans="1:22" x14ac:dyDescent="0.3">
      <c r="A728">
        <v>727</v>
      </c>
      <c r="B728">
        <v>27</v>
      </c>
      <c r="C728" t="s">
        <v>23</v>
      </c>
      <c r="D728" t="s">
        <v>24</v>
      </c>
      <c r="E728">
        <v>6</v>
      </c>
      <c r="F728">
        <v>4.5</v>
      </c>
      <c r="G728">
        <v>0</v>
      </c>
      <c r="H728" t="str">
        <f t="shared" si="11"/>
        <v>No Night Usage</v>
      </c>
      <c r="I728">
        <v>5</v>
      </c>
      <c r="J728" s="3">
        <v>5</v>
      </c>
      <c r="K728">
        <v>3.5</v>
      </c>
      <c r="L728" t="s">
        <v>20</v>
      </c>
      <c r="M728">
        <v>9</v>
      </c>
      <c r="N728">
        <v>4</v>
      </c>
      <c r="O728">
        <v>0</v>
      </c>
      <c r="P728">
        <v>0</v>
      </c>
      <c r="Q728">
        <v>0</v>
      </c>
      <c r="R728">
        <v>0</v>
      </c>
      <c r="S728">
        <v>0</v>
      </c>
      <c r="T728" t="str">
        <f>IF(mental_health[Sleep_Hours]&lt;5,"Low",IF(mental_health[Sleep_Hours]&lt;7,"Medium","Good"))</f>
        <v>Medium</v>
      </c>
      <c r="U728" t="str">
        <f>IF(mental_health[Stress_Level]&lt;=3,"Low",IF(mental_health[Stress_Level]&lt;=7,"Medium","High"))</f>
        <v>Medium</v>
      </c>
      <c r="V728" t="str">
        <f>IF(mental_health[Daily_Screen_Time]&lt;=4,"Low",IF(mental_health[Daily_Screen_Time]&lt;=8,"Medium","High"))</f>
        <v>Medium</v>
      </c>
    </row>
    <row r="729" spans="1:22" x14ac:dyDescent="0.3">
      <c r="A729">
        <v>728</v>
      </c>
      <c r="B729">
        <v>16</v>
      </c>
      <c r="C729" t="s">
        <v>23</v>
      </c>
      <c r="D729" t="s">
        <v>19</v>
      </c>
      <c r="E729">
        <v>10.1</v>
      </c>
      <c r="F729">
        <v>1.6</v>
      </c>
      <c r="G729">
        <v>0</v>
      </c>
      <c r="H729" t="str">
        <f t="shared" si="11"/>
        <v>No Night Usage</v>
      </c>
      <c r="I729">
        <v>3.6</v>
      </c>
      <c r="J729" s="3">
        <v>7</v>
      </c>
      <c r="K729">
        <v>8.9</v>
      </c>
      <c r="L729" t="s">
        <v>25</v>
      </c>
      <c r="M729">
        <v>3</v>
      </c>
      <c r="N729">
        <v>4</v>
      </c>
      <c r="O729">
        <v>1</v>
      </c>
      <c r="P729">
        <v>1</v>
      </c>
      <c r="Q729">
        <v>1</v>
      </c>
      <c r="R729">
        <v>1</v>
      </c>
      <c r="S729">
        <v>1</v>
      </c>
      <c r="T729" t="str">
        <f>IF(mental_health[Sleep_Hours]&lt;5,"Low",IF(mental_health[Sleep_Hours]&lt;7,"Medium","Good"))</f>
        <v>Low</v>
      </c>
      <c r="U729" t="str">
        <f>IF(mental_health[Stress_Level]&lt;=3,"Low",IF(mental_health[Stress_Level]&lt;=7,"Medium","High"))</f>
        <v>Medium</v>
      </c>
      <c r="V729" t="str">
        <f>IF(mental_health[Daily_Screen_Time]&lt;=4,"Low",IF(mental_health[Daily_Screen_Time]&lt;=8,"Medium","High"))</f>
        <v>High</v>
      </c>
    </row>
    <row r="730" spans="1:22" x14ac:dyDescent="0.3">
      <c r="A730">
        <v>729</v>
      </c>
      <c r="B730">
        <v>59</v>
      </c>
      <c r="C730" t="s">
        <v>18</v>
      </c>
      <c r="D730" t="s">
        <v>24</v>
      </c>
      <c r="E730">
        <v>2.1</v>
      </c>
      <c r="F730">
        <v>4.9000000000000004</v>
      </c>
      <c r="G730">
        <v>0</v>
      </c>
      <c r="H730" t="str">
        <f t="shared" si="11"/>
        <v>No Night Usage</v>
      </c>
      <c r="I730">
        <v>3.9</v>
      </c>
      <c r="J730" s="3">
        <v>9</v>
      </c>
      <c r="K730">
        <v>11.1</v>
      </c>
      <c r="L730" t="s">
        <v>20</v>
      </c>
      <c r="M730">
        <v>7</v>
      </c>
      <c r="N730">
        <v>3</v>
      </c>
      <c r="O730">
        <v>1</v>
      </c>
      <c r="P730">
        <v>1</v>
      </c>
      <c r="Q730">
        <v>0</v>
      </c>
      <c r="R730">
        <v>1</v>
      </c>
      <c r="S730">
        <v>1</v>
      </c>
      <c r="T730" t="str">
        <f>IF(mental_health[Sleep_Hours]&lt;5,"Low",IF(mental_health[Sleep_Hours]&lt;7,"Medium","Good"))</f>
        <v>Low</v>
      </c>
      <c r="U730" t="str">
        <f>IF(mental_health[Stress_Level]&lt;=3,"Low",IF(mental_health[Stress_Level]&lt;=7,"Medium","High"))</f>
        <v>High</v>
      </c>
      <c r="V730" t="str">
        <f>IF(mental_health[Daily_Screen_Time]&lt;=4,"Low",IF(mental_health[Daily_Screen_Time]&lt;=8,"Medium","High"))</f>
        <v>Low</v>
      </c>
    </row>
    <row r="731" spans="1:22" x14ac:dyDescent="0.3">
      <c r="A731">
        <v>730</v>
      </c>
      <c r="B731">
        <v>20</v>
      </c>
      <c r="C731" t="s">
        <v>23</v>
      </c>
      <c r="D731" t="s">
        <v>19</v>
      </c>
      <c r="E731">
        <v>8.5</v>
      </c>
      <c r="F731">
        <v>4.5</v>
      </c>
      <c r="G731">
        <v>0</v>
      </c>
      <c r="H731" t="str">
        <f t="shared" si="11"/>
        <v>No Night Usage</v>
      </c>
      <c r="I731">
        <v>3.2</v>
      </c>
      <c r="J731" s="3">
        <v>7</v>
      </c>
      <c r="K731">
        <v>7</v>
      </c>
      <c r="L731" t="s">
        <v>20</v>
      </c>
      <c r="M731">
        <v>6</v>
      </c>
      <c r="N731">
        <v>4</v>
      </c>
      <c r="O731">
        <v>0</v>
      </c>
      <c r="P731">
        <v>0</v>
      </c>
      <c r="Q731">
        <v>1</v>
      </c>
      <c r="R731">
        <v>0</v>
      </c>
      <c r="S731">
        <v>1</v>
      </c>
      <c r="T731" t="str">
        <f>IF(mental_health[Sleep_Hours]&lt;5,"Low",IF(mental_health[Sleep_Hours]&lt;7,"Medium","Good"))</f>
        <v>Low</v>
      </c>
      <c r="U731" t="str">
        <f>IF(mental_health[Stress_Level]&lt;=3,"Low",IF(mental_health[Stress_Level]&lt;=7,"Medium","High"))</f>
        <v>Medium</v>
      </c>
      <c r="V731" t="str">
        <f>IF(mental_health[Daily_Screen_Time]&lt;=4,"Low",IF(mental_health[Daily_Screen_Time]&lt;=8,"Medium","High"))</f>
        <v>High</v>
      </c>
    </row>
    <row r="732" spans="1:22" x14ac:dyDescent="0.3">
      <c r="A732">
        <v>731</v>
      </c>
      <c r="B732">
        <v>45</v>
      </c>
      <c r="C732" t="s">
        <v>23</v>
      </c>
      <c r="D732" t="s">
        <v>24</v>
      </c>
      <c r="E732">
        <v>8.6999999999999993</v>
      </c>
      <c r="F732">
        <v>2</v>
      </c>
      <c r="G732">
        <v>0</v>
      </c>
      <c r="H732" t="str">
        <f t="shared" si="11"/>
        <v>No Night Usage</v>
      </c>
      <c r="I732">
        <v>5.8</v>
      </c>
      <c r="J732" s="3">
        <v>9</v>
      </c>
      <c r="K732">
        <v>5.6</v>
      </c>
      <c r="L732" t="s">
        <v>21</v>
      </c>
      <c r="M732">
        <v>10</v>
      </c>
      <c r="N732">
        <v>3</v>
      </c>
      <c r="O732">
        <v>0</v>
      </c>
      <c r="P732">
        <v>0</v>
      </c>
      <c r="Q732">
        <v>1</v>
      </c>
      <c r="R732">
        <v>0</v>
      </c>
      <c r="S732">
        <v>1</v>
      </c>
      <c r="T732" t="str">
        <f>IF(mental_health[Sleep_Hours]&lt;5,"Low",IF(mental_health[Sleep_Hours]&lt;7,"Medium","Good"))</f>
        <v>Medium</v>
      </c>
      <c r="U732" t="str">
        <f>IF(mental_health[Stress_Level]&lt;=3,"Low",IF(mental_health[Stress_Level]&lt;=7,"Medium","High"))</f>
        <v>High</v>
      </c>
      <c r="V732" t="str">
        <f>IF(mental_health[Daily_Screen_Time]&lt;=4,"Low",IF(mental_health[Daily_Screen_Time]&lt;=8,"Medium","High"))</f>
        <v>High</v>
      </c>
    </row>
    <row r="733" spans="1:22" x14ac:dyDescent="0.3">
      <c r="A733">
        <v>732</v>
      </c>
      <c r="B733">
        <v>45</v>
      </c>
      <c r="C733" t="s">
        <v>23</v>
      </c>
      <c r="D733" t="s">
        <v>19</v>
      </c>
      <c r="E733">
        <v>10</v>
      </c>
      <c r="F733">
        <v>4.0999999999999996</v>
      </c>
      <c r="G733">
        <v>1</v>
      </c>
      <c r="H733" t="str">
        <f t="shared" si="11"/>
        <v>Night Usage</v>
      </c>
      <c r="I733">
        <v>8.6999999999999993</v>
      </c>
      <c r="J733" s="3">
        <v>4</v>
      </c>
      <c r="K733">
        <v>3.7</v>
      </c>
      <c r="L733" t="s">
        <v>25</v>
      </c>
      <c r="M733">
        <v>7</v>
      </c>
      <c r="N733">
        <v>3</v>
      </c>
      <c r="O733">
        <v>0</v>
      </c>
      <c r="P733">
        <v>1</v>
      </c>
      <c r="Q733">
        <v>1</v>
      </c>
      <c r="R733">
        <v>0</v>
      </c>
      <c r="S733">
        <v>0</v>
      </c>
      <c r="T733" t="str">
        <f>IF(mental_health[Sleep_Hours]&lt;5,"Low",IF(mental_health[Sleep_Hours]&lt;7,"Medium","Good"))</f>
        <v>Good</v>
      </c>
      <c r="U733" t="str">
        <f>IF(mental_health[Stress_Level]&lt;=3,"Low",IF(mental_health[Stress_Level]&lt;=7,"Medium","High"))</f>
        <v>Medium</v>
      </c>
      <c r="V733" t="str">
        <f>IF(mental_health[Daily_Screen_Time]&lt;=4,"Low",IF(mental_health[Daily_Screen_Time]&lt;=8,"Medium","High"))</f>
        <v>High</v>
      </c>
    </row>
    <row r="734" spans="1:22" x14ac:dyDescent="0.3">
      <c r="A734">
        <v>733</v>
      </c>
      <c r="B734">
        <v>32</v>
      </c>
      <c r="C734" t="s">
        <v>23</v>
      </c>
      <c r="D734" t="s">
        <v>24</v>
      </c>
      <c r="E734">
        <v>11.3</v>
      </c>
      <c r="F734">
        <v>3.3</v>
      </c>
      <c r="G734">
        <v>1</v>
      </c>
      <c r="H734" t="str">
        <f t="shared" si="11"/>
        <v>Night Usage</v>
      </c>
      <c r="I734">
        <v>3.7</v>
      </c>
      <c r="J734" s="3">
        <v>10</v>
      </c>
      <c r="K734">
        <v>10.7</v>
      </c>
      <c r="L734" t="s">
        <v>25</v>
      </c>
      <c r="M734">
        <v>7</v>
      </c>
      <c r="N734">
        <v>0</v>
      </c>
      <c r="O734">
        <v>1</v>
      </c>
      <c r="P734">
        <v>1</v>
      </c>
      <c r="Q734">
        <v>1</v>
      </c>
      <c r="R734">
        <v>1</v>
      </c>
      <c r="S734">
        <v>1</v>
      </c>
      <c r="T734" t="str">
        <f>IF(mental_health[Sleep_Hours]&lt;5,"Low",IF(mental_health[Sleep_Hours]&lt;7,"Medium","Good"))</f>
        <v>Low</v>
      </c>
      <c r="U734" t="str">
        <f>IF(mental_health[Stress_Level]&lt;=3,"Low",IF(mental_health[Stress_Level]&lt;=7,"Medium","High"))</f>
        <v>High</v>
      </c>
      <c r="V734" t="str">
        <f>IF(mental_health[Daily_Screen_Time]&lt;=4,"Low",IF(mental_health[Daily_Screen_Time]&lt;=8,"Medium","High"))</f>
        <v>High</v>
      </c>
    </row>
    <row r="735" spans="1:22" x14ac:dyDescent="0.3">
      <c r="A735">
        <v>734</v>
      </c>
      <c r="B735">
        <v>38</v>
      </c>
      <c r="C735" t="s">
        <v>23</v>
      </c>
      <c r="D735" t="s">
        <v>19</v>
      </c>
      <c r="E735">
        <v>2.2000000000000002</v>
      </c>
      <c r="F735">
        <v>4.7</v>
      </c>
      <c r="G735">
        <v>1</v>
      </c>
      <c r="H735" t="str">
        <f t="shared" si="11"/>
        <v>Night Usage</v>
      </c>
      <c r="I735">
        <v>8.6999999999999993</v>
      </c>
      <c r="J735" s="3">
        <v>10</v>
      </c>
      <c r="K735">
        <v>5.9</v>
      </c>
      <c r="L735" t="s">
        <v>25</v>
      </c>
      <c r="M735">
        <v>10</v>
      </c>
      <c r="N735">
        <v>1</v>
      </c>
      <c r="O735">
        <v>1</v>
      </c>
      <c r="P735">
        <v>1</v>
      </c>
      <c r="Q735">
        <v>0</v>
      </c>
      <c r="R735">
        <v>0</v>
      </c>
      <c r="S735">
        <v>0</v>
      </c>
      <c r="T735" t="str">
        <f>IF(mental_health[Sleep_Hours]&lt;5,"Low",IF(mental_health[Sleep_Hours]&lt;7,"Medium","Good"))</f>
        <v>Good</v>
      </c>
      <c r="U735" t="str">
        <f>IF(mental_health[Stress_Level]&lt;=3,"Low",IF(mental_health[Stress_Level]&lt;=7,"Medium","High"))</f>
        <v>High</v>
      </c>
      <c r="V735" t="str">
        <f>IF(mental_health[Daily_Screen_Time]&lt;=4,"Low",IF(mental_health[Daily_Screen_Time]&lt;=8,"Medium","High"))</f>
        <v>Low</v>
      </c>
    </row>
    <row r="736" spans="1:22" x14ac:dyDescent="0.3">
      <c r="A736">
        <v>735</v>
      </c>
      <c r="B736">
        <v>30</v>
      </c>
      <c r="C736" t="s">
        <v>18</v>
      </c>
      <c r="D736" t="s">
        <v>19</v>
      </c>
      <c r="E736">
        <v>3.5</v>
      </c>
      <c r="F736">
        <v>5.0999999999999996</v>
      </c>
      <c r="G736">
        <v>0</v>
      </c>
      <c r="H736" t="str">
        <f t="shared" si="11"/>
        <v>No Night Usage</v>
      </c>
      <c r="I736">
        <v>7.4</v>
      </c>
      <c r="J736" s="3">
        <v>4</v>
      </c>
      <c r="K736">
        <v>11.2</v>
      </c>
      <c r="L736" t="s">
        <v>25</v>
      </c>
      <c r="M736">
        <v>5</v>
      </c>
      <c r="N736">
        <v>3</v>
      </c>
      <c r="O736">
        <v>1</v>
      </c>
      <c r="P736">
        <v>1</v>
      </c>
      <c r="Q736">
        <v>0</v>
      </c>
      <c r="R736">
        <v>0</v>
      </c>
      <c r="S736">
        <v>1</v>
      </c>
      <c r="T736" t="str">
        <f>IF(mental_health[Sleep_Hours]&lt;5,"Low",IF(mental_health[Sleep_Hours]&lt;7,"Medium","Good"))</f>
        <v>Good</v>
      </c>
      <c r="U736" t="str">
        <f>IF(mental_health[Stress_Level]&lt;=3,"Low",IF(mental_health[Stress_Level]&lt;=7,"Medium","High"))</f>
        <v>Medium</v>
      </c>
      <c r="V736" t="str">
        <f>IF(mental_health[Daily_Screen_Time]&lt;=4,"Low",IF(mental_health[Daily_Screen_Time]&lt;=8,"Medium","High"))</f>
        <v>Low</v>
      </c>
    </row>
    <row r="737" spans="1:22" x14ac:dyDescent="0.3">
      <c r="A737">
        <v>736</v>
      </c>
      <c r="B737">
        <v>52</v>
      </c>
      <c r="C737" t="s">
        <v>23</v>
      </c>
      <c r="D737" t="s">
        <v>24</v>
      </c>
      <c r="E737">
        <v>10.9</v>
      </c>
      <c r="F737">
        <v>1.1000000000000001</v>
      </c>
      <c r="G737">
        <v>1</v>
      </c>
      <c r="H737" t="str">
        <f t="shared" si="11"/>
        <v>Night Usage</v>
      </c>
      <c r="I737">
        <v>6.8</v>
      </c>
      <c r="J737" s="3">
        <v>6</v>
      </c>
      <c r="K737">
        <v>10.5</v>
      </c>
      <c r="L737" t="s">
        <v>20</v>
      </c>
      <c r="M737">
        <v>9</v>
      </c>
      <c r="N737">
        <v>2</v>
      </c>
      <c r="O737">
        <v>1</v>
      </c>
      <c r="P737">
        <v>1</v>
      </c>
      <c r="Q737">
        <v>1</v>
      </c>
      <c r="R737">
        <v>1</v>
      </c>
      <c r="S737">
        <v>1</v>
      </c>
      <c r="T737" t="str">
        <f>IF(mental_health[Sleep_Hours]&lt;5,"Low",IF(mental_health[Sleep_Hours]&lt;7,"Medium","Good"))</f>
        <v>Medium</v>
      </c>
      <c r="U737" t="str">
        <f>IF(mental_health[Stress_Level]&lt;=3,"Low",IF(mental_health[Stress_Level]&lt;=7,"Medium","High"))</f>
        <v>Medium</v>
      </c>
      <c r="V737" t="str">
        <f>IF(mental_health[Daily_Screen_Time]&lt;=4,"Low",IF(mental_health[Daily_Screen_Time]&lt;=8,"Medium","High"))</f>
        <v>High</v>
      </c>
    </row>
    <row r="738" spans="1:22" x14ac:dyDescent="0.3">
      <c r="A738">
        <v>737</v>
      </c>
      <c r="B738">
        <v>36</v>
      </c>
      <c r="C738" t="s">
        <v>23</v>
      </c>
      <c r="D738" t="s">
        <v>22</v>
      </c>
      <c r="E738">
        <v>6.6</v>
      </c>
      <c r="F738">
        <v>6.3</v>
      </c>
      <c r="G738">
        <v>0</v>
      </c>
      <c r="H738" t="str">
        <f t="shared" si="11"/>
        <v>No Night Usage</v>
      </c>
      <c r="I738">
        <v>6.9</v>
      </c>
      <c r="J738" s="3">
        <v>8</v>
      </c>
      <c r="K738">
        <v>5.8</v>
      </c>
      <c r="L738" t="s">
        <v>20</v>
      </c>
      <c r="M738">
        <v>7</v>
      </c>
      <c r="N738">
        <v>3</v>
      </c>
      <c r="O738">
        <v>1</v>
      </c>
      <c r="P738">
        <v>0</v>
      </c>
      <c r="Q738">
        <v>0</v>
      </c>
      <c r="R738">
        <v>0</v>
      </c>
      <c r="S738">
        <v>1</v>
      </c>
      <c r="T738" t="str">
        <f>IF(mental_health[Sleep_Hours]&lt;5,"Low",IF(mental_health[Sleep_Hours]&lt;7,"Medium","Good"))</f>
        <v>Medium</v>
      </c>
      <c r="U738" t="str">
        <f>IF(mental_health[Stress_Level]&lt;=3,"Low",IF(mental_health[Stress_Level]&lt;=7,"Medium","High"))</f>
        <v>High</v>
      </c>
      <c r="V738" t="str">
        <f>IF(mental_health[Daily_Screen_Time]&lt;=4,"Low",IF(mental_health[Daily_Screen_Time]&lt;=8,"Medium","High"))</f>
        <v>Medium</v>
      </c>
    </row>
    <row r="739" spans="1:22" x14ac:dyDescent="0.3">
      <c r="A739">
        <v>738</v>
      </c>
      <c r="B739">
        <v>29</v>
      </c>
      <c r="C739" t="s">
        <v>18</v>
      </c>
      <c r="D739" t="s">
        <v>24</v>
      </c>
      <c r="E739">
        <v>7.6</v>
      </c>
      <c r="F739">
        <v>6</v>
      </c>
      <c r="G739">
        <v>0</v>
      </c>
      <c r="H739" t="str">
        <f t="shared" si="11"/>
        <v>No Night Usage</v>
      </c>
      <c r="I739">
        <v>8</v>
      </c>
      <c r="J739" s="3">
        <v>9</v>
      </c>
      <c r="K739">
        <v>7.7</v>
      </c>
      <c r="L739" t="s">
        <v>25</v>
      </c>
      <c r="M739">
        <v>7</v>
      </c>
      <c r="N739">
        <v>2</v>
      </c>
      <c r="O739">
        <v>0</v>
      </c>
      <c r="P739">
        <v>0</v>
      </c>
      <c r="Q739">
        <v>1</v>
      </c>
      <c r="R739">
        <v>1</v>
      </c>
      <c r="S739">
        <v>0</v>
      </c>
      <c r="T739" t="str">
        <f>IF(mental_health[Sleep_Hours]&lt;5,"Low",IF(mental_health[Sleep_Hours]&lt;7,"Medium","Good"))</f>
        <v>Good</v>
      </c>
      <c r="U739" t="str">
        <f>IF(mental_health[Stress_Level]&lt;=3,"Low",IF(mental_health[Stress_Level]&lt;=7,"Medium","High"))</f>
        <v>High</v>
      </c>
      <c r="V739" t="str">
        <f>IF(mental_health[Daily_Screen_Time]&lt;=4,"Low",IF(mental_health[Daily_Screen_Time]&lt;=8,"Medium","High"))</f>
        <v>Medium</v>
      </c>
    </row>
    <row r="740" spans="1:22" x14ac:dyDescent="0.3">
      <c r="A740">
        <v>739</v>
      </c>
      <c r="B740">
        <v>17</v>
      </c>
      <c r="C740" t="s">
        <v>23</v>
      </c>
      <c r="D740" t="s">
        <v>22</v>
      </c>
      <c r="E740">
        <v>8.6</v>
      </c>
      <c r="F740">
        <v>3.6</v>
      </c>
      <c r="G740">
        <v>0</v>
      </c>
      <c r="H740" t="str">
        <f t="shared" si="11"/>
        <v>No Night Usage</v>
      </c>
      <c r="I740">
        <v>3.6</v>
      </c>
      <c r="J740" s="3">
        <v>1</v>
      </c>
      <c r="K740">
        <v>2.2999999999999998</v>
      </c>
      <c r="L740" t="s">
        <v>20</v>
      </c>
      <c r="M740">
        <v>3</v>
      </c>
      <c r="N740">
        <v>0</v>
      </c>
      <c r="O740">
        <v>0</v>
      </c>
      <c r="P740">
        <v>0</v>
      </c>
      <c r="Q740">
        <v>1</v>
      </c>
      <c r="R740">
        <v>0</v>
      </c>
      <c r="S740">
        <v>1</v>
      </c>
      <c r="T740" t="str">
        <f>IF(mental_health[Sleep_Hours]&lt;5,"Low",IF(mental_health[Sleep_Hours]&lt;7,"Medium","Good"))</f>
        <v>Low</v>
      </c>
      <c r="U740" t="str">
        <f>IF(mental_health[Stress_Level]&lt;=3,"Low",IF(mental_health[Stress_Level]&lt;=7,"Medium","High"))</f>
        <v>Low</v>
      </c>
      <c r="V740" t="str">
        <f>IF(mental_health[Daily_Screen_Time]&lt;=4,"Low",IF(mental_health[Daily_Screen_Time]&lt;=8,"Medium","High"))</f>
        <v>High</v>
      </c>
    </row>
    <row r="741" spans="1:22" x14ac:dyDescent="0.3">
      <c r="A741">
        <v>740</v>
      </c>
      <c r="B741">
        <v>26</v>
      </c>
      <c r="C741" t="s">
        <v>18</v>
      </c>
      <c r="D741" t="s">
        <v>19</v>
      </c>
      <c r="E741">
        <v>8.8000000000000007</v>
      </c>
      <c r="F741">
        <v>1.4</v>
      </c>
      <c r="G741">
        <v>0</v>
      </c>
      <c r="H741" t="str">
        <f t="shared" si="11"/>
        <v>No Night Usage</v>
      </c>
      <c r="I741">
        <v>6</v>
      </c>
      <c r="J741" s="3">
        <v>1</v>
      </c>
      <c r="K741">
        <v>4.5999999999999996</v>
      </c>
      <c r="L741" t="s">
        <v>25</v>
      </c>
      <c r="M741">
        <v>1</v>
      </c>
      <c r="N741">
        <v>2</v>
      </c>
      <c r="O741">
        <v>0</v>
      </c>
      <c r="P741">
        <v>0</v>
      </c>
      <c r="Q741">
        <v>1</v>
      </c>
      <c r="R741">
        <v>0</v>
      </c>
      <c r="S741">
        <v>0</v>
      </c>
      <c r="T741" t="str">
        <f>IF(mental_health[Sleep_Hours]&lt;5,"Low",IF(mental_health[Sleep_Hours]&lt;7,"Medium","Good"))</f>
        <v>Medium</v>
      </c>
      <c r="U741" t="str">
        <f>IF(mental_health[Stress_Level]&lt;=3,"Low",IF(mental_health[Stress_Level]&lt;=7,"Medium","High"))</f>
        <v>Low</v>
      </c>
      <c r="V741" t="str">
        <f>IF(mental_health[Daily_Screen_Time]&lt;=4,"Low",IF(mental_health[Daily_Screen_Time]&lt;=8,"Medium","High"))</f>
        <v>High</v>
      </c>
    </row>
    <row r="742" spans="1:22" x14ac:dyDescent="0.3">
      <c r="A742">
        <v>741</v>
      </c>
      <c r="B742">
        <v>54</v>
      </c>
      <c r="C742" t="s">
        <v>23</v>
      </c>
      <c r="D742" t="s">
        <v>24</v>
      </c>
      <c r="E742">
        <v>11.3</v>
      </c>
      <c r="F742">
        <v>6.3</v>
      </c>
      <c r="G742">
        <v>1</v>
      </c>
      <c r="H742" t="str">
        <f t="shared" si="11"/>
        <v>Night Usage</v>
      </c>
      <c r="I742">
        <v>7.2</v>
      </c>
      <c r="J742" s="3">
        <v>8</v>
      </c>
      <c r="K742">
        <v>9.1</v>
      </c>
      <c r="L742" t="s">
        <v>20</v>
      </c>
      <c r="M742">
        <v>5</v>
      </c>
      <c r="N742">
        <v>0</v>
      </c>
      <c r="O742">
        <v>0</v>
      </c>
      <c r="P742">
        <v>0</v>
      </c>
      <c r="Q742">
        <v>1</v>
      </c>
      <c r="R742">
        <v>1</v>
      </c>
      <c r="S742">
        <v>1</v>
      </c>
      <c r="T742" t="str">
        <f>IF(mental_health[Sleep_Hours]&lt;5,"Low",IF(mental_health[Sleep_Hours]&lt;7,"Medium","Good"))</f>
        <v>Good</v>
      </c>
      <c r="U742" t="str">
        <f>IF(mental_health[Stress_Level]&lt;=3,"Low",IF(mental_health[Stress_Level]&lt;=7,"Medium","High"))</f>
        <v>High</v>
      </c>
      <c r="V742" t="str">
        <f>IF(mental_health[Daily_Screen_Time]&lt;=4,"Low",IF(mental_health[Daily_Screen_Time]&lt;=8,"Medium","High"))</f>
        <v>High</v>
      </c>
    </row>
    <row r="743" spans="1:22" x14ac:dyDescent="0.3">
      <c r="A743">
        <v>742</v>
      </c>
      <c r="B743">
        <v>53</v>
      </c>
      <c r="C743" t="s">
        <v>18</v>
      </c>
      <c r="D743" t="s">
        <v>24</v>
      </c>
      <c r="E743">
        <v>12</v>
      </c>
      <c r="F743">
        <v>7.7</v>
      </c>
      <c r="G743">
        <v>1</v>
      </c>
      <c r="H743" t="str">
        <f t="shared" si="11"/>
        <v>Night Usage</v>
      </c>
      <c r="I743">
        <v>6.5</v>
      </c>
      <c r="J743" s="3">
        <v>7</v>
      </c>
      <c r="K743">
        <v>8.8000000000000007</v>
      </c>
      <c r="L743" t="s">
        <v>21</v>
      </c>
      <c r="M743">
        <v>8</v>
      </c>
      <c r="N743">
        <v>0</v>
      </c>
      <c r="O743">
        <v>1</v>
      </c>
      <c r="P743">
        <v>1</v>
      </c>
      <c r="Q743">
        <v>1</v>
      </c>
      <c r="R743">
        <v>0</v>
      </c>
      <c r="S743">
        <v>1</v>
      </c>
      <c r="T743" t="str">
        <f>IF(mental_health[Sleep_Hours]&lt;5,"Low",IF(mental_health[Sleep_Hours]&lt;7,"Medium","Good"))</f>
        <v>Medium</v>
      </c>
      <c r="U743" t="str">
        <f>IF(mental_health[Stress_Level]&lt;=3,"Low",IF(mental_health[Stress_Level]&lt;=7,"Medium","High"))</f>
        <v>Medium</v>
      </c>
      <c r="V743" t="str">
        <f>IF(mental_health[Daily_Screen_Time]&lt;=4,"Low",IF(mental_health[Daily_Screen_Time]&lt;=8,"Medium","High"))</f>
        <v>High</v>
      </c>
    </row>
    <row r="744" spans="1:22" x14ac:dyDescent="0.3">
      <c r="A744">
        <v>743</v>
      </c>
      <c r="B744">
        <v>49</v>
      </c>
      <c r="C744" t="s">
        <v>18</v>
      </c>
      <c r="D744" t="s">
        <v>24</v>
      </c>
      <c r="E744">
        <v>9.1999999999999993</v>
      </c>
      <c r="F744">
        <v>2.7</v>
      </c>
      <c r="G744">
        <v>1</v>
      </c>
      <c r="H744" t="str">
        <f t="shared" si="11"/>
        <v>Night Usage</v>
      </c>
      <c r="I744">
        <v>8</v>
      </c>
      <c r="J744" s="3">
        <v>9</v>
      </c>
      <c r="K744">
        <v>5.5</v>
      </c>
      <c r="L744" t="s">
        <v>21</v>
      </c>
      <c r="M744">
        <v>5</v>
      </c>
      <c r="N744">
        <v>0</v>
      </c>
      <c r="O744">
        <v>1</v>
      </c>
      <c r="P744">
        <v>0</v>
      </c>
      <c r="Q744">
        <v>1</v>
      </c>
      <c r="R744">
        <v>1</v>
      </c>
      <c r="S744">
        <v>0</v>
      </c>
      <c r="T744" t="str">
        <f>IF(mental_health[Sleep_Hours]&lt;5,"Low",IF(mental_health[Sleep_Hours]&lt;7,"Medium","Good"))</f>
        <v>Good</v>
      </c>
      <c r="U744" t="str">
        <f>IF(mental_health[Stress_Level]&lt;=3,"Low",IF(mental_health[Stress_Level]&lt;=7,"Medium","High"))</f>
        <v>High</v>
      </c>
      <c r="V744" t="str">
        <f>IF(mental_health[Daily_Screen_Time]&lt;=4,"Low",IF(mental_health[Daily_Screen_Time]&lt;=8,"Medium","High"))</f>
        <v>High</v>
      </c>
    </row>
    <row r="745" spans="1:22" x14ac:dyDescent="0.3">
      <c r="A745">
        <v>744</v>
      </c>
      <c r="B745">
        <v>53</v>
      </c>
      <c r="C745" t="s">
        <v>23</v>
      </c>
      <c r="D745" t="s">
        <v>22</v>
      </c>
      <c r="E745">
        <v>4.9000000000000004</v>
      </c>
      <c r="F745">
        <v>3.3</v>
      </c>
      <c r="G745">
        <v>0</v>
      </c>
      <c r="H745" t="str">
        <f t="shared" si="11"/>
        <v>No Night Usage</v>
      </c>
      <c r="I745">
        <v>3.4</v>
      </c>
      <c r="J745" s="3">
        <v>3</v>
      </c>
      <c r="K745">
        <v>10.1</v>
      </c>
      <c r="L745" t="s">
        <v>25</v>
      </c>
      <c r="M745">
        <v>10</v>
      </c>
      <c r="N745">
        <v>2</v>
      </c>
      <c r="O745">
        <v>0</v>
      </c>
      <c r="P745">
        <v>0</v>
      </c>
      <c r="Q745">
        <v>0</v>
      </c>
      <c r="R745">
        <v>0</v>
      </c>
      <c r="S745">
        <v>0</v>
      </c>
      <c r="T745" t="str">
        <f>IF(mental_health[Sleep_Hours]&lt;5,"Low",IF(mental_health[Sleep_Hours]&lt;7,"Medium","Good"))</f>
        <v>Low</v>
      </c>
      <c r="U745" t="str">
        <f>IF(mental_health[Stress_Level]&lt;=3,"Low",IF(mental_health[Stress_Level]&lt;=7,"Medium","High"))</f>
        <v>Low</v>
      </c>
      <c r="V745" t="str">
        <f>IF(mental_health[Daily_Screen_Time]&lt;=4,"Low",IF(mental_health[Daily_Screen_Time]&lt;=8,"Medium","High"))</f>
        <v>Medium</v>
      </c>
    </row>
    <row r="746" spans="1:22" x14ac:dyDescent="0.3">
      <c r="A746">
        <v>745</v>
      </c>
      <c r="B746">
        <v>49</v>
      </c>
      <c r="C746" t="s">
        <v>23</v>
      </c>
      <c r="D746" t="s">
        <v>22</v>
      </c>
      <c r="E746">
        <v>10.8</v>
      </c>
      <c r="F746">
        <v>2.2999999999999998</v>
      </c>
      <c r="G746">
        <v>1</v>
      </c>
      <c r="H746" t="str">
        <f t="shared" si="11"/>
        <v>Night Usage</v>
      </c>
      <c r="I746">
        <v>7.1</v>
      </c>
      <c r="J746" s="3">
        <v>10</v>
      </c>
      <c r="K746">
        <v>4.4000000000000004</v>
      </c>
      <c r="L746" t="s">
        <v>25</v>
      </c>
      <c r="M746">
        <v>3</v>
      </c>
      <c r="N746">
        <v>2</v>
      </c>
      <c r="O746">
        <v>1</v>
      </c>
      <c r="P746">
        <v>1</v>
      </c>
      <c r="Q746">
        <v>1</v>
      </c>
      <c r="R746">
        <v>1</v>
      </c>
      <c r="S746">
        <v>0</v>
      </c>
      <c r="T746" t="str">
        <f>IF(mental_health[Sleep_Hours]&lt;5,"Low",IF(mental_health[Sleep_Hours]&lt;7,"Medium","Good"))</f>
        <v>Good</v>
      </c>
      <c r="U746" t="str">
        <f>IF(mental_health[Stress_Level]&lt;=3,"Low",IF(mental_health[Stress_Level]&lt;=7,"Medium","High"))</f>
        <v>High</v>
      </c>
      <c r="V746" t="str">
        <f>IF(mental_health[Daily_Screen_Time]&lt;=4,"Low",IF(mental_health[Daily_Screen_Time]&lt;=8,"Medium","High"))</f>
        <v>High</v>
      </c>
    </row>
    <row r="747" spans="1:22" x14ac:dyDescent="0.3">
      <c r="A747">
        <v>746</v>
      </c>
      <c r="B747">
        <v>33</v>
      </c>
      <c r="C747" t="s">
        <v>23</v>
      </c>
      <c r="D747" t="s">
        <v>19</v>
      </c>
      <c r="E747">
        <v>2.5</v>
      </c>
      <c r="F747">
        <v>5</v>
      </c>
      <c r="G747">
        <v>1</v>
      </c>
      <c r="H747" t="str">
        <f t="shared" si="11"/>
        <v>Night Usage</v>
      </c>
      <c r="I747">
        <v>6.2</v>
      </c>
      <c r="J747" s="3">
        <v>5</v>
      </c>
      <c r="K747">
        <v>6.6</v>
      </c>
      <c r="L747" t="s">
        <v>20</v>
      </c>
      <c r="M747">
        <v>9</v>
      </c>
      <c r="N747">
        <v>0</v>
      </c>
      <c r="O747">
        <v>0</v>
      </c>
      <c r="P747">
        <v>1</v>
      </c>
      <c r="Q747">
        <v>0</v>
      </c>
      <c r="R747">
        <v>0</v>
      </c>
      <c r="S747">
        <v>1</v>
      </c>
      <c r="T747" t="str">
        <f>IF(mental_health[Sleep_Hours]&lt;5,"Low",IF(mental_health[Sleep_Hours]&lt;7,"Medium","Good"))</f>
        <v>Medium</v>
      </c>
      <c r="U747" t="str">
        <f>IF(mental_health[Stress_Level]&lt;=3,"Low",IF(mental_health[Stress_Level]&lt;=7,"Medium","High"))</f>
        <v>Medium</v>
      </c>
      <c r="V747" t="str">
        <f>IF(mental_health[Daily_Screen_Time]&lt;=4,"Low",IF(mental_health[Daily_Screen_Time]&lt;=8,"Medium","High"))</f>
        <v>Low</v>
      </c>
    </row>
    <row r="748" spans="1:22" x14ac:dyDescent="0.3">
      <c r="A748">
        <v>747</v>
      </c>
      <c r="B748">
        <v>45</v>
      </c>
      <c r="C748" t="s">
        <v>18</v>
      </c>
      <c r="D748" t="s">
        <v>22</v>
      </c>
      <c r="E748">
        <v>4.3</v>
      </c>
      <c r="F748">
        <v>2.1</v>
      </c>
      <c r="G748">
        <v>0</v>
      </c>
      <c r="H748" t="str">
        <f t="shared" si="11"/>
        <v>No Night Usage</v>
      </c>
      <c r="I748">
        <v>5.3</v>
      </c>
      <c r="J748" s="3">
        <v>3</v>
      </c>
      <c r="K748">
        <v>6.7</v>
      </c>
      <c r="L748" t="s">
        <v>25</v>
      </c>
      <c r="M748">
        <v>2</v>
      </c>
      <c r="N748">
        <v>0</v>
      </c>
      <c r="O748">
        <v>1</v>
      </c>
      <c r="P748">
        <v>0</v>
      </c>
      <c r="Q748">
        <v>1</v>
      </c>
      <c r="R748">
        <v>0</v>
      </c>
      <c r="S748">
        <v>0</v>
      </c>
      <c r="T748" t="str">
        <f>IF(mental_health[Sleep_Hours]&lt;5,"Low",IF(mental_health[Sleep_Hours]&lt;7,"Medium","Good"))</f>
        <v>Medium</v>
      </c>
      <c r="U748" t="str">
        <f>IF(mental_health[Stress_Level]&lt;=3,"Low",IF(mental_health[Stress_Level]&lt;=7,"Medium","High"))</f>
        <v>Low</v>
      </c>
      <c r="V748" t="str">
        <f>IF(mental_health[Daily_Screen_Time]&lt;=4,"Low",IF(mental_health[Daily_Screen_Time]&lt;=8,"Medium","High"))</f>
        <v>Medium</v>
      </c>
    </row>
    <row r="749" spans="1:22" x14ac:dyDescent="0.3">
      <c r="A749">
        <v>748</v>
      </c>
      <c r="B749">
        <v>30</v>
      </c>
      <c r="C749" t="s">
        <v>18</v>
      </c>
      <c r="D749" t="s">
        <v>22</v>
      </c>
      <c r="E749">
        <v>11</v>
      </c>
      <c r="F749">
        <v>3.5</v>
      </c>
      <c r="G749">
        <v>1</v>
      </c>
      <c r="H749" t="str">
        <f t="shared" si="11"/>
        <v>Night Usage</v>
      </c>
      <c r="I749">
        <v>5</v>
      </c>
      <c r="J749" s="3">
        <v>5</v>
      </c>
      <c r="K749">
        <v>5.4</v>
      </c>
      <c r="L749" t="s">
        <v>25</v>
      </c>
      <c r="M749">
        <v>3</v>
      </c>
      <c r="N749">
        <v>1</v>
      </c>
      <c r="O749">
        <v>1</v>
      </c>
      <c r="P749">
        <v>0</v>
      </c>
      <c r="Q749">
        <v>0</v>
      </c>
      <c r="R749">
        <v>1</v>
      </c>
      <c r="S749">
        <v>1</v>
      </c>
      <c r="T749" t="str">
        <f>IF(mental_health[Sleep_Hours]&lt;5,"Low",IF(mental_health[Sleep_Hours]&lt;7,"Medium","Good"))</f>
        <v>Medium</v>
      </c>
      <c r="U749" t="str">
        <f>IF(mental_health[Stress_Level]&lt;=3,"Low",IF(mental_health[Stress_Level]&lt;=7,"Medium","High"))</f>
        <v>Medium</v>
      </c>
      <c r="V749" t="str">
        <f>IF(mental_health[Daily_Screen_Time]&lt;=4,"Low",IF(mental_health[Daily_Screen_Time]&lt;=8,"Medium","High"))</f>
        <v>High</v>
      </c>
    </row>
    <row r="750" spans="1:22" x14ac:dyDescent="0.3">
      <c r="A750">
        <v>749</v>
      </c>
      <c r="B750">
        <v>42</v>
      </c>
      <c r="C750" t="s">
        <v>18</v>
      </c>
      <c r="D750" t="s">
        <v>19</v>
      </c>
      <c r="E750">
        <v>4.5999999999999996</v>
      </c>
      <c r="F750">
        <v>5.9</v>
      </c>
      <c r="G750">
        <v>0</v>
      </c>
      <c r="H750" t="str">
        <f t="shared" si="11"/>
        <v>No Night Usage</v>
      </c>
      <c r="I750">
        <v>6.7</v>
      </c>
      <c r="J750" s="3">
        <v>10</v>
      </c>
      <c r="K750">
        <v>11.5</v>
      </c>
      <c r="L750" t="s">
        <v>20</v>
      </c>
      <c r="M750">
        <v>4</v>
      </c>
      <c r="N750">
        <v>0</v>
      </c>
      <c r="O750">
        <v>0</v>
      </c>
      <c r="P750">
        <v>1</v>
      </c>
      <c r="Q750">
        <v>0</v>
      </c>
      <c r="R750">
        <v>1</v>
      </c>
      <c r="S750">
        <v>1</v>
      </c>
      <c r="T750" t="str">
        <f>IF(mental_health[Sleep_Hours]&lt;5,"Low",IF(mental_health[Sleep_Hours]&lt;7,"Medium","Good"))</f>
        <v>Medium</v>
      </c>
      <c r="U750" t="str">
        <f>IF(mental_health[Stress_Level]&lt;=3,"Low",IF(mental_health[Stress_Level]&lt;=7,"Medium","High"))</f>
        <v>High</v>
      </c>
      <c r="V750" t="str">
        <f>IF(mental_health[Daily_Screen_Time]&lt;=4,"Low",IF(mental_health[Daily_Screen_Time]&lt;=8,"Medium","High"))</f>
        <v>Medium</v>
      </c>
    </row>
    <row r="751" spans="1:22" x14ac:dyDescent="0.3">
      <c r="A751">
        <v>750</v>
      </c>
      <c r="B751">
        <v>49</v>
      </c>
      <c r="C751" t="s">
        <v>23</v>
      </c>
      <c r="D751" t="s">
        <v>24</v>
      </c>
      <c r="E751">
        <v>4.2</v>
      </c>
      <c r="F751">
        <v>4.9000000000000004</v>
      </c>
      <c r="G751">
        <v>1</v>
      </c>
      <c r="H751" t="str">
        <f t="shared" si="11"/>
        <v>Night Usage</v>
      </c>
      <c r="I751">
        <v>8.3000000000000007</v>
      </c>
      <c r="J751" s="3">
        <v>1</v>
      </c>
      <c r="K751">
        <v>9</v>
      </c>
      <c r="L751" t="s">
        <v>25</v>
      </c>
      <c r="M751">
        <v>10</v>
      </c>
      <c r="N751">
        <v>4</v>
      </c>
      <c r="O751">
        <v>0</v>
      </c>
      <c r="P751">
        <v>0</v>
      </c>
      <c r="Q751">
        <v>0</v>
      </c>
      <c r="R751">
        <v>0</v>
      </c>
      <c r="S751">
        <v>1</v>
      </c>
      <c r="T751" t="str">
        <f>IF(mental_health[Sleep_Hours]&lt;5,"Low",IF(mental_health[Sleep_Hours]&lt;7,"Medium","Good"))</f>
        <v>Good</v>
      </c>
      <c r="U751" t="str">
        <f>IF(mental_health[Stress_Level]&lt;=3,"Low",IF(mental_health[Stress_Level]&lt;=7,"Medium","High"))</f>
        <v>Low</v>
      </c>
      <c r="V751" t="str">
        <f>IF(mental_health[Daily_Screen_Time]&lt;=4,"Low",IF(mental_health[Daily_Screen_Time]&lt;=8,"Medium","High"))</f>
        <v>Medium</v>
      </c>
    </row>
    <row r="752" spans="1:22" x14ac:dyDescent="0.3">
      <c r="A752">
        <v>751</v>
      </c>
      <c r="B752">
        <v>53</v>
      </c>
      <c r="C752" t="s">
        <v>18</v>
      </c>
      <c r="D752" t="s">
        <v>24</v>
      </c>
      <c r="E752">
        <v>3.4</v>
      </c>
      <c r="F752">
        <v>3.7</v>
      </c>
      <c r="G752">
        <v>1</v>
      </c>
      <c r="H752" t="str">
        <f t="shared" si="11"/>
        <v>Night Usage</v>
      </c>
      <c r="I752">
        <v>6</v>
      </c>
      <c r="J752" s="3">
        <v>4</v>
      </c>
      <c r="K752">
        <v>7.4</v>
      </c>
      <c r="L752" t="s">
        <v>25</v>
      </c>
      <c r="M752">
        <v>1</v>
      </c>
      <c r="N752">
        <v>1</v>
      </c>
      <c r="O752">
        <v>0</v>
      </c>
      <c r="P752">
        <v>1</v>
      </c>
      <c r="Q752">
        <v>1</v>
      </c>
      <c r="R752">
        <v>0</v>
      </c>
      <c r="S752">
        <v>0</v>
      </c>
      <c r="T752" t="str">
        <f>IF(mental_health[Sleep_Hours]&lt;5,"Low",IF(mental_health[Sleep_Hours]&lt;7,"Medium","Good"))</f>
        <v>Medium</v>
      </c>
      <c r="U752" t="str">
        <f>IF(mental_health[Stress_Level]&lt;=3,"Low",IF(mental_health[Stress_Level]&lt;=7,"Medium","High"))</f>
        <v>Medium</v>
      </c>
      <c r="V752" t="str">
        <f>IF(mental_health[Daily_Screen_Time]&lt;=4,"Low",IF(mental_health[Daily_Screen_Time]&lt;=8,"Medium","High"))</f>
        <v>Low</v>
      </c>
    </row>
    <row r="753" spans="1:22" x14ac:dyDescent="0.3">
      <c r="A753">
        <v>752</v>
      </c>
      <c r="B753">
        <v>48</v>
      </c>
      <c r="C753" t="s">
        <v>18</v>
      </c>
      <c r="D753" t="s">
        <v>19</v>
      </c>
      <c r="E753">
        <v>10.6</v>
      </c>
      <c r="F753">
        <v>3.9</v>
      </c>
      <c r="G753">
        <v>1</v>
      </c>
      <c r="H753" t="str">
        <f t="shared" si="11"/>
        <v>Night Usage</v>
      </c>
      <c r="I753">
        <v>7.9</v>
      </c>
      <c r="J753" s="3">
        <v>6</v>
      </c>
      <c r="K753">
        <v>7.1</v>
      </c>
      <c r="L753" t="s">
        <v>21</v>
      </c>
      <c r="M753">
        <v>4</v>
      </c>
      <c r="N753">
        <v>1</v>
      </c>
      <c r="O753">
        <v>1</v>
      </c>
      <c r="P753">
        <v>0</v>
      </c>
      <c r="Q753">
        <v>0</v>
      </c>
      <c r="R753">
        <v>0</v>
      </c>
      <c r="S753">
        <v>1</v>
      </c>
      <c r="T753" t="str">
        <f>IF(mental_health[Sleep_Hours]&lt;5,"Low",IF(mental_health[Sleep_Hours]&lt;7,"Medium","Good"))</f>
        <v>Good</v>
      </c>
      <c r="U753" t="str">
        <f>IF(mental_health[Stress_Level]&lt;=3,"Low",IF(mental_health[Stress_Level]&lt;=7,"Medium","High"))</f>
        <v>Medium</v>
      </c>
      <c r="V753" t="str">
        <f>IF(mental_health[Daily_Screen_Time]&lt;=4,"Low",IF(mental_health[Daily_Screen_Time]&lt;=8,"Medium","High"))</f>
        <v>High</v>
      </c>
    </row>
    <row r="754" spans="1:22" x14ac:dyDescent="0.3">
      <c r="A754">
        <v>753</v>
      </c>
      <c r="B754">
        <v>39</v>
      </c>
      <c r="C754" t="s">
        <v>23</v>
      </c>
      <c r="D754" t="s">
        <v>24</v>
      </c>
      <c r="E754">
        <v>7</v>
      </c>
      <c r="F754">
        <v>4.9000000000000004</v>
      </c>
      <c r="G754">
        <v>0</v>
      </c>
      <c r="H754" t="str">
        <f t="shared" si="11"/>
        <v>No Night Usage</v>
      </c>
      <c r="I754">
        <v>5.4</v>
      </c>
      <c r="J754" s="3">
        <v>2</v>
      </c>
      <c r="K754">
        <v>3.6</v>
      </c>
      <c r="L754" t="s">
        <v>21</v>
      </c>
      <c r="M754">
        <v>4</v>
      </c>
      <c r="N754">
        <v>1</v>
      </c>
      <c r="O754">
        <v>1</v>
      </c>
      <c r="P754">
        <v>0</v>
      </c>
      <c r="Q754">
        <v>1</v>
      </c>
      <c r="R754">
        <v>1</v>
      </c>
      <c r="S754">
        <v>0</v>
      </c>
      <c r="T754" t="str">
        <f>IF(mental_health[Sleep_Hours]&lt;5,"Low",IF(mental_health[Sleep_Hours]&lt;7,"Medium","Good"))</f>
        <v>Medium</v>
      </c>
      <c r="U754" t="str">
        <f>IF(mental_health[Stress_Level]&lt;=3,"Low",IF(mental_health[Stress_Level]&lt;=7,"Medium","High"))</f>
        <v>Low</v>
      </c>
      <c r="V754" t="str">
        <f>IF(mental_health[Daily_Screen_Time]&lt;=4,"Low",IF(mental_health[Daily_Screen_Time]&lt;=8,"Medium","High"))</f>
        <v>Medium</v>
      </c>
    </row>
    <row r="755" spans="1:22" x14ac:dyDescent="0.3">
      <c r="A755">
        <v>754</v>
      </c>
      <c r="B755">
        <v>30</v>
      </c>
      <c r="C755" t="s">
        <v>18</v>
      </c>
      <c r="D755" t="s">
        <v>22</v>
      </c>
      <c r="E755">
        <v>8.6999999999999993</v>
      </c>
      <c r="F755">
        <v>1</v>
      </c>
      <c r="G755">
        <v>1</v>
      </c>
      <c r="H755" t="str">
        <f t="shared" si="11"/>
        <v>Night Usage</v>
      </c>
      <c r="I755">
        <v>3.6</v>
      </c>
      <c r="J755" s="3">
        <v>7</v>
      </c>
      <c r="K755">
        <v>5.7</v>
      </c>
      <c r="L755" t="s">
        <v>21</v>
      </c>
      <c r="M755">
        <v>9</v>
      </c>
      <c r="N755">
        <v>4</v>
      </c>
      <c r="O755">
        <v>1</v>
      </c>
      <c r="P755">
        <v>0</v>
      </c>
      <c r="Q755">
        <v>0</v>
      </c>
      <c r="R755">
        <v>0</v>
      </c>
      <c r="S755">
        <v>1</v>
      </c>
      <c r="T755" t="str">
        <f>IF(mental_health[Sleep_Hours]&lt;5,"Low",IF(mental_health[Sleep_Hours]&lt;7,"Medium","Good"))</f>
        <v>Low</v>
      </c>
      <c r="U755" t="str">
        <f>IF(mental_health[Stress_Level]&lt;=3,"Low",IF(mental_health[Stress_Level]&lt;=7,"Medium","High"))</f>
        <v>Medium</v>
      </c>
      <c r="V755" t="str">
        <f>IF(mental_health[Daily_Screen_Time]&lt;=4,"Low",IF(mental_health[Daily_Screen_Time]&lt;=8,"Medium","High"))</f>
        <v>High</v>
      </c>
    </row>
    <row r="756" spans="1:22" x14ac:dyDescent="0.3">
      <c r="A756">
        <v>755</v>
      </c>
      <c r="B756">
        <v>45</v>
      </c>
      <c r="C756" t="s">
        <v>18</v>
      </c>
      <c r="D756" t="s">
        <v>19</v>
      </c>
      <c r="E756">
        <v>4.4000000000000004</v>
      </c>
      <c r="F756">
        <v>1.5</v>
      </c>
      <c r="G756">
        <v>1</v>
      </c>
      <c r="H756" t="str">
        <f t="shared" si="11"/>
        <v>Night Usage</v>
      </c>
      <c r="I756">
        <v>3.4</v>
      </c>
      <c r="J756" s="3">
        <v>8</v>
      </c>
      <c r="K756">
        <v>8.6999999999999993</v>
      </c>
      <c r="L756" t="s">
        <v>25</v>
      </c>
      <c r="M756">
        <v>8</v>
      </c>
      <c r="N756">
        <v>1</v>
      </c>
      <c r="O756">
        <v>0</v>
      </c>
      <c r="P756">
        <v>0</v>
      </c>
      <c r="Q756">
        <v>1</v>
      </c>
      <c r="R756">
        <v>1</v>
      </c>
      <c r="S756">
        <v>1</v>
      </c>
      <c r="T756" t="str">
        <f>IF(mental_health[Sleep_Hours]&lt;5,"Low",IF(mental_health[Sleep_Hours]&lt;7,"Medium","Good"))</f>
        <v>Low</v>
      </c>
      <c r="U756" t="str">
        <f>IF(mental_health[Stress_Level]&lt;=3,"Low",IF(mental_health[Stress_Level]&lt;=7,"Medium","High"))</f>
        <v>High</v>
      </c>
      <c r="V756" t="str">
        <f>IF(mental_health[Daily_Screen_Time]&lt;=4,"Low",IF(mental_health[Daily_Screen_Time]&lt;=8,"Medium","High"))</f>
        <v>Medium</v>
      </c>
    </row>
    <row r="757" spans="1:22" x14ac:dyDescent="0.3">
      <c r="A757">
        <v>756</v>
      </c>
      <c r="B757">
        <v>57</v>
      </c>
      <c r="C757" t="s">
        <v>23</v>
      </c>
      <c r="D757" t="s">
        <v>19</v>
      </c>
      <c r="E757">
        <v>9.6</v>
      </c>
      <c r="F757">
        <v>7.2</v>
      </c>
      <c r="G757">
        <v>1</v>
      </c>
      <c r="H757" t="str">
        <f t="shared" si="11"/>
        <v>Night Usage</v>
      </c>
      <c r="I757">
        <v>3.3</v>
      </c>
      <c r="J757" s="3">
        <v>1</v>
      </c>
      <c r="K757">
        <v>11.2</v>
      </c>
      <c r="L757" t="s">
        <v>20</v>
      </c>
      <c r="M757">
        <v>2</v>
      </c>
      <c r="N757">
        <v>1</v>
      </c>
      <c r="O757">
        <v>0</v>
      </c>
      <c r="P757">
        <v>1</v>
      </c>
      <c r="Q757">
        <v>0</v>
      </c>
      <c r="R757">
        <v>0</v>
      </c>
      <c r="S757">
        <v>1</v>
      </c>
      <c r="T757" t="str">
        <f>IF(mental_health[Sleep_Hours]&lt;5,"Low",IF(mental_health[Sleep_Hours]&lt;7,"Medium","Good"))</f>
        <v>Low</v>
      </c>
      <c r="U757" t="str">
        <f>IF(mental_health[Stress_Level]&lt;=3,"Low",IF(mental_health[Stress_Level]&lt;=7,"Medium","High"))</f>
        <v>Low</v>
      </c>
      <c r="V757" t="str">
        <f>IF(mental_health[Daily_Screen_Time]&lt;=4,"Low",IF(mental_health[Daily_Screen_Time]&lt;=8,"Medium","High"))</f>
        <v>High</v>
      </c>
    </row>
    <row r="758" spans="1:22" x14ac:dyDescent="0.3">
      <c r="A758">
        <v>757</v>
      </c>
      <c r="B758">
        <v>32</v>
      </c>
      <c r="C758" t="s">
        <v>18</v>
      </c>
      <c r="D758" t="s">
        <v>19</v>
      </c>
      <c r="E758">
        <v>9.6</v>
      </c>
      <c r="F758">
        <v>1.5</v>
      </c>
      <c r="G758">
        <v>1</v>
      </c>
      <c r="H758" t="str">
        <f t="shared" si="11"/>
        <v>Night Usage</v>
      </c>
      <c r="I758">
        <v>5.3</v>
      </c>
      <c r="J758" s="3">
        <v>4</v>
      </c>
      <c r="K758">
        <v>10.199999999999999</v>
      </c>
      <c r="L758" t="s">
        <v>21</v>
      </c>
      <c r="M758">
        <v>7</v>
      </c>
      <c r="N758">
        <v>2</v>
      </c>
      <c r="O758">
        <v>0</v>
      </c>
      <c r="P758">
        <v>1</v>
      </c>
      <c r="Q758">
        <v>1</v>
      </c>
      <c r="R758">
        <v>0</v>
      </c>
      <c r="S758">
        <v>1</v>
      </c>
      <c r="T758" t="str">
        <f>IF(mental_health[Sleep_Hours]&lt;5,"Low",IF(mental_health[Sleep_Hours]&lt;7,"Medium","Good"))</f>
        <v>Medium</v>
      </c>
      <c r="U758" t="str">
        <f>IF(mental_health[Stress_Level]&lt;=3,"Low",IF(mental_health[Stress_Level]&lt;=7,"Medium","High"))</f>
        <v>Medium</v>
      </c>
      <c r="V758" t="str">
        <f>IF(mental_health[Daily_Screen_Time]&lt;=4,"Low",IF(mental_health[Daily_Screen_Time]&lt;=8,"Medium","High"))</f>
        <v>High</v>
      </c>
    </row>
    <row r="759" spans="1:22" x14ac:dyDescent="0.3">
      <c r="A759">
        <v>758</v>
      </c>
      <c r="B759">
        <v>20</v>
      </c>
      <c r="C759" t="s">
        <v>23</v>
      </c>
      <c r="D759" t="s">
        <v>24</v>
      </c>
      <c r="E759">
        <v>5.0999999999999996</v>
      </c>
      <c r="F759">
        <v>5.9</v>
      </c>
      <c r="G759">
        <v>0</v>
      </c>
      <c r="H759" t="str">
        <f t="shared" si="11"/>
        <v>No Night Usage</v>
      </c>
      <c r="I759">
        <v>5</v>
      </c>
      <c r="J759" s="3">
        <v>4</v>
      </c>
      <c r="K759">
        <v>5</v>
      </c>
      <c r="L759" t="s">
        <v>25</v>
      </c>
      <c r="M759">
        <v>6</v>
      </c>
      <c r="N759">
        <v>2</v>
      </c>
      <c r="O759">
        <v>1</v>
      </c>
      <c r="P759">
        <v>0</v>
      </c>
      <c r="Q759">
        <v>0</v>
      </c>
      <c r="R759">
        <v>1</v>
      </c>
      <c r="S759">
        <v>0</v>
      </c>
      <c r="T759" t="str">
        <f>IF(mental_health[Sleep_Hours]&lt;5,"Low",IF(mental_health[Sleep_Hours]&lt;7,"Medium","Good"))</f>
        <v>Medium</v>
      </c>
      <c r="U759" t="str">
        <f>IF(mental_health[Stress_Level]&lt;=3,"Low",IF(mental_health[Stress_Level]&lt;=7,"Medium","High"))</f>
        <v>Medium</v>
      </c>
      <c r="V759" t="str">
        <f>IF(mental_health[Daily_Screen_Time]&lt;=4,"Low",IF(mental_health[Daily_Screen_Time]&lt;=8,"Medium","High"))</f>
        <v>Medium</v>
      </c>
    </row>
    <row r="760" spans="1:22" x14ac:dyDescent="0.3">
      <c r="A760">
        <v>759</v>
      </c>
      <c r="B760">
        <v>44</v>
      </c>
      <c r="C760" t="s">
        <v>23</v>
      </c>
      <c r="D760" t="s">
        <v>19</v>
      </c>
      <c r="E760">
        <v>6.1</v>
      </c>
      <c r="F760">
        <v>7.4</v>
      </c>
      <c r="G760">
        <v>0</v>
      </c>
      <c r="H760" t="str">
        <f t="shared" si="11"/>
        <v>No Night Usage</v>
      </c>
      <c r="I760">
        <v>7.3</v>
      </c>
      <c r="J760" s="3">
        <v>5</v>
      </c>
      <c r="K760">
        <v>6.3</v>
      </c>
      <c r="L760" t="s">
        <v>21</v>
      </c>
      <c r="M760">
        <v>7</v>
      </c>
      <c r="N760">
        <v>0</v>
      </c>
      <c r="O760">
        <v>1</v>
      </c>
      <c r="P760">
        <v>0</v>
      </c>
      <c r="Q760">
        <v>0</v>
      </c>
      <c r="R760">
        <v>0</v>
      </c>
      <c r="S760">
        <v>0</v>
      </c>
      <c r="T760" t="str">
        <f>IF(mental_health[Sleep_Hours]&lt;5,"Low",IF(mental_health[Sleep_Hours]&lt;7,"Medium","Good"))</f>
        <v>Good</v>
      </c>
      <c r="U760" t="str">
        <f>IF(mental_health[Stress_Level]&lt;=3,"Low",IF(mental_health[Stress_Level]&lt;=7,"Medium","High"))</f>
        <v>Medium</v>
      </c>
      <c r="V760" t="str">
        <f>IF(mental_health[Daily_Screen_Time]&lt;=4,"Low",IF(mental_health[Daily_Screen_Time]&lt;=8,"Medium","High"))</f>
        <v>Medium</v>
      </c>
    </row>
    <row r="761" spans="1:22" x14ac:dyDescent="0.3">
      <c r="A761">
        <v>760</v>
      </c>
      <c r="B761">
        <v>19</v>
      </c>
      <c r="C761" t="s">
        <v>23</v>
      </c>
      <c r="D761" t="s">
        <v>19</v>
      </c>
      <c r="E761">
        <v>4.0999999999999996</v>
      </c>
      <c r="F761">
        <v>2.9</v>
      </c>
      <c r="G761">
        <v>1</v>
      </c>
      <c r="H761" t="str">
        <f t="shared" si="11"/>
        <v>Night Usage</v>
      </c>
      <c r="I761">
        <v>7.5</v>
      </c>
      <c r="J761" s="3">
        <v>4</v>
      </c>
      <c r="K761">
        <v>2.8</v>
      </c>
      <c r="L761" t="s">
        <v>20</v>
      </c>
      <c r="M761">
        <v>4</v>
      </c>
      <c r="N761">
        <v>0</v>
      </c>
      <c r="O761">
        <v>0</v>
      </c>
      <c r="P761">
        <v>0</v>
      </c>
      <c r="Q761">
        <v>0</v>
      </c>
      <c r="R761">
        <v>0</v>
      </c>
      <c r="S761">
        <v>1</v>
      </c>
      <c r="T761" t="str">
        <f>IF(mental_health[Sleep_Hours]&lt;5,"Low",IF(mental_health[Sleep_Hours]&lt;7,"Medium","Good"))</f>
        <v>Good</v>
      </c>
      <c r="U761" t="str">
        <f>IF(mental_health[Stress_Level]&lt;=3,"Low",IF(mental_health[Stress_Level]&lt;=7,"Medium","High"))</f>
        <v>Medium</v>
      </c>
      <c r="V761" t="str">
        <f>IF(mental_health[Daily_Screen_Time]&lt;=4,"Low",IF(mental_health[Daily_Screen_Time]&lt;=8,"Medium","High"))</f>
        <v>Medium</v>
      </c>
    </row>
    <row r="762" spans="1:22" x14ac:dyDescent="0.3">
      <c r="A762">
        <v>761</v>
      </c>
      <c r="B762">
        <v>25</v>
      </c>
      <c r="C762" t="s">
        <v>23</v>
      </c>
      <c r="D762" t="s">
        <v>19</v>
      </c>
      <c r="E762">
        <v>11.8</v>
      </c>
      <c r="F762">
        <v>3.6</v>
      </c>
      <c r="G762">
        <v>1</v>
      </c>
      <c r="H762" t="str">
        <f t="shared" si="11"/>
        <v>Night Usage</v>
      </c>
      <c r="I762">
        <v>3.3</v>
      </c>
      <c r="J762" s="3">
        <v>9</v>
      </c>
      <c r="K762">
        <v>3</v>
      </c>
      <c r="L762" t="s">
        <v>20</v>
      </c>
      <c r="M762">
        <v>5</v>
      </c>
      <c r="N762">
        <v>3</v>
      </c>
      <c r="O762">
        <v>0</v>
      </c>
      <c r="P762">
        <v>0</v>
      </c>
      <c r="Q762">
        <v>1</v>
      </c>
      <c r="R762">
        <v>1</v>
      </c>
      <c r="S762">
        <v>1</v>
      </c>
      <c r="T762" t="str">
        <f>IF(mental_health[Sleep_Hours]&lt;5,"Low",IF(mental_health[Sleep_Hours]&lt;7,"Medium","Good"))</f>
        <v>Low</v>
      </c>
      <c r="U762" t="str">
        <f>IF(mental_health[Stress_Level]&lt;=3,"Low",IF(mental_health[Stress_Level]&lt;=7,"Medium","High"))</f>
        <v>High</v>
      </c>
      <c r="V762" t="str">
        <f>IF(mental_health[Daily_Screen_Time]&lt;=4,"Low",IF(mental_health[Daily_Screen_Time]&lt;=8,"Medium","High"))</f>
        <v>High</v>
      </c>
    </row>
    <row r="763" spans="1:22" x14ac:dyDescent="0.3">
      <c r="A763">
        <v>762</v>
      </c>
      <c r="B763">
        <v>32</v>
      </c>
      <c r="C763" t="s">
        <v>23</v>
      </c>
      <c r="D763" t="s">
        <v>24</v>
      </c>
      <c r="E763">
        <v>8.5</v>
      </c>
      <c r="F763">
        <v>5</v>
      </c>
      <c r="G763">
        <v>1</v>
      </c>
      <c r="H763" t="str">
        <f t="shared" si="11"/>
        <v>Night Usage</v>
      </c>
      <c r="I763">
        <v>4.3</v>
      </c>
      <c r="J763" s="3">
        <v>7</v>
      </c>
      <c r="K763">
        <v>6.7</v>
      </c>
      <c r="L763" t="s">
        <v>20</v>
      </c>
      <c r="M763">
        <v>6</v>
      </c>
      <c r="N763">
        <v>4</v>
      </c>
      <c r="O763">
        <v>0</v>
      </c>
      <c r="P763">
        <v>1</v>
      </c>
      <c r="Q763">
        <v>0</v>
      </c>
      <c r="R763">
        <v>1</v>
      </c>
      <c r="S763">
        <v>1</v>
      </c>
      <c r="T763" t="str">
        <f>IF(mental_health[Sleep_Hours]&lt;5,"Low",IF(mental_health[Sleep_Hours]&lt;7,"Medium","Good"))</f>
        <v>Low</v>
      </c>
      <c r="U763" t="str">
        <f>IF(mental_health[Stress_Level]&lt;=3,"Low",IF(mental_health[Stress_Level]&lt;=7,"Medium","High"))</f>
        <v>Medium</v>
      </c>
      <c r="V763" t="str">
        <f>IF(mental_health[Daily_Screen_Time]&lt;=4,"Low",IF(mental_health[Daily_Screen_Time]&lt;=8,"Medium","High"))</f>
        <v>High</v>
      </c>
    </row>
    <row r="764" spans="1:22" x14ac:dyDescent="0.3">
      <c r="A764">
        <v>763</v>
      </c>
      <c r="B764">
        <v>25</v>
      </c>
      <c r="C764" t="s">
        <v>18</v>
      </c>
      <c r="D764" t="s">
        <v>22</v>
      </c>
      <c r="E764">
        <v>11.3</v>
      </c>
      <c r="F764">
        <v>7.2</v>
      </c>
      <c r="G764">
        <v>0</v>
      </c>
      <c r="H764" t="str">
        <f t="shared" si="11"/>
        <v>No Night Usage</v>
      </c>
      <c r="I764">
        <v>4.5999999999999996</v>
      </c>
      <c r="J764" s="3">
        <v>2</v>
      </c>
      <c r="K764">
        <v>7.3</v>
      </c>
      <c r="L764" t="s">
        <v>20</v>
      </c>
      <c r="M764">
        <v>9</v>
      </c>
      <c r="N764">
        <v>2</v>
      </c>
      <c r="O764">
        <v>1</v>
      </c>
      <c r="P764">
        <v>1</v>
      </c>
      <c r="Q764">
        <v>0</v>
      </c>
      <c r="R764">
        <v>0</v>
      </c>
      <c r="S764">
        <v>0</v>
      </c>
      <c r="T764" t="str">
        <f>IF(mental_health[Sleep_Hours]&lt;5,"Low",IF(mental_health[Sleep_Hours]&lt;7,"Medium","Good"))</f>
        <v>Low</v>
      </c>
      <c r="U764" t="str">
        <f>IF(mental_health[Stress_Level]&lt;=3,"Low",IF(mental_health[Stress_Level]&lt;=7,"Medium","High"))</f>
        <v>Low</v>
      </c>
      <c r="V764" t="str">
        <f>IF(mental_health[Daily_Screen_Time]&lt;=4,"Low",IF(mental_health[Daily_Screen_Time]&lt;=8,"Medium","High"))</f>
        <v>High</v>
      </c>
    </row>
    <row r="765" spans="1:22" x14ac:dyDescent="0.3">
      <c r="A765">
        <v>764</v>
      </c>
      <c r="B765">
        <v>32</v>
      </c>
      <c r="C765" t="s">
        <v>18</v>
      </c>
      <c r="D765" t="s">
        <v>19</v>
      </c>
      <c r="E765">
        <v>5</v>
      </c>
      <c r="F765">
        <v>7.6</v>
      </c>
      <c r="G765">
        <v>1</v>
      </c>
      <c r="H765" t="str">
        <f t="shared" si="11"/>
        <v>Night Usage</v>
      </c>
      <c r="I765">
        <v>6.3</v>
      </c>
      <c r="J765" s="3">
        <v>1</v>
      </c>
      <c r="K765">
        <v>4.5999999999999996</v>
      </c>
      <c r="L765" t="s">
        <v>20</v>
      </c>
      <c r="M765">
        <v>2</v>
      </c>
      <c r="N765">
        <v>0</v>
      </c>
      <c r="O765">
        <v>1</v>
      </c>
      <c r="P765">
        <v>0</v>
      </c>
      <c r="Q765">
        <v>0</v>
      </c>
      <c r="R765">
        <v>0</v>
      </c>
      <c r="S765">
        <v>0</v>
      </c>
      <c r="T765" t="str">
        <f>IF(mental_health[Sleep_Hours]&lt;5,"Low",IF(mental_health[Sleep_Hours]&lt;7,"Medium","Good"))</f>
        <v>Medium</v>
      </c>
      <c r="U765" t="str">
        <f>IF(mental_health[Stress_Level]&lt;=3,"Low",IF(mental_health[Stress_Level]&lt;=7,"Medium","High"))</f>
        <v>Low</v>
      </c>
      <c r="V765" t="str">
        <f>IF(mental_health[Daily_Screen_Time]&lt;=4,"Low",IF(mental_health[Daily_Screen_Time]&lt;=8,"Medium","High"))</f>
        <v>Medium</v>
      </c>
    </row>
    <row r="766" spans="1:22" x14ac:dyDescent="0.3">
      <c r="A766">
        <v>765</v>
      </c>
      <c r="B766">
        <v>35</v>
      </c>
      <c r="C766" t="s">
        <v>23</v>
      </c>
      <c r="D766" t="s">
        <v>22</v>
      </c>
      <c r="E766">
        <v>9.8000000000000007</v>
      </c>
      <c r="F766">
        <v>6.2</v>
      </c>
      <c r="G766">
        <v>1</v>
      </c>
      <c r="H766" t="str">
        <f t="shared" si="11"/>
        <v>Night Usage</v>
      </c>
      <c r="I766">
        <v>3.9</v>
      </c>
      <c r="J766" s="3">
        <v>9</v>
      </c>
      <c r="K766">
        <v>8.4</v>
      </c>
      <c r="L766" t="s">
        <v>20</v>
      </c>
      <c r="M766">
        <v>9</v>
      </c>
      <c r="N766">
        <v>4</v>
      </c>
      <c r="O766">
        <v>0</v>
      </c>
      <c r="P766">
        <v>1</v>
      </c>
      <c r="Q766">
        <v>1</v>
      </c>
      <c r="R766">
        <v>1</v>
      </c>
      <c r="S766">
        <v>1</v>
      </c>
      <c r="T766" t="str">
        <f>IF(mental_health[Sleep_Hours]&lt;5,"Low",IF(mental_health[Sleep_Hours]&lt;7,"Medium","Good"))</f>
        <v>Low</v>
      </c>
      <c r="U766" t="str">
        <f>IF(mental_health[Stress_Level]&lt;=3,"Low",IF(mental_health[Stress_Level]&lt;=7,"Medium","High"))</f>
        <v>High</v>
      </c>
      <c r="V766" t="str">
        <f>IF(mental_health[Daily_Screen_Time]&lt;=4,"Low",IF(mental_health[Daily_Screen_Time]&lt;=8,"Medium","High"))</f>
        <v>High</v>
      </c>
    </row>
    <row r="767" spans="1:22" x14ac:dyDescent="0.3">
      <c r="A767">
        <v>766</v>
      </c>
      <c r="B767">
        <v>39</v>
      </c>
      <c r="C767" t="s">
        <v>23</v>
      </c>
      <c r="D767" t="s">
        <v>24</v>
      </c>
      <c r="E767">
        <v>9.6999999999999993</v>
      </c>
      <c r="F767">
        <v>1.6</v>
      </c>
      <c r="G767">
        <v>0</v>
      </c>
      <c r="H767" t="str">
        <f t="shared" si="11"/>
        <v>No Night Usage</v>
      </c>
      <c r="I767">
        <v>3.8</v>
      </c>
      <c r="J767" s="3">
        <v>1</v>
      </c>
      <c r="K767">
        <v>9</v>
      </c>
      <c r="L767" t="s">
        <v>25</v>
      </c>
      <c r="M767">
        <v>10</v>
      </c>
      <c r="N767">
        <v>1</v>
      </c>
      <c r="O767">
        <v>0</v>
      </c>
      <c r="P767">
        <v>1</v>
      </c>
      <c r="Q767">
        <v>0</v>
      </c>
      <c r="R767">
        <v>0</v>
      </c>
      <c r="S767">
        <v>0</v>
      </c>
      <c r="T767" t="str">
        <f>IF(mental_health[Sleep_Hours]&lt;5,"Low",IF(mental_health[Sleep_Hours]&lt;7,"Medium","Good"))</f>
        <v>Low</v>
      </c>
      <c r="U767" t="str">
        <f>IF(mental_health[Stress_Level]&lt;=3,"Low",IF(mental_health[Stress_Level]&lt;=7,"Medium","High"))</f>
        <v>Low</v>
      </c>
      <c r="V767" t="str">
        <f>IF(mental_health[Daily_Screen_Time]&lt;=4,"Low",IF(mental_health[Daily_Screen_Time]&lt;=8,"Medium","High"))</f>
        <v>High</v>
      </c>
    </row>
    <row r="768" spans="1:22" x14ac:dyDescent="0.3">
      <c r="A768">
        <v>767</v>
      </c>
      <c r="B768">
        <v>20</v>
      </c>
      <c r="C768" t="s">
        <v>18</v>
      </c>
      <c r="D768" t="s">
        <v>24</v>
      </c>
      <c r="E768">
        <v>8.9</v>
      </c>
      <c r="F768">
        <v>5.7</v>
      </c>
      <c r="G768">
        <v>0</v>
      </c>
      <c r="H768" t="str">
        <f t="shared" si="11"/>
        <v>No Night Usage</v>
      </c>
      <c r="I768">
        <v>8.6999999999999993</v>
      </c>
      <c r="J768" s="3">
        <v>6</v>
      </c>
      <c r="K768">
        <v>5</v>
      </c>
      <c r="L768" t="s">
        <v>21</v>
      </c>
      <c r="M768">
        <v>1</v>
      </c>
      <c r="N768">
        <v>4</v>
      </c>
      <c r="O768">
        <v>0</v>
      </c>
      <c r="P768">
        <v>0</v>
      </c>
      <c r="Q768">
        <v>0</v>
      </c>
      <c r="R768">
        <v>1</v>
      </c>
      <c r="S768">
        <v>1</v>
      </c>
      <c r="T768" t="str">
        <f>IF(mental_health[Sleep_Hours]&lt;5,"Low",IF(mental_health[Sleep_Hours]&lt;7,"Medium","Good"))</f>
        <v>Good</v>
      </c>
      <c r="U768" t="str">
        <f>IF(mental_health[Stress_Level]&lt;=3,"Low",IF(mental_health[Stress_Level]&lt;=7,"Medium","High"))</f>
        <v>Medium</v>
      </c>
      <c r="V768" t="str">
        <f>IF(mental_health[Daily_Screen_Time]&lt;=4,"Low",IF(mental_health[Daily_Screen_Time]&lt;=8,"Medium","High"))</f>
        <v>High</v>
      </c>
    </row>
    <row r="769" spans="1:22" x14ac:dyDescent="0.3">
      <c r="A769">
        <v>768</v>
      </c>
      <c r="B769">
        <v>49</v>
      </c>
      <c r="C769" t="s">
        <v>23</v>
      </c>
      <c r="D769" t="s">
        <v>24</v>
      </c>
      <c r="E769">
        <v>11.7</v>
      </c>
      <c r="F769">
        <v>3.9</v>
      </c>
      <c r="G769">
        <v>0</v>
      </c>
      <c r="H769" t="str">
        <f t="shared" si="11"/>
        <v>No Night Usage</v>
      </c>
      <c r="I769">
        <v>7.8</v>
      </c>
      <c r="J769" s="3">
        <v>2</v>
      </c>
      <c r="K769">
        <v>9.6</v>
      </c>
      <c r="L769" t="s">
        <v>20</v>
      </c>
      <c r="M769">
        <v>4</v>
      </c>
      <c r="N769">
        <v>2</v>
      </c>
      <c r="O769">
        <v>1</v>
      </c>
      <c r="P769">
        <v>0</v>
      </c>
      <c r="Q769">
        <v>1</v>
      </c>
      <c r="R769">
        <v>0</v>
      </c>
      <c r="S769">
        <v>0</v>
      </c>
      <c r="T769" t="str">
        <f>IF(mental_health[Sleep_Hours]&lt;5,"Low",IF(mental_health[Sleep_Hours]&lt;7,"Medium","Good"))</f>
        <v>Good</v>
      </c>
      <c r="U769" t="str">
        <f>IF(mental_health[Stress_Level]&lt;=3,"Low",IF(mental_health[Stress_Level]&lt;=7,"Medium","High"))</f>
        <v>Low</v>
      </c>
      <c r="V769" t="str">
        <f>IF(mental_health[Daily_Screen_Time]&lt;=4,"Low",IF(mental_health[Daily_Screen_Time]&lt;=8,"Medium","High"))</f>
        <v>High</v>
      </c>
    </row>
    <row r="770" spans="1:22" x14ac:dyDescent="0.3">
      <c r="A770">
        <v>769</v>
      </c>
      <c r="B770">
        <v>21</v>
      </c>
      <c r="C770" t="s">
        <v>23</v>
      </c>
      <c r="D770" t="s">
        <v>24</v>
      </c>
      <c r="E770">
        <v>5.9</v>
      </c>
      <c r="F770">
        <v>4.3</v>
      </c>
      <c r="G770">
        <v>1</v>
      </c>
      <c r="H770" t="str">
        <f t="shared" ref="H770:H833" si="12">IF(G770=1,"Night Usage","No Night Usage")</f>
        <v>Night Usage</v>
      </c>
      <c r="I770">
        <v>4.0999999999999996</v>
      </c>
      <c r="J770" s="3">
        <v>4</v>
      </c>
      <c r="K770">
        <v>4.0999999999999996</v>
      </c>
      <c r="L770" t="s">
        <v>21</v>
      </c>
      <c r="M770">
        <v>5</v>
      </c>
      <c r="N770">
        <v>3</v>
      </c>
      <c r="O770">
        <v>1</v>
      </c>
      <c r="P770">
        <v>0</v>
      </c>
      <c r="Q770">
        <v>1</v>
      </c>
      <c r="R770">
        <v>0</v>
      </c>
      <c r="S770">
        <v>1</v>
      </c>
      <c r="T770" t="str">
        <f>IF(mental_health[Sleep_Hours]&lt;5,"Low",IF(mental_health[Sleep_Hours]&lt;7,"Medium","Good"))</f>
        <v>Low</v>
      </c>
      <c r="U770" t="str">
        <f>IF(mental_health[Stress_Level]&lt;=3,"Low",IF(mental_health[Stress_Level]&lt;=7,"Medium","High"))</f>
        <v>Medium</v>
      </c>
      <c r="V770" t="str">
        <f>IF(mental_health[Daily_Screen_Time]&lt;=4,"Low",IF(mental_health[Daily_Screen_Time]&lt;=8,"Medium","High"))</f>
        <v>Medium</v>
      </c>
    </row>
    <row r="771" spans="1:22" x14ac:dyDescent="0.3">
      <c r="A771">
        <v>770</v>
      </c>
      <c r="B771">
        <v>17</v>
      </c>
      <c r="C771" t="s">
        <v>23</v>
      </c>
      <c r="D771" t="s">
        <v>22</v>
      </c>
      <c r="E771">
        <v>3.3</v>
      </c>
      <c r="F771">
        <v>1.3</v>
      </c>
      <c r="G771">
        <v>0</v>
      </c>
      <c r="H771" t="str">
        <f t="shared" si="12"/>
        <v>No Night Usage</v>
      </c>
      <c r="I771">
        <v>5.4</v>
      </c>
      <c r="J771" s="3">
        <v>6</v>
      </c>
      <c r="K771">
        <v>7.4</v>
      </c>
      <c r="L771" t="s">
        <v>21</v>
      </c>
      <c r="M771">
        <v>9</v>
      </c>
      <c r="N771">
        <v>2</v>
      </c>
      <c r="O771">
        <v>1</v>
      </c>
      <c r="P771">
        <v>1</v>
      </c>
      <c r="Q771">
        <v>1</v>
      </c>
      <c r="R771">
        <v>0</v>
      </c>
      <c r="S771">
        <v>1</v>
      </c>
      <c r="T771" t="str">
        <f>IF(mental_health[Sleep_Hours]&lt;5,"Low",IF(mental_health[Sleep_Hours]&lt;7,"Medium","Good"))</f>
        <v>Medium</v>
      </c>
      <c r="U771" t="str">
        <f>IF(mental_health[Stress_Level]&lt;=3,"Low",IF(mental_health[Stress_Level]&lt;=7,"Medium","High"))</f>
        <v>Medium</v>
      </c>
      <c r="V771" t="str">
        <f>IF(mental_health[Daily_Screen_Time]&lt;=4,"Low",IF(mental_health[Daily_Screen_Time]&lt;=8,"Medium","High"))</f>
        <v>Low</v>
      </c>
    </row>
    <row r="772" spans="1:22" x14ac:dyDescent="0.3">
      <c r="A772">
        <v>771</v>
      </c>
      <c r="B772">
        <v>28</v>
      </c>
      <c r="C772" t="s">
        <v>18</v>
      </c>
      <c r="D772" t="s">
        <v>19</v>
      </c>
      <c r="E772">
        <v>8.6999999999999993</v>
      </c>
      <c r="F772">
        <v>2.2999999999999998</v>
      </c>
      <c r="G772">
        <v>0</v>
      </c>
      <c r="H772" t="str">
        <f t="shared" si="12"/>
        <v>No Night Usage</v>
      </c>
      <c r="I772">
        <v>5.0999999999999996</v>
      </c>
      <c r="J772" s="3">
        <v>5</v>
      </c>
      <c r="K772">
        <v>10</v>
      </c>
      <c r="L772" t="s">
        <v>25</v>
      </c>
      <c r="M772">
        <v>6</v>
      </c>
      <c r="N772">
        <v>0</v>
      </c>
      <c r="O772">
        <v>0</v>
      </c>
      <c r="P772">
        <v>1</v>
      </c>
      <c r="Q772">
        <v>1</v>
      </c>
      <c r="R772">
        <v>1</v>
      </c>
      <c r="S772">
        <v>0</v>
      </c>
      <c r="T772" t="str">
        <f>IF(mental_health[Sleep_Hours]&lt;5,"Low",IF(mental_health[Sleep_Hours]&lt;7,"Medium","Good"))</f>
        <v>Medium</v>
      </c>
      <c r="U772" t="str">
        <f>IF(mental_health[Stress_Level]&lt;=3,"Low",IF(mental_health[Stress_Level]&lt;=7,"Medium","High"))</f>
        <v>Medium</v>
      </c>
      <c r="V772" t="str">
        <f>IF(mental_health[Daily_Screen_Time]&lt;=4,"Low",IF(mental_health[Daily_Screen_Time]&lt;=8,"Medium","High"))</f>
        <v>High</v>
      </c>
    </row>
    <row r="773" spans="1:22" x14ac:dyDescent="0.3">
      <c r="A773">
        <v>772</v>
      </c>
      <c r="B773">
        <v>58</v>
      </c>
      <c r="C773" t="s">
        <v>18</v>
      </c>
      <c r="D773" t="s">
        <v>24</v>
      </c>
      <c r="E773">
        <v>9.3000000000000007</v>
      </c>
      <c r="F773">
        <v>6.5</v>
      </c>
      <c r="G773">
        <v>1</v>
      </c>
      <c r="H773" t="str">
        <f t="shared" si="12"/>
        <v>Night Usage</v>
      </c>
      <c r="I773">
        <v>7.7</v>
      </c>
      <c r="J773" s="3">
        <v>6</v>
      </c>
      <c r="K773">
        <v>7.4</v>
      </c>
      <c r="L773" t="s">
        <v>20</v>
      </c>
      <c r="M773">
        <v>4</v>
      </c>
      <c r="N773">
        <v>0</v>
      </c>
      <c r="O773">
        <v>0</v>
      </c>
      <c r="P773">
        <v>1</v>
      </c>
      <c r="Q773">
        <v>0</v>
      </c>
      <c r="R773">
        <v>0</v>
      </c>
      <c r="S773">
        <v>1</v>
      </c>
      <c r="T773" t="str">
        <f>IF(mental_health[Sleep_Hours]&lt;5,"Low",IF(mental_health[Sleep_Hours]&lt;7,"Medium","Good"))</f>
        <v>Good</v>
      </c>
      <c r="U773" t="str">
        <f>IF(mental_health[Stress_Level]&lt;=3,"Low",IF(mental_health[Stress_Level]&lt;=7,"Medium","High"))</f>
        <v>Medium</v>
      </c>
      <c r="V773" t="str">
        <f>IF(mental_health[Daily_Screen_Time]&lt;=4,"Low",IF(mental_health[Daily_Screen_Time]&lt;=8,"Medium","High"))</f>
        <v>High</v>
      </c>
    </row>
    <row r="774" spans="1:22" x14ac:dyDescent="0.3">
      <c r="A774">
        <v>773</v>
      </c>
      <c r="B774">
        <v>58</v>
      </c>
      <c r="C774" t="s">
        <v>23</v>
      </c>
      <c r="D774" t="s">
        <v>24</v>
      </c>
      <c r="E774">
        <v>7.8</v>
      </c>
      <c r="F774">
        <v>4.2</v>
      </c>
      <c r="G774">
        <v>0</v>
      </c>
      <c r="H774" t="str">
        <f t="shared" si="12"/>
        <v>No Night Usage</v>
      </c>
      <c r="I774">
        <v>6.1</v>
      </c>
      <c r="J774" s="3">
        <v>3</v>
      </c>
      <c r="K774">
        <v>11.1</v>
      </c>
      <c r="L774" t="s">
        <v>20</v>
      </c>
      <c r="M774">
        <v>2</v>
      </c>
      <c r="N774">
        <v>4</v>
      </c>
      <c r="O774">
        <v>0</v>
      </c>
      <c r="P774">
        <v>1</v>
      </c>
      <c r="Q774">
        <v>0</v>
      </c>
      <c r="R774">
        <v>0</v>
      </c>
      <c r="S774">
        <v>0</v>
      </c>
      <c r="T774" t="str">
        <f>IF(mental_health[Sleep_Hours]&lt;5,"Low",IF(mental_health[Sleep_Hours]&lt;7,"Medium","Good"))</f>
        <v>Medium</v>
      </c>
      <c r="U774" t="str">
        <f>IF(mental_health[Stress_Level]&lt;=3,"Low",IF(mental_health[Stress_Level]&lt;=7,"Medium","High"))</f>
        <v>Low</v>
      </c>
      <c r="V774" t="str">
        <f>IF(mental_health[Daily_Screen_Time]&lt;=4,"Low",IF(mental_health[Daily_Screen_Time]&lt;=8,"Medium","High"))</f>
        <v>Medium</v>
      </c>
    </row>
    <row r="775" spans="1:22" x14ac:dyDescent="0.3">
      <c r="A775">
        <v>774</v>
      </c>
      <c r="B775">
        <v>26</v>
      </c>
      <c r="C775" t="s">
        <v>23</v>
      </c>
      <c r="D775" t="s">
        <v>22</v>
      </c>
      <c r="E775">
        <v>4.0999999999999996</v>
      </c>
      <c r="F775">
        <v>3.1</v>
      </c>
      <c r="G775">
        <v>1</v>
      </c>
      <c r="H775" t="str">
        <f t="shared" si="12"/>
        <v>Night Usage</v>
      </c>
      <c r="I775">
        <v>3.8</v>
      </c>
      <c r="J775" s="3">
        <v>5</v>
      </c>
      <c r="K775">
        <v>2.6</v>
      </c>
      <c r="L775" t="s">
        <v>25</v>
      </c>
      <c r="M775">
        <v>5</v>
      </c>
      <c r="N775">
        <v>2</v>
      </c>
      <c r="O775">
        <v>0</v>
      </c>
      <c r="P775">
        <v>0</v>
      </c>
      <c r="Q775">
        <v>1</v>
      </c>
      <c r="R775">
        <v>0</v>
      </c>
      <c r="S775">
        <v>1</v>
      </c>
      <c r="T775" t="str">
        <f>IF(mental_health[Sleep_Hours]&lt;5,"Low",IF(mental_health[Sleep_Hours]&lt;7,"Medium","Good"))</f>
        <v>Low</v>
      </c>
      <c r="U775" t="str">
        <f>IF(mental_health[Stress_Level]&lt;=3,"Low",IF(mental_health[Stress_Level]&lt;=7,"Medium","High"))</f>
        <v>Medium</v>
      </c>
      <c r="V775" t="str">
        <f>IF(mental_health[Daily_Screen_Time]&lt;=4,"Low",IF(mental_health[Daily_Screen_Time]&lt;=8,"Medium","High"))</f>
        <v>Medium</v>
      </c>
    </row>
    <row r="776" spans="1:22" x14ac:dyDescent="0.3">
      <c r="A776">
        <v>775</v>
      </c>
      <c r="B776">
        <v>38</v>
      </c>
      <c r="C776" t="s">
        <v>18</v>
      </c>
      <c r="D776" t="s">
        <v>22</v>
      </c>
      <c r="E776">
        <v>7</v>
      </c>
      <c r="F776">
        <v>3.7</v>
      </c>
      <c r="G776">
        <v>1</v>
      </c>
      <c r="H776" t="str">
        <f t="shared" si="12"/>
        <v>Night Usage</v>
      </c>
      <c r="I776">
        <v>7.4</v>
      </c>
      <c r="J776" s="3">
        <v>2</v>
      </c>
      <c r="K776">
        <v>7.9</v>
      </c>
      <c r="L776" t="s">
        <v>25</v>
      </c>
      <c r="M776">
        <v>8</v>
      </c>
      <c r="N776">
        <v>0</v>
      </c>
      <c r="O776">
        <v>0</v>
      </c>
      <c r="P776">
        <v>0</v>
      </c>
      <c r="Q776">
        <v>0</v>
      </c>
      <c r="R776">
        <v>0</v>
      </c>
      <c r="S776">
        <v>0</v>
      </c>
      <c r="T776" t="str">
        <f>IF(mental_health[Sleep_Hours]&lt;5,"Low",IF(mental_health[Sleep_Hours]&lt;7,"Medium","Good"))</f>
        <v>Good</v>
      </c>
      <c r="U776" t="str">
        <f>IF(mental_health[Stress_Level]&lt;=3,"Low",IF(mental_health[Stress_Level]&lt;=7,"Medium","High"))</f>
        <v>Low</v>
      </c>
      <c r="V776" t="str">
        <f>IF(mental_health[Daily_Screen_Time]&lt;=4,"Low",IF(mental_health[Daily_Screen_Time]&lt;=8,"Medium","High"))</f>
        <v>Medium</v>
      </c>
    </row>
    <row r="777" spans="1:22" x14ac:dyDescent="0.3">
      <c r="A777">
        <v>776</v>
      </c>
      <c r="B777">
        <v>31</v>
      </c>
      <c r="C777" t="s">
        <v>18</v>
      </c>
      <c r="D777" t="s">
        <v>24</v>
      </c>
      <c r="E777">
        <v>5.0999999999999996</v>
      </c>
      <c r="F777">
        <v>7</v>
      </c>
      <c r="G777">
        <v>0</v>
      </c>
      <c r="H777" t="str">
        <f t="shared" si="12"/>
        <v>No Night Usage</v>
      </c>
      <c r="I777">
        <v>5.4</v>
      </c>
      <c r="J777" s="3">
        <v>7</v>
      </c>
      <c r="K777">
        <v>7.6</v>
      </c>
      <c r="L777" t="s">
        <v>25</v>
      </c>
      <c r="M777">
        <v>8</v>
      </c>
      <c r="N777">
        <v>1</v>
      </c>
      <c r="O777">
        <v>0</v>
      </c>
      <c r="P777">
        <v>0</v>
      </c>
      <c r="Q777">
        <v>1</v>
      </c>
      <c r="R777">
        <v>1</v>
      </c>
      <c r="S777">
        <v>0</v>
      </c>
      <c r="T777" t="str">
        <f>IF(mental_health[Sleep_Hours]&lt;5,"Low",IF(mental_health[Sleep_Hours]&lt;7,"Medium","Good"))</f>
        <v>Medium</v>
      </c>
      <c r="U777" t="str">
        <f>IF(mental_health[Stress_Level]&lt;=3,"Low",IF(mental_health[Stress_Level]&lt;=7,"Medium","High"))</f>
        <v>Medium</v>
      </c>
      <c r="V777" t="str">
        <f>IF(mental_health[Daily_Screen_Time]&lt;=4,"Low",IF(mental_health[Daily_Screen_Time]&lt;=8,"Medium","High"))</f>
        <v>Medium</v>
      </c>
    </row>
    <row r="778" spans="1:22" x14ac:dyDescent="0.3">
      <c r="A778">
        <v>777</v>
      </c>
      <c r="B778">
        <v>46</v>
      </c>
      <c r="C778" t="s">
        <v>23</v>
      </c>
      <c r="D778" t="s">
        <v>19</v>
      </c>
      <c r="E778">
        <v>6.3</v>
      </c>
      <c r="F778">
        <v>6.2</v>
      </c>
      <c r="G778">
        <v>1</v>
      </c>
      <c r="H778" t="str">
        <f t="shared" si="12"/>
        <v>Night Usage</v>
      </c>
      <c r="I778">
        <v>4.5999999999999996</v>
      </c>
      <c r="J778" s="3">
        <v>3</v>
      </c>
      <c r="K778">
        <v>8.6</v>
      </c>
      <c r="L778" t="s">
        <v>25</v>
      </c>
      <c r="M778">
        <v>6</v>
      </c>
      <c r="N778">
        <v>1</v>
      </c>
      <c r="O778">
        <v>0</v>
      </c>
      <c r="P778">
        <v>1</v>
      </c>
      <c r="Q778">
        <v>1</v>
      </c>
      <c r="R778">
        <v>0</v>
      </c>
      <c r="S778">
        <v>1</v>
      </c>
      <c r="T778" t="str">
        <f>IF(mental_health[Sleep_Hours]&lt;5,"Low",IF(mental_health[Sleep_Hours]&lt;7,"Medium","Good"))</f>
        <v>Low</v>
      </c>
      <c r="U778" t="str">
        <f>IF(mental_health[Stress_Level]&lt;=3,"Low",IF(mental_health[Stress_Level]&lt;=7,"Medium","High"))</f>
        <v>Low</v>
      </c>
      <c r="V778" t="str">
        <f>IF(mental_health[Daily_Screen_Time]&lt;=4,"Low",IF(mental_health[Daily_Screen_Time]&lt;=8,"Medium","High"))</f>
        <v>Medium</v>
      </c>
    </row>
    <row r="779" spans="1:22" x14ac:dyDescent="0.3">
      <c r="A779">
        <v>778</v>
      </c>
      <c r="B779">
        <v>26</v>
      </c>
      <c r="C779" t="s">
        <v>23</v>
      </c>
      <c r="D779" t="s">
        <v>19</v>
      </c>
      <c r="E779">
        <v>8.5</v>
      </c>
      <c r="F779">
        <v>2.9</v>
      </c>
      <c r="G779">
        <v>0</v>
      </c>
      <c r="H779" t="str">
        <f t="shared" si="12"/>
        <v>No Night Usage</v>
      </c>
      <c r="I779">
        <v>5.3</v>
      </c>
      <c r="J779" s="3">
        <v>1</v>
      </c>
      <c r="K779">
        <v>10.3</v>
      </c>
      <c r="L779" t="s">
        <v>25</v>
      </c>
      <c r="M779">
        <v>1</v>
      </c>
      <c r="N779">
        <v>3</v>
      </c>
      <c r="O779">
        <v>0</v>
      </c>
      <c r="P779">
        <v>0</v>
      </c>
      <c r="Q779">
        <v>0</v>
      </c>
      <c r="R779">
        <v>0</v>
      </c>
      <c r="S779">
        <v>1</v>
      </c>
      <c r="T779" t="str">
        <f>IF(mental_health[Sleep_Hours]&lt;5,"Low",IF(mental_health[Sleep_Hours]&lt;7,"Medium","Good"))</f>
        <v>Medium</v>
      </c>
      <c r="U779" t="str">
        <f>IF(mental_health[Stress_Level]&lt;=3,"Low",IF(mental_health[Stress_Level]&lt;=7,"Medium","High"))</f>
        <v>Low</v>
      </c>
      <c r="V779" t="str">
        <f>IF(mental_health[Daily_Screen_Time]&lt;=4,"Low",IF(mental_health[Daily_Screen_Time]&lt;=8,"Medium","High"))</f>
        <v>High</v>
      </c>
    </row>
    <row r="780" spans="1:22" x14ac:dyDescent="0.3">
      <c r="A780">
        <v>779</v>
      </c>
      <c r="B780">
        <v>31</v>
      </c>
      <c r="C780" t="s">
        <v>18</v>
      </c>
      <c r="D780" t="s">
        <v>24</v>
      </c>
      <c r="E780">
        <v>9.5</v>
      </c>
      <c r="F780">
        <v>1.8</v>
      </c>
      <c r="G780">
        <v>0</v>
      </c>
      <c r="H780" t="str">
        <f t="shared" si="12"/>
        <v>No Night Usage</v>
      </c>
      <c r="I780">
        <v>6</v>
      </c>
      <c r="J780" s="3">
        <v>8</v>
      </c>
      <c r="K780">
        <v>9.3000000000000007</v>
      </c>
      <c r="L780" t="s">
        <v>21</v>
      </c>
      <c r="M780">
        <v>8</v>
      </c>
      <c r="N780">
        <v>4</v>
      </c>
      <c r="O780">
        <v>0</v>
      </c>
      <c r="P780">
        <v>0</v>
      </c>
      <c r="Q780">
        <v>1</v>
      </c>
      <c r="R780">
        <v>0</v>
      </c>
      <c r="S780">
        <v>1</v>
      </c>
      <c r="T780" t="str">
        <f>IF(mental_health[Sleep_Hours]&lt;5,"Low",IF(mental_health[Sleep_Hours]&lt;7,"Medium","Good"))</f>
        <v>Medium</v>
      </c>
      <c r="U780" t="str">
        <f>IF(mental_health[Stress_Level]&lt;=3,"Low",IF(mental_health[Stress_Level]&lt;=7,"Medium","High"))</f>
        <v>High</v>
      </c>
      <c r="V780" t="str">
        <f>IF(mental_health[Daily_Screen_Time]&lt;=4,"Low",IF(mental_health[Daily_Screen_Time]&lt;=8,"Medium","High"))</f>
        <v>High</v>
      </c>
    </row>
    <row r="781" spans="1:22" x14ac:dyDescent="0.3">
      <c r="A781">
        <v>780</v>
      </c>
      <c r="B781">
        <v>23</v>
      </c>
      <c r="C781" t="s">
        <v>18</v>
      </c>
      <c r="D781" t="s">
        <v>22</v>
      </c>
      <c r="E781">
        <v>4.3</v>
      </c>
      <c r="F781">
        <v>2.8</v>
      </c>
      <c r="G781">
        <v>0</v>
      </c>
      <c r="H781" t="str">
        <f t="shared" si="12"/>
        <v>No Night Usage</v>
      </c>
      <c r="I781">
        <v>5.0999999999999996</v>
      </c>
      <c r="J781" s="3">
        <v>8</v>
      </c>
      <c r="K781">
        <v>9.9</v>
      </c>
      <c r="L781" t="s">
        <v>25</v>
      </c>
      <c r="M781">
        <v>4</v>
      </c>
      <c r="N781">
        <v>0</v>
      </c>
      <c r="O781">
        <v>0</v>
      </c>
      <c r="P781">
        <v>1</v>
      </c>
      <c r="Q781">
        <v>0</v>
      </c>
      <c r="R781">
        <v>0</v>
      </c>
      <c r="S781">
        <v>0</v>
      </c>
      <c r="T781" t="str">
        <f>IF(mental_health[Sleep_Hours]&lt;5,"Low",IF(mental_health[Sleep_Hours]&lt;7,"Medium","Good"))</f>
        <v>Medium</v>
      </c>
      <c r="U781" t="str">
        <f>IF(mental_health[Stress_Level]&lt;=3,"Low",IF(mental_health[Stress_Level]&lt;=7,"Medium","High"))</f>
        <v>High</v>
      </c>
      <c r="V781" t="str">
        <f>IF(mental_health[Daily_Screen_Time]&lt;=4,"Low",IF(mental_health[Daily_Screen_Time]&lt;=8,"Medium","High"))</f>
        <v>Medium</v>
      </c>
    </row>
    <row r="782" spans="1:22" x14ac:dyDescent="0.3">
      <c r="A782">
        <v>781</v>
      </c>
      <c r="B782">
        <v>19</v>
      </c>
      <c r="C782" t="s">
        <v>18</v>
      </c>
      <c r="D782" t="s">
        <v>24</v>
      </c>
      <c r="E782">
        <v>6.1</v>
      </c>
      <c r="F782">
        <v>7.4</v>
      </c>
      <c r="G782">
        <v>1</v>
      </c>
      <c r="H782" t="str">
        <f t="shared" si="12"/>
        <v>Night Usage</v>
      </c>
      <c r="I782">
        <v>4.5</v>
      </c>
      <c r="J782" s="3">
        <v>3</v>
      </c>
      <c r="K782">
        <v>4.9000000000000004</v>
      </c>
      <c r="L782" t="s">
        <v>20</v>
      </c>
      <c r="M782">
        <v>2</v>
      </c>
      <c r="N782">
        <v>3</v>
      </c>
      <c r="O782">
        <v>0</v>
      </c>
      <c r="P782">
        <v>0</v>
      </c>
      <c r="Q782">
        <v>1</v>
      </c>
      <c r="R782">
        <v>1</v>
      </c>
      <c r="S782">
        <v>0</v>
      </c>
      <c r="T782" t="str">
        <f>IF(mental_health[Sleep_Hours]&lt;5,"Low",IF(mental_health[Sleep_Hours]&lt;7,"Medium","Good"))</f>
        <v>Low</v>
      </c>
      <c r="U782" t="str">
        <f>IF(mental_health[Stress_Level]&lt;=3,"Low",IF(mental_health[Stress_Level]&lt;=7,"Medium","High"))</f>
        <v>Low</v>
      </c>
      <c r="V782" t="str">
        <f>IF(mental_health[Daily_Screen_Time]&lt;=4,"Low",IF(mental_health[Daily_Screen_Time]&lt;=8,"Medium","High"))</f>
        <v>Medium</v>
      </c>
    </row>
    <row r="783" spans="1:22" x14ac:dyDescent="0.3">
      <c r="A783">
        <v>782</v>
      </c>
      <c r="B783">
        <v>55</v>
      </c>
      <c r="C783" t="s">
        <v>23</v>
      </c>
      <c r="D783" t="s">
        <v>24</v>
      </c>
      <c r="E783">
        <v>4.7</v>
      </c>
      <c r="F783">
        <v>5.0999999999999996</v>
      </c>
      <c r="G783">
        <v>0</v>
      </c>
      <c r="H783" t="str">
        <f t="shared" si="12"/>
        <v>No Night Usage</v>
      </c>
      <c r="I783">
        <v>5.4</v>
      </c>
      <c r="J783" s="3">
        <v>7</v>
      </c>
      <c r="K783">
        <v>5.9</v>
      </c>
      <c r="L783" t="s">
        <v>20</v>
      </c>
      <c r="M783">
        <v>1</v>
      </c>
      <c r="N783">
        <v>1</v>
      </c>
      <c r="O783">
        <v>1</v>
      </c>
      <c r="P783">
        <v>1</v>
      </c>
      <c r="Q783">
        <v>0</v>
      </c>
      <c r="R783">
        <v>1</v>
      </c>
      <c r="S783">
        <v>1</v>
      </c>
      <c r="T783" t="str">
        <f>IF(mental_health[Sleep_Hours]&lt;5,"Low",IF(mental_health[Sleep_Hours]&lt;7,"Medium","Good"))</f>
        <v>Medium</v>
      </c>
      <c r="U783" t="str">
        <f>IF(mental_health[Stress_Level]&lt;=3,"Low",IF(mental_health[Stress_Level]&lt;=7,"Medium","High"))</f>
        <v>Medium</v>
      </c>
      <c r="V783" t="str">
        <f>IF(mental_health[Daily_Screen_Time]&lt;=4,"Low",IF(mental_health[Daily_Screen_Time]&lt;=8,"Medium","High"))</f>
        <v>Medium</v>
      </c>
    </row>
    <row r="784" spans="1:22" x14ac:dyDescent="0.3">
      <c r="A784">
        <v>783</v>
      </c>
      <c r="B784">
        <v>19</v>
      </c>
      <c r="C784" t="s">
        <v>18</v>
      </c>
      <c r="D784" t="s">
        <v>22</v>
      </c>
      <c r="E784">
        <v>4</v>
      </c>
      <c r="F784">
        <v>4.7</v>
      </c>
      <c r="G784">
        <v>1</v>
      </c>
      <c r="H784" t="str">
        <f t="shared" si="12"/>
        <v>Night Usage</v>
      </c>
      <c r="I784">
        <v>3.1</v>
      </c>
      <c r="J784" s="3">
        <v>9</v>
      </c>
      <c r="K784">
        <v>8.3000000000000007</v>
      </c>
      <c r="L784" t="s">
        <v>25</v>
      </c>
      <c r="M784">
        <v>7</v>
      </c>
      <c r="N784">
        <v>3</v>
      </c>
      <c r="O784">
        <v>0</v>
      </c>
      <c r="P784">
        <v>1</v>
      </c>
      <c r="Q784">
        <v>1</v>
      </c>
      <c r="R784">
        <v>1</v>
      </c>
      <c r="S784">
        <v>1</v>
      </c>
      <c r="T784" t="str">
        <f>IF(mental_health[Sleep_Hours]&lt;5,"Low",IF(mental_health[Sleep_Hours]&lt;7,"Medium","Good"))</f>
        <v>Low</v>
      </c>
      <c r="U784" t="str">
        <f>IF(mental_health[Stress_Level]&lt;=3,"Low",IF(mental_health[Stress_Level]&lt;=7,"Medium","High"))</f>
        <v>High</v>
      </c>
      <c r="V784" t="str">
        <f>IF(mental_health[Daily_Screen_Time]&lt;=4,"Low",IF(mental_health[Daily_Screen_Time]&lt;=8,"Medium","High"))</f>
        <v>Low</v>
      </c>
    </row>
    <row r="785" spans="1:22" x14ac:dyDescent="0.3">
      <c r="A785">
        <v>784</v>
      </c>
      <c r="B785">
        <v>40</v>
      </c>
      <c r="C785" t="s">
        <v>23</v>
      </c>
      <c r="D785" t="s">
        <v>24</v>
      </c>
      <c r="E785">
        <v>9.8000000000000007</v>
      </c>
      <c r="F785">
        <v>5.2</v>
      </c>
      <c r="G785">
        <v>1</v>
      </c>
      <c r="H785" t="str">
        <f t="shared" si="12"/>
        <v>Night Usage</v>
      </c>
      <c r="I785">
        <v>7.6</v>
      </c>
      <c r="J785" s="3">
        <v>8</v>
      </c>
      <c r="K785">
        <v>7.5</v>
      </c>
      <c r="L785" t="s">
        <v>25</v>
      </c>
      <c r="M785">
        <v>2</v>
      </c>
      <c r="N785">
        <v>3</v>
      </c>
      <c r="O785">
        <v>0</v>
      </c>
      <c r="P785">
        <v>0</v>
      </c>
      <c r="Q785">
        <v>0</v>
      </c>
      <c r="R785">
        <v>1</v>
      </c>
      <c r="S785">
        <v>1</v>
      </c>
      <c r="T785" t="str">
        <f>IF(mental_health[Sleep_Hours]&lt;5,"Low",IF(mental_health[Sleep_Hours]&lt;7,"Medium","Good"))</f>
        <v>Good</v>
      </c>
      <c r="U785" t="str">
        <f>IF(mental_health[Stress_Level]&lt;=3,"Low",IF(mental_health[Stress_Level]&lt;=7,"Medium","High"))</f>
        <v>High</v>
      </c>
      <c r="V785" t="str">
        <f>IF(mental_health[Daily_Screen_Time]&lt;=4,"Low",IF(mental_health[Daily_Screen_Time]&lt;=8,"Medium","High"))</f>
        <v>High</v>
      </c>
    </row>
    <row r="786" spans="1:22" x14ac:dyDescent="0.3">
      <c r="A786">
        <v>785</v>
      </c>
      <c r="B786">
        <v>18</v>
      </c>
      <c r="C786" t="s">
        <v>18</v>
      </c>
      <c r="D786" t="s">
        <v>24</v>
      </c>
      <c r="E786">
        <v>11.1</v>
      </c>
      <c r="F786">
        <v>3.6</v>
      </c>
      <c r="G786">
        <v>1</v>
      </c>
      <c r="H786" t="str">
        <f t="shared" si="12"/>
        <v>Night Usage</v>
      </c>
      <c r="I786">
        <v>4</v>
      </c>
      <c r="J786" s="3">
        <v>3</v>
      </c>
      <c r="K786">
        <v>11.6</v>
      </c>
      <c r="L786" t="s">
        <v>25</v>
      </c>
      <c r="M786">
        <v>4</v>
      </c>
      <c r="N786">
        <v>0</v>
      </c>
      <c r="O786">
        <v>1</v>
      </c>
      <c r="P786">
        <v>0</v>
      </c>
      <c r="Q786">
        <v>0</v>
      </c>
      <c r="R786">
        <v>1</v>
      </c>
      <c r="S786">
        <v>1</v>
      </c>
      <c r="T786" t="str">
        <f>IF(mental_health[Sleep_Hours]&lt;5,"Low",IF(mental_health[Sleep_Hours]&lt;7,"Medium","Good"))</f>
        <v>Low</v>
      </c>
      <c r="U786" t="str">
        <f>IF(mental_health[Stress_Level]&lt;=3,"Low",IF(mental_health[Stress_Level]&lt;=7,"Medium","High"))</f>
        <v>Low</v>
      </c>
      <c r="V786" t="str">
        <f>IF(mental_health[Daily_Screen_Time]&lt;=4,"Low",IF(mental_health[Daily_Screen_Time]&lt;=8,"Medium","High"))</f>
        <v>High</v>
      </c>
    </row>
    <row r="787" spans="1:22" x14ac:dyDescent="0.3">
      <c r="A787">
        <v>786</v>
      </c>
      <c r="B787">
        <v>47</v>
      </c>
      <c r="C787" t="s">
        <v>18</v>
      </c>
      <c r="D787" t="s">
        <v>24</v>
      </c>
      <c r="E787">
        <v>5.7</v>
      </c>
      <c r="F787">
        <v>6.6</v>
      </c>
      <c r="G787">
        <v>0</v>
      </c>
      <c r="H787" t="str">
        <f t="shared" si="12"/>
        <v>No Night Usage</v>
      </c>
      <c r="I787">
        <v>3.3</v>
      </c>
      <c r="J787" s="3">
        <v>2</v>
      </c>
      <c r="K787">
        <v>3.9</v>
      </c>
      <c r="L787" t="s">
        <v>25</v>
      </c>
      <c r="M787">
        <v>4</v>
      </c>
      <c r="N787">
        <v>0</v>
      </c>
      <c r="O787">
        <v>0</v>
      </c>
      <c r="P787">
        <v>1</v>
      </c>
      <c r="Q787">
        <v>1</v>
      </c>
      <c r="R787">
        <v>0</v>
      </c>
      <c r="S787">
        <v>0</v>
      </c>
      <c r="T787" t="str">
        <f>IF(mental_health[Sleep_Hours]&lt;5,"Low",IF(mental_health[Sleep_Hours]&lt;7,"Medium","Good"))</f>
        <v>Low</v>
      </c>
      <c r="U787" t="str">
        <f>IF(mental_health[Stress_Level]&lt;=3,"Low",IF(mental_health[Stress_Level]&lt;=7,"Medium","High"))</f>
        <v>Low</v>
      </c>
      <c r="V787" t="str">
        <f>IF(mental_health[Daily_Screen_Time]&lt;=4,"Low",IF(mental_health[Daily_Screen_Time]&lt;=8,"Medium","High"))</f>
        <v>Medium</v>
      </c>
    </row>
    <row r="788" spans="1:22" x14ac:dyDescent="0.3">
      <c r="A788">
        <v>787</v>
      </c>
      <c r="B788">
        <v>18</v>
      </c>
      <c r="C788" t="s">
        <v>18</v>
      </c>
      <c r="D788" t="s">
        <v>22</v>
      </c>
      <c r="E788">
        <v>9.5</v>
      </c>
      <c r="F788">
        <v>4.7</v>
      </c>
      <c r="G788">
        <v>1</v>
      </c>
      <c r="H788" t="str">
        <f t="shared" si="12"/>
        <v>Night Usage</v>
      </c>
      <c r="I788">
        <v>6.9</v>
      </c>
      <c r="J788" s="3">
        <v>10</v>
      </c>
      <c r="K788">
        <v>5.5</v>
      </c>
      <c r="L788" t="s">
        <v>25</v>
      </c>
      <c r="M788">
        <v>10</v>
      </c>
      <c r="N788">
        <v>0</v>
      </c>
      <c r="O788">
        <v>1</v>
      </c>
      <c r="P788">
        <v>0</v>
      </c>
      <c r="Q788">
        <v>1</v>
      </c>
      <c r="R788">
        <v>0</v>
      </c>
      <c r="S788">
        <v>1</v>
      </c>
      <c r="T788" t="str">
        <f>IF(mental_health[Sleep_Hours]&lt;5,"Low",IF(mental_health[Sleep_Hours]&lt;7,"Medium","Good"))</f>
        <v>Medium</v>
      </c>
      <c r="U788" t="str">
        <f>IF(mental_health[Stress_Level]&lt;=3,"Low",IF(mental_health[Stress_Level]&lt;=7,"Medium","High"))</f>
        <v>High</v>
      </c>
      <c r="V788" t="str">
        <f>IF(mental_health[Daily_Screen_Time]&lt;=4,"Low",IF(mental_health[Daily_Screen_Time]&lt;=8,"Medium","High"))</f>
        <v>High</v>
      </c>
    </row>
    <row r="789" spans="1:22" x14ac:dyDescent="0.3">
      <c r="A789">
        <v>788</v>
      </c>
      <c r="B789">
        <v>42</v>
      </c>
      <c r="C789" t="s">
        <v>18</v>
      </c>
      <c r="D789" t="s">
        <v>19</v>
      </c>
      <c r="E789">
        <v>11</v>
      </c>
      <c r="F789">
        <v>1.8</v>
      </c>
      <c r="G789">
        <v>1</v>
      </c>
      <c r="H789" t="str">
        <f t="shared" si="12"/>
        <v>Night Usage</v>
      </c>
      <c r="I789">
        <v>7.6</v>
      </c>
      <c r="J789" s="3">
        <v>7</v>
      </c>
      <c r="K789">
        <v>7.7</v>
      </c>
      <c r="L789" t="s">
        <v>20</v>
      </c>
      <c r="M789">
        <v>1</v>
      </c>
      <c r="N789">
        <v>4</v>
      </c>
      <c r="O789">
        <v>1</v>
      </c>
      <c r="P789">
        <v>0</v>
      </c>
      <c r="Q789">
        <v>1</v>
      </c>
      <c r="R789">
        <v>1</v>
      </c>
      <c r="S789">
        <v>1</v>
      </c>
      <c r="T789" t="str">
        <f>IF(mental_health[Sleep_Hours]&lt;5,"Low",IF(mental_health[Sleep_Hours]&lt;7,"Medium","Good"))</f>
        <v>Good</v>
      </c>
      <c r="U789" t="str">
        <f>IF(mental_health[Stress_Level]&lt;=3,"Low",IF(mental_health[Stress_Level]&lt;=7,"Medium","High"))</f>
        <v>Medium</v>
      </c>
      <c r="V789" t="str">
        <f>IF(mental_health[Daily_Screen_Time]&lt;=4,"Low",IF(mental_health[Daily_Screen_Time]&lt;=8,"Medium","High"))</f>
        <v>High</v>
      </c>
    </row>
    <row r="790" spans="1:22" x14ac:dyDescent="0.3">
      <c r="A790">
        <v>789</v>
      </c>
      <c r="B790">
        <v>44</v>
      </c>
      <c r="C790" t="s">
        <v>23</v>
      </c>
      <c r="D790" t="s">
        <v>19</v>
      </c>
      <c r="E790">
        <v>10.5</v>
      </c>
      <c r="F790">
        <v>1.9</v>
      </c>
      <c r="G790">
        <v>0</v>
      </c>
      <c r="H790" t="str">
        <f t="shared" si="12"/>
        <v>No Night Usage</v>
      </c>
      <c r="I790">
        <v>7.9</v>
      </c>
      <c r="J790" s="3">
        <v>7</v>
      </c>
      <c r="K790">
        <v>10.7</v>
      </c>
      <c r="L790" t="s">
        <v>21</v>
      </c>
      <c r="M790">
        <v>2</v>
      </c>
      <c r="N790">
        <v>3</v>
      </c>
      <c r="O790">
        <v>0</v>
      </c>
      <c r="P790">
        <v>1</v>
      </c>
      <c r="Q790">
        <v>0</v>
      </c>
      <c r="R790">
        <v>0</v>
      </c>
      <c r="S790">
        <v>1</v>
      </c>
      <c r="T790" t="str">
        <f>IF(mental_health[Sleep_Hours]&lt;5,"Low",IF(mental_health[Sleep_Hours]&lt;7,"Medium","Good"))</f>
        <v>Good</v>
      </c>
      <c r="U790" t="str">
        <f>IF(mental_health[Stress_Level]&lt;=3,"Low",IF(mental_health[Stress_Level]&lt;=7,"Medium","High"))</f>
        <v>Medium</v>
      </c>
      <c r="V790" t="str">
        <f>IF(mental_health[Daily_Screen_Time]&lt;=4,"Low",IF(mental_health[Daily_Screen_Time]&lt;=8,"Medium","High"))</f>
        <v>High</v>
      </c>
    </row>
    <row r="791" spans="1:22" x14ac:dyDescent="0.3">
      <c r="A791">
        <v>790</v>
      </c>
      <c r="B791">
        <v>47</v>
      </c>
      <c r="C791" t="s">
        <v>23</v>
      </c>
      <c r="D791" t="s">
        <v>22</v>
      </c>
      <c r="E791">
        <v>3.8</v>
      </c>
      <c r="F791">
        <v>4.8</v>
      </c>
      <c r="G791">
        <v>0</v>
      </c>
      <c r="H791" t="str">
        <f t="shared" si="12"/>
        <v>No Night Usage</v>
      </c>
      <c r="I791">
        <v>6</v>
      </c>
      <c r="J791" s="3">
        <v>9</v>
      </c>
      <c r="K791">
        <v>11.3</v>
      </c>
      <c r="L791" t="s">
        <v>25</v>
      </c>
      <c r="M791">
        <v>1</v>
      </c>
      <c r="N791">
        <v>3</v>
      </c>
      <c r="O791">
        <v>0</v>
      </c>
      <c r="P791">
        <v>0</v>
      </c>
      <c r="Q791">
        <v>1</v>
      </c>
      <c r="R791">
        <v>1</v>
      </c>
      <c r="S791">
        <v>0</v>
      </c>
      <c r="T791" t="str">
        <f>IF(mental_health[Sleep_Hours]&lt;5,"Low",IF(mental_health[Sleep_Hours]&lt;7,"Medium","Good"))</f>
        <v>Medium</v>
      </c>
      <c r="U791" t="str">
        <f>IF(mental_health[Stress_Level]&lt;=3,"Low",IF(mental_health[Stress_Level]&lt;=7,"Medium","High"))</f>
        <v>High</v>
      </c>
      <c r="V791" t="str">
        <f>IF(mental_health[Daily_Screen_Time]&lt;=4,"Low",IF(mental_health[Daily_Screen_Time]&lt;=8,"Medium","High"))</f>
        <v>Low</v>
      </c>
    </row>
    <row r="792" spans="1:22" x14ac:dyDescent="0.3">
      <c r="A792">
        <v>791</v>
      </c>
      <c r="B792">
        <v>34</v>
      </c>
      <c r="C792" t="s">
        <v>18</v>
      </c>
      <c r="D792" t="s">
        <v>19</v>
      </c>
      <c r="E792">
        <v>11.6</v>
      </c>
      <c r="F792">
        <v>7.6</v>
      </c>
      <c r="G792">
        <v>1</v>
      </c>
      <c r="H792" t="str">
        <f t="shared" si="12"/>
        <v>Night Usage</v>
      </c>
      <c r="I792">
        <v>4.2</v>
      </c>
      <c r="J792" s="3">
        <v>5</v>
      </c>
      <c r="K792">
        <v>5.4</v>
      </c>
      <c r="L792" t="s">
        <v>25</v>
      </c>
      <c r="M792">
        <v>6</v>
      </c>
      <c r="N792">
        <v>4</v>
      </c>
      <c r="O792">
        <v>1</v>
      </c>
      <c r="P792">
        <v>1</v>
      </c>
      <c r="Q792">
        <v>0</v>
      </c>
      <c r="R792">
        <v>1</v>
      </c>
      <c r="S792">
        <v>1</v>
      </c>
      <c r="T792" t="str">
        <f>IF(mental_health[Sleep_Hours]&lt;5,"Low",IF(mental_health[Sleep_Hours]&lt;7,"Medium","Good"))</f>
        <v>Low</v>
      </c>
      <c r="U792" t="str">
        <f>IF(mental_health[Stress_Level]&lt;=3,"Low",IF(mental_health[Stress_Level]&lt;=7,"Medium","High"))</f>
        <v>Medium</v>
      </c>
      <c r="V792" t="str">
        <f>IF(mental_health[Daily_Screen_Time]&lt;=4,"Low",IF(mental_health[Daily_Screen_Time]&lt;=8,"Medium","High"))</f>
        <v>High</v>
      </c>
    </row>
    <row r="793" spans="1:22" x14ac:dyDescent="0.3">
      <c r="A793">
        <v>792</v>
      </c>
      <c r="B793">
        <v>36</v>
      </c>
      <c r="C793" t="s">
        <v>23</v>
      </c>
      <c r="D793" t="s">
        <v>24</v>
      </c>
      <c r="E793">
        <v>5.8</v>
      </c>
      <c r="F793">
        <v>3.2</v>
      </c>
      <c r="G793">
        <v>1</v>
      </c>
      <c r="H793" t="str">
        <f t="shared" si="12"/>
        <v>Night Usage</v>
      </c>
      <c r="I793">
        <v>7.4</v>
      </c>
      <c r="J793" s="3">
        <v>4</v>
      </c>
      <c r="K793">
        <v>2.7</v>
      </c>
      <c r="L793" t="s">
        <v>25</v>
      </c>
      <c r="M793">
        <v>3</v>
      </c>
      <c r="N793">
        <v>1</v>
      </c>
      <c r="O793">
        <v>0</v>
      </c>
      <c r="P793">
        <v>1</v>
      </c>
      <c r="Q793">
        <v>1</v>
      </c>
      <c r="R793">
        <v>0</v>
      </c>
      <c r="S793">
        <v>0</v>
      </c>
      <c r="T793" t="str">
        <f>IF(mental_health[Sleep_Hours]&lt;5,"Low",IF(mental_health[Sleep_Hours]&lt;7,"Medium","Good"))</f>
        <v>Good</v>
      </c>
      <c r="U793" t="str">
        <f>IF(mental_health[Stress_Level]&lt;=3,"Low",IF(mental_health[Stress_Level]&lt;=7,"Medium","High"))</f>
        <v>Medium</v>
      </c>
      <c r="V793" t="str">
        <f>IF(mental_health[Daily_Screen_Time]&lt;=4,"Low",IF(mental_health[Daily_Screen_Time]&lt;=8,"Medium","High"))</f>
        <v>Medium</v>
      </c>
    </row>
    <row r="794" spans="1:22" x14ac:dyDescent="0.3">
      <c r="A794">
        <v>793</v>
      </c>
      <c r="B794">
        <v>20</v>
      </c>
      <c r="C794" t="s">
        <v>18</v>
      </c>
      <c r="D794" t="s">
        <v>19</v>
      </c>
      <c r="E794">
        <v>5.4</v>
      </c>
      <c r="F794">
        <v>7.1</v>
      </c>
      <c r="G794">
        <v>0</v>
      </c>
      <c r="H794" t="str">
        <f t="shared" si="12"/>
        <v>No Night Usage</v>
      </c>
      <c r="I794">
        <v>7.2</v>
      </c>
      <c r="J794" s="3">
        <v>8</v>
      </c>
      <c r="K794">
        <v>6.2</v>
      </c>
      <c r="L794" t="s">
        <v>20</v>
      </c>
      <c r="M794">
        <v>1</v>
      </c>
      <c r="N794">
        <v>2</v>
      </c>
      <c r="O794">
        <v>0</v>
      </c>
      <c r="P794">
        <v>1</v>
      </c>
      <c r="Q794">
        <v>1</v>
      </c>
      <c r="R794">
        <v>1</v>
      </c>
      <c r="S794">
        <v>1</v>
      </c>
      <c r="T794" t="str">
        <f>IF(mental_health[Sleep_Hours]&lt;5,"Low",IF(mental_health[Sleep_Hours]&lt;7,"Medium","Good"))</f>
        <v>Good</v>
      </c>
      <c r="U794" t="str">
        <f>IF(mental_health[Stress_Level]&lt;=3,"Low",IF(mental_health[Stress_Level]&lt;=7,"Medium","High"))</f>
        <v>High</v>
      </c>
      <c r="V794" t="str">
        <f>IF(mental_health[Daily_Screen_Time]&lt;=4,"Low",IF(mental_health[Daily_Screen_Time]&lt;=8,"Medium","High"))</f>
        <v>Medium</v>
      </c>
    </row>
    <row r="795" spans="1:22" x14ac:dyDescent="0.3">
      <c r="A795">
        <v>794</v>
      </c>
      <c r="B795">
        <v>33</v>
      </c>
      <c r="C795" t="s">
        <v>18</v>
      </c>
      <c r="D795" t="s">
        <v>24</v>
      </c>
      <c r="E795">
        <v>2.6</v>
      </c>
      <c r="F795">
        <v>6.3</v>
      </c>
      <c r="G795">
        <v>1</v>
      </c>
      <c r="H795" t="str">
        <f t="shared" si="12"/>
        <v>Night Usage</v>
      </c>
      <c r="I795">
        <v>4.5</v>
      </c>
      <c r="J795" s="3">
        <v>4</v>
      </c>
      <c r="K795">
        <v>5.9</v>
      </c>
      <c r="L795" t="s">
        <v>20</v>
      </c>
      <c r="M795">
        <v>8</v>
      </c>
      <c r="N795">
        <v>1</v>
      </c>
      <c r="O795">
        <v>0</v>
      </c>
      <c r="P795">
        <v>1</v>
      </c>
      <c r="Q795">
        <v>1</v>
      </c>
      <c r="R795">
        <v>0</v>
      </c>
      <c r="S795">
        <v>0</v>
      </c>
      <c r="T795" t="str">
        <f>IF(mental_health[Sleep_Hours]&lt;5,"Low",IF(mental_health[Sleep_Hours]&lt;7,"Medium","Good"))</f>
        <v>Low</v>
      </c>
      <c r="U795" t="str">
        <f>IF(mental_health[Stress_Level]&lt;=3,"Low",IF(mental_health[Stress_Level]&lt;=7,"Medium","High"))</f>
        <v>Medium</v>
      </c>
      <c r="V795" t="str">
        <f>IF(mental_health[Daily_Screen_Time]&lt;=4,"Low",IF(mental_health[Daily_Screen_Time]&lt;=8,"Medium","High"))</f>
        <v>Low</v>
      </c>
    </row>
    <row r="796" spans="1:22" x14ac:dyDescent="0.3">
      <c r="A796">
        <v>795</v>
      </c>
      <c r="B796">
        <v>43</v>
      </c>
      <c r="C796" t="s">
        <v>18</v>
      </c>
      <c r="D796" t="s">
        <v>19</v>
      </c>
      <c r="E796">
        <v>6.9</v>
      </c>
      <c r="F796">
        <v>2.7</v>
      </c>
      <c r="G796">
        <v>1</v>
      </c>
      <c r="H796" t="str">
        <f t="shared" si="12"/>
        <v>Night Usage</v>
      </c>
      <c r="I796">
        <v>8.4</v>
      </c>
      <c r="J796" s="3">
        <v>4</v>
      </c>
      <c r="K796">
        <v>11.9</v>
      </c>
      <c r="L796" t="s">
        <v>21</v>
      </c>
      <c r="M796">
        <v>4</v>
      </c>
      <c r="N796">
        <v>4</v>
      </c>
      <c r="O796">
        <v>1</v>
      </c>
      <c r="P796">
        <v>0</v>
      </c>
      <c r="Q796">
        <v>1</v>
      </c>
      <c r="R796">
        <v>1</v>
      </c>
      <c r="S796">
        <v>0</v>
      </c>
      <c r="T796" t="str">
        <f>IF(mental_health[Sleep_Hours]&lt;5,"Low",IF(mental_health[Sleep_Hours]&lt;7,"Medium","Good"))</f>
        <v>Good</v>
      </c>
      <c r="U796" t="str">
        <f>IF(mental_health[Stress_Level]&lt;=3,"Low",IF(mental_health[Stress_Level]&lt;=7,"Medium","High"))</f>
        <v>Medium</v>
      </c>
      <c r="V796" t="str">
        <f>IF(mental_health[Daily_Screen_Time]&lt;=4,"Low",IF(mental_health[Daily_Screen_Time]&lt;=8,"Medium","High"))</f>
        <v>Medium</v>
      </c>
    </row>
    <row r="797" spans="1:22" x14ac:dyDescent="0.3">
      <c r="A797">
        <v>796</v>
      </c>
      <c r="B797">
        <v>57</v>
      </c>
      <c r="C797" t="s">
        <v>18</v>
      </c>
      <c r="D797" t="s">
        <v>22</v>
      </c>
      <c r="E797">
        <v>3.1</v>
      </c>
      <c r="F797">
        <v>1.3</v>
      </c>
      <c r="G797">
        <v>1</v>
      </c>
      <c r="H797" t="str">
        <f t="shared" si="12"/>
        <v>Night Usage</v>
      </c>
      <c r="I797">
        <v>3.6</v>
      </c>
      <c r="J797" s="3">
        <v>2</v>
      </c>
      <c r="K797">
        <v>6.3</v>
      </c>
      <c r="L797" t="s">
        <v>21</v>
      </c>
      <c r="M797">
        <v>10</v>
      </c>
      <c r="N797">
        <v>3</v>
      </c>
      <c r="O797">
        <v>1</v>
      </c>
      <c r="P797">
        <v>0</v>
      </c>
      <c r="Q797">
        <v>0</v>
      </c>
      <c r="R797">
        <v>1</v>
      </c>
      <c r="S797">
        <v>0</v>
      </c>
      <c r="T797" t="str">
        <f>IF(mental_health[Sleep_Hours]&lt;5,"Low",IF(mental_health[Sleep_Hours]&lt;7,"Medium","Good"))</f>
        <v>Low</v>
      </c>
      <c r="U797" t="str">
        <f>IF(mental_health[Stress_Level]&lt;=3,"Low",IF(mental_health[Stress_Level]&lt;=7,"Medium","High"))</f>
        <v>Low</v>
      </c>
      <c r="V797" t="str">
        <f>IF(mental_health[Daily_Screen_Time]&lt;=4,"Low",IF(mental_health[Daily_Screen_Time]&lt;=8,"Medium","High"))</f>
        <v>Low</v>
      </c>
    </row>
    <row r="798" spans="1:22" x14ac:dyDescent="0.3">
      <c r="A798">
        <v>797</v>
      </c>
      <c r="B798">
        <v>37</v>
      </c>
      <c r="C798" t="s">
        <v>23</v>
      </c>
      <c r="D798" t="s">
        <v>19</v>
      </c>
      <c r="E798">
        <v>4.5</v>
      </c>
      <c r="F798">
        <v>1.7</v>
      </c>
      <c r="G798">
        <v>1</v>
      </c>
      <c r="H798" t="str">
        <f t="shared" si="12"/>
        <v>Night Usage</v>
      </c>
      <c r="I798">
        <v>8.9</v>
      </c>
      <c r="J798" s="3">
        <v>1</v>
      </c>
      <c r="K798">
        <v>5.0999999999999996</v>
      </c>
      <c r="L798" t="s">
        <v>21</v>
      </c>
      <c r="M798">
        <v>7</v>
      </c>
      <c r="N798">
        <v>3</v>
      </c>
      <c r="O798">
        <v>0</v>
      </c>
      <c r="P798">
        <v>0</v>
      </c>
      <c r="Q798">
        <v>1</v>
      </c>
      <c r="R798">
        <v>0</v>
      </c>
      <c r="S798">
        <v>0</v>
      </c>
      <c r="T798" t="str">
        <f>IF(mental_health[Sleep_Hours]&lt;5,"Low",IF(mental_health[Sleep_Hours]&lt;7,"Medium","Good"))</f>
        <v>Good</v>
      </c>
      <c r="U798" t="str">
        <f>IF(mental_health[Stress_Level]&lt;=3,"Low",IF(mental_health[Stress_Level]&lt;=7,"Medium","High"))</f>
        <v>Low</v>
      </c>
      <c r="V798" t="str">
        <f>IF(mental_health[Daily_Screen_Time]&lt;=4,"Low",IF(mental_health[Daily_Screen_Time]&lt;=8,"Medium","High"))</f>
        <v>Medium</v>
      </c>
    </row>
    <row r="799" spans="1:22" x14ac:dyDescent="0.3">
      <c r="A799">
        <v>798</v>
      </c>
      <c r="B799">
        <v>36</v>
      </c>
      <c r="C799" t="s">
        <v>18</v>
      </c>
      <c r="D799" t="s">
        <v>19</v>
      </c>
      <c r="E799">
        <v>5.2</v>
      </c>
      <c r="F799">
        <v>6.1</v>
      </c>
      <c r="G799">
        <v>0</v>
      </c>
      <c r="H799" t="str">
        <f t="shared" si="12"/>
        <v>No Night Usage</v>
      </c>
      <c r="I799">
        <v>8.1999999999999993</v>
      </c>
      <c r="J799" s="3">
        <v>4</v>
      </c>
      <c r="K799">
        <v>5.7</v>
      </c>
      <c r="L799" t="s">
        <v>21</v>
      </c>
      <c r="M799">
        <v>10</v>
      </c>
      <c r="N799">
        <v>0</v>
      </c>
      <c r="O799">
        <v>0</v>
      </c>
      <c r="P799">
        <v>1</v>
      </c>
      <c r="Q799">
        <v>0</v>
      </c>
      <c r="R799">
        <v>0</v>
      </c>
      <c r="S799">
        <v>1</v>
      </c>
      <c r="T799" t="str">
        <f>IF(mental_health[Sleep_Hours]&lt;5,"Low",IF(mental_health[Sleep_Hours]&lt;7,"Medium","Good"))</f>
        <v>Good</v>
      </c>
      <c r="U799" t="str">
        <f>IF(mental_health[Stress_Level]&lt;=3,"Low",IF(mental_health[Stress_Level]&lt;=7,"Medium","High"))</f>
        <v>Medium</v>
      </c>
      <c r="V799" t="str">
        <f>IF(mental_health[Daily_Screen_Time]&lt;=4,"Low",IF(mental_health[Daily_Screen_Time]&lt;=8,"Medium","High"))</f>
        <v>Medium</v>
      </c>
    </row>
    <row r="800" spans="1:22" x14ac:dyDescent="0.3">
      <c r="A800">
        <v>799</v>
      </c>
      <c r="B800">
        <v>21</v>
      </c>
      <c r="C800" t="s">
        <v>18</v>
      </c>
      <c r="D800" t="s">
        <v>19</v>
      </c>
      <c r="E800">
        <v>10.1</v>
      </c>
      <c r="F800">
        <v>2.4</v>
      </c>
      <c r="G800">
        <v>1</v>
      </c>
      <c r="H800" t="str">
        <f t="shared" si="12"/>
        <v>Night Usage</v>
      </c>
      <c r="I800">
        <v>7.1</v>
      </c>
      <c r="J800" s="3">
        <v>7</v>
      </c>
      <c r="K800">
        <v>6</v>
      </c>
      <c r="L800" t="s">
        <v>20</v>
      </c>
      <c r="M800">
        <v>2</v>
      </c>
      <c r="N800">
        <v>0</v>
      </c>
      <c r="O800">
        <v>1</v>
      </c>
      <c r="P800">
        <v>0</v>
      </c>
      <c r="Q800">
        <v>0</v>
      </c>
      <c r="R800">
        <v>0</v>
      </c>
      <c r="S800">
        <v>1</v>
      </c>
      <c r="T800" t="str">
        <f>IF(mental_health[Sleep_Hours]&lt;5,"Low",IF(mental_health[Sleep_Hours]&lt;7,"Medium","Good"))</f>
        <v>Good</v>
      </c>
      <c r="U800" t="str">
        <f>IF(mental_health[Stress_Level]&lt;=3,"Low",IF(mental_health[Stress_Level]&lt;=7,"Medium","High"))</f>
        <v>Medium</v>
      </c>
      <c r="V800" t="str">
        <f>IF(mental_health[Daily_Screen_Time]&lt;=4,"Low",IF(mental_health[Daily_Screen_Time]&lt;=8,"Medium","High"))</f>
        <v>High</v>
      </c>
    </row>
    <row r="801" spans="1:22" x14ac:dyDescent="0.3">
      <c r="A801">
        <v>800</v>
      </c>
      <c r="B801">
        <v>16</v>
      </c>
      <c r="C801" t="s">
        <v>23</v>
      </c>
      <c r="D801" t="s">
        <v>22</v>
      </c>
      <c r="E801">
        <v>10.8</v>
      </c>
      <c r="F801">
        <v>3.6</v>
      </c>
      <c r="G801">
        <v>0</v>
      </c>
      <c r="H801" t="str">
        <f t="shared" si="12"/>
        <v>No Night Usage</v>
      </c>
      <c r="I801">
        <v>8.6</v>
      </c>
      <c r="J801" s="3">
        <v>9</v>
      </c>
      <c r="K801">
        <v>10.199999999999999</v>
      </c>
      <c r="L801" t="s">
        <v>21</v>
      </c>
      <c r="M801">
        <v>6</v>
      </c>
      <c r="N801">
        <v>3</v>
      </c>
      <c r="O801">
        <v>1</v>
      </c>
      <c r="P801">
        <v>1</v>
      </c>
      <c r="Q801">
        <v>1</v>
      </c>
      <c r="R801">
        <v>1</v>
      </c>
      <c r="S801">
        <v>0</v>
      </c>
      <c r="T801" t="str">
        <f>IF(mental_health[Sleep_Hours]&lt;5,"Low",IF(mental_health[Sleep_Hours]&lt;7,"Medium","Good"))</f>
        <v>Good</v>
      </c>
      <c r="U801" t="str">
        <f>IF(mental_health[Stress_Level]&lt;=3,"Low",IF(mental_health[Stress_Level]&lt;=7,"Medium","High"))</f>
        <v>High</v>
      </c>
      <c r="V801" t="str">
        <f>IF(mental_health[Daily_Screen_Time]&lt;=4,"Low",IF(mental_health[Daily_Screen_Time]&lt;=8,"Medium","High"))</f>
        <v>High</v>
      </c>
    </row>
    <row r="802" spans="1:22" x14ac:dyDescent="0.3">
      <c r="A802">
        <v>801</v>
      </c>
      <c r="B802">
        <v>20</v>
      </c>
      <c r="C802" t="s">
        <v>18</v>
      </c>
      <c r="D802" t="s">
        <v>19</v>
      </c>
      <c r="E802">
        <v>5</v>
      </c>
      <c r="F802">
        <v>4.5</v>
      </c>
      <c r="G802">
        <v>1</v>
      </c>
      <c r="H802" t="str">
        <f t="shared" si="12"/>
        <v>Night Usage</v>
      </c>
      <c r="I802">
        <v>7.3</v>
      </c>
      <c r="J802" s="3">
        <v>9</v>
      </c>
      <c r="K802">
        <v>2.8</v>
      </c>
      <c r="L802" t="s">
        <v>25</v>
      </c>
      <c r="M802">
        <v>6</v>
      </c>
      <c r="N802">
        <v>3</v>
      </c>
      <c r="O802">
        <v>0</v>
      </c>
      <c r="P802">
        <v>1</v>
      </c>
      <c r="Q802">
        <v>1</v>
      </c>
      <c r="R802">
        <v>1</v>
      </c>
      <c r="S802">
        <v>1</v>
      </c>
      <c r="T802" t="str">
        <f>IF(mental_health[Sleep_Hours]&lt;5,"Low",IF(mental_health[Sleep_Hours]&lt;7,"Medium","Good"))</f>
        <v>Good</v>
      </c>
      <c r="U802" t="str">
        <f>IF(mental_health[Stress_Level]&lt;=3,"Low",IF(mental_health[Stress_Level]&lt;=7,"Medium","High"))</f>
        <v>High</v>
      </c>
      <c r="V802" t="str">
        <f>IF(mental_health[Daily_Screen_Time]&lt;=4,"Low",IF(mental_health[Daily_Screen_Time]&lt;=8,"Medium","High"))</f>
        <v>Medium</v>
      </c>
    </row>
    <row r="803" spans="1:22" x14ac:dyDescent="0.3">
      <c r="A803">
        <v>802</v>
      </c>
      <c r="B803">
        <v>56</v>
      </c>
      <c r="C803" t="s">
        <v>18</v>
      </c>
      <c r="D803" t="s">
        <v>22</v>
      </c>
      <c r="E803">
        <v>10.6</v>
      </c>
      <c r="F803">
        <v>6.1</v>
      </c>
      <c r="G803">
        <v>0</v>
      </c>
      <c r="H803" t="str">
        <f t="shared" si="12"/>
        <v>No Night Usage</v>
      </c>
      <c r="I803">
        <v>4.0999999999999996</v>
      </c>
      <c r="J803" s="3">
        <v>10</v>
      </c>
      <c r="K803">
        <v>5.2</v>
      </c>
      <c r="L803" t="s">
        <v>20</v>
      </c>
      <c r="M803">
        <v>7</v>
      </c>
      <c r="N803">
        <v>0</v>
      </c>
      <c r="O803">
        <v>0</v>
      </c>
      <c r="P803">
        <v>0</v>
      </c>
      <c r="Q803">
        <v>1</v>
      </c>
      <c r="R803">
        <v>1</v>
      </c>
      <c r="S803">
        <v>0</v>
      </c>
      <c r="T803" t="str">
        <f>IF(mental_health[Sleep_Hours]&lt;5,"Low",IF(mental_health[Sleep_Hours]&lt;7,"Medium","Good"))</f>
        <v>Low</v>
      </c>
      <c r="U803" t="str">
        <f>IF(mental_health[Stress_Level]&lt;=3,"Low",IF(mental_health[Stress_Level]&lt;=7,"Medium","High"))</f>
        <v>High</v>
      </c>
      <c r="V803" t="str">
        <f>IF(mental_health[Daily_Screen_Time]&lt;=4,"Low",IF(mental_health[Daily_Screen_Time]&lt;=8,"Medium","High"))</f>
        <v>High</v>
      </c>
    </row>
    <row r="804" spans="1:22" x14ac:dyDescent="0.3">
      <c r="A804">
        <v>803</v>
      </c>
      <c r="B804">
        <v>27</v>
      </c>
      <c r="C804" t="s">
        <v>18</v>
      </c>
      <c r="D804" t="s">
        <v>24</v>
      </c>
      <c r="E804">
        <v>10.6</v>
      </c>
      <c r="F804">
        <v>1.8</v>
      </c>
      <c r="G804">
        <v>1</v>
      </c>
      <c r="H804" t="str">
        <f t="shared" si="12"/>
        <v>Night Usage</v>
      </c>
      <c r="I804">
        <v>5.7</v>
      </c>
      <c r="J804" s="3">
        <v>1</v>
      </c>
      <c r="K804">
        <v>11.7</v>
      </c>
      <c r="L804" t="s">
        <v>20</v>
      </c>
      <c r="M804">
        <v>1</v>
      </c>
      <c r="N804">
        <v>0</v>
      </c>
      <c r="O804">
        <v>0</v>
      </c>
      <c r="P804">
        <v>0</v>
      </c>
      <c r="Q804">
        <v>0</v>
      </c>
      <c r="R804">
        <v>0</v>
      </c>
      <c r="S804">
        <v>0</v>
      </c>
      <c r="T804" t="str">
        <f>IF(mental_health[Sleep_Hours]&lt;5,"Low",IF(mental_health[Sleep_Hours]&lt;7,"Medium","Good"))</f>
        <v>Medium</v>
      </c>
      <c r="U804" t="str">
        <f>IF(mental_health[Stress_Level]&lt;=3,"Low",IF(mental_health[Stress_Level]&lt;=7,"Medium","High"))</f>
        <v>Low</v>
      </c>
      <c r="V804" t="str">
        <f>IF(mental_health[Daily_Screen_Time]&lt;=4,"Low",IF(mental_health[Daily_Screen_Time]&lt;=8,"Medium","High"))</f>
        <v>High</v>
      </c>
    </row>
    <row r="805" spans="1:22" x14ac:dyDescent="0.3">
      <c r="A805">
        <v>804</v>
      </c>
      <c r="B805">
        <v>41</v>
      </c>
      <c r="C805" t="s">
        <v>23</v>
      </c>
      <c r="D805" t="s">
        <v>19</v>
      </c>
      <c r="E805">
        <v>9.6</v>
      </c>
      <c r="F805">
        <v>3.8</v>
      </c>
      <c r="G805">
        <v>0</v>
      </c>
      <c r="H805" t="str">
        <f t="shared" si="12"/>
        <v>No Night Usage</v>
      </c>
      <c r="I805">
        <v>3.4</v>
      </c>
      <c r="J805" s="3">
        <v>5</v>
      </c>
      <c r="K805">
        <v>3.5</v>
      </c>
      <c r="L805" t="s">
        <v>20</v>
      </c>
      <c r="M805">
        <v>1</v>
      </c>
      <c r="N805">
        <v>1</v>
      </c>
      <c r="O805">
        <v>1</v>
      </c>
      <c r="P805">
        <v>1</v>
      </c>
      <c r="Q805">
        <v>1</v>
      </c>
      <c r="R805">
        <v>0</v>
      </c>
      <c r="S805">
        <v>0</v>
      </c>
      <c r="T805" t="str">
        <f>IF(mental_health[Sleep_Hours]&lt;5,"Low",IF(mental_health[Sleep_Hours]&lt;7,"Medium","Good"))</f>
        <v>Low</v>
      </c>
      <c r="U805" t="str">
        <f>IF(mental_health[Stress_Level]&lt;=3,"Low",IF(mental_health[Stress_Level]&lt;=7,"Medium","High"))</f>
        <v>Medium</v>
      </c>
      <c r="V805" t="str">
        <f>IF(mental_health[Daily_Screen_Time]&lt;=4,"Low",IF(mental_health[Daily_Screen_Time]&lt;=8,"Medium","High"))</f>
        <v>High</v>
      </c>
    </row>
    <row r="806" spans="1:22" x14ac:dyDescent="0.3">
      <c r="A806">
        <v>805</v>
      </c>
      <c r="B806">
        <v>49</v>
      </c>
      <c r="C806" t="s">
        <v>18</v>
      </c>
      <c r="D806" t="s">
        <v>22</v>
      </c>
      <c r="E806">
        <v>3.5</v>
      </c>
      <c r="F806">
        <v>4.4000000000000004</v>
      </c>
      <c r="G806">
        <v>1</v>
      </c>
      <c r="H806" t="str">
        <f t="shared" si="12"/>
        <v>Night Usage</v>
      </c>
      <c r="I806">
        <v>5.3</v>
      </c>
      <c r="J806" s="3">
        <v>7</v>
      </c>
      <c r="K806">
        <v>9.4</v>
      </c>
      <c r="L806" t="s">
        <v>25</v>
      </c>
      <c r="M806">
        <v>2</v>
      </c>
      <c r="N806">
        <v>3</v>
      </c>
      <c r="O806">
        <v>1</v>
      </c>
      <c r="P806">
        <v>1</v>
      </c>
      <c r="Q806">
        <v>1</v>
      </c>
      <c r="R806">
        <v>0</v>
      </c>
      <c r="S806">
        <v>0</v>
      </c>
      <c r="T806" t="str">
        <f>IF(mental_health[Sleep_Hours]&lt;5,"Low",IF(mental_health[Sleep_Hours]&lt;7,"Medium","Good"))</f>
        <v>Medium</v>
      </c>
      <c r="U806" t="str">
        <f>IF(mental_health[Stress_Level]&lt;=3,"Low",IF(mental_health[Stress_Level]&lt;=7,"Medium","High"))</f>
        <v>Medium</v>
      </c>
      <c r="V806" t="str">
        <f>IF(mental_health[Daily_Screen_Time]&lt;=4,"Low",IF(mental_health[Daily_Screen_Time]&lt;=8,"Medium","High"))</f>
        <v>Low</v>
      </c>
    </row>
    <row r="807" spans="1:22" x14ac:dyDescent="0.3">
      <c r="A807">
        <v>806</v>
      </c>
      <c r="B807">
        <v>29</v>
      </c>
      <c r="C807" t="s">
        <v>23</v>
      </c>
      <c r="D807" t="s">
        <v>22</v>
      </c>
      <c r="E807">
        <v>8.9</v>
      </c>
      <c r="F807">
        <v>4.8</v>
      </c>
      <c r="G807">
        <v>0</v>
      </c>
      <c r="H807" t="str">
        <f t="shared" si="12"/>
        <v>No Night Usage</v>
      </c>
      <c r="I807">
        <v>7.4</v>
      </c>
      <c r="J807" s="3">
        <v>7</v>
      </c>
      <c r="K807">
        <v>5.6</v>
      </c>
      <c r="L807" t="s">
        <v>20</v>
      </c>
      <c r="M807">
        <v>2</v>
      </c>
      <c r="N807">
        <v>3</v>
      </c>
      <c r="O807">
        <v>0</v>
      </c>
      <c r="P807">
        <v>1</v>
      </c>
      <c r="Q807">
        <v>1</v>
      </c>
      <c r="R807">
        <v>0</v>
      </c>
      <c r="S807">
        <v>0</v>
      </c>
      <c r="T807" t="str">
        <f>IF(mental_health[Sleep_Hours]&lt;5,"Low",IF(mental_health[Sleep_Hours]&lt;7,"Medium","Good"))</f>
        <v>Good</v>
      </c>
      <c r="U807" t="str">
        <f>IF(mental_health[Stress_Level]&lt;=3,"Low",IF(mental_health[Stress_Level]&lt;=7,"Medium","High"))</f>
        <v>Medium</v>
      </c>
      <c r="V807" t="str">
        <f>IF(mental_health[Daily_Screen_Time]&lt;=4,"Low",IF(mental_health[Daily_Screen_Time]&lt;=8,"Medium","High"))</f>
        <v>High</v>
      </c>
    </row>
    <row r="808" spans="1:22" x14ac:dyDescent="0.3">
      <c r="A808">
        <v>807</v>
      </c>
      <c r="B808">
        <v>41</v>
      </c>
      <c r="C808" t="s">
        <v>18</v>
      </c>
      <c r="D808" t="s">
        <v>19</v>
      </c>
      <c r="E808">
        <v>11.5</v>
      </c>
      <c r="F808">
        <v>6.7</v>
      </c>
      <c r="G808">
        <v>1</v>
      </c>
      <c r="H808" t="str">
        <f t="shared" si="12"/>
        <v>Night Usage</v>
      </c>
      <c r="I808">
        <v>5.3</v>
      </c>
      <c r="J808" s="3">
        <v>10</v>
      </c>
      <c r="K808">
        <v>7.8</v>
      </c>
      <c r="L808" t="s">
        <v>25</v>
      </c>
      <c r="M808">
        <v>5</v>
      </c>
      <c r="N808">
        <v>4</v>
      </c>
      <c r="O808">
        <v>1</v>
      </c>
      <c r="P808">
        <v>1</v>
      </c>
      <c r="Q808">
        <v>1</v>
      </c>
      <c r="R808">
        <v>1</v>
      </c>
      <c r="S808">
        <v>1</v>
      </c>
      <c r="T808" t="str">
        <f>IF(mental_health[Sleep_Hours]&lt;5,"Low",IF(mental_health[Sleep_Hours]&lt;7,"Medium","Good"))</f>
        <v>Medium</v>
      </c>
      <c r="U808" t="str">
        <f>IF(mental_health[Stress_Level]&lt;=3,"Low",IF(mental_health[Stress_Level]&lt;=7,"Medium","High"))</f>
        <v>High</v>
      </c>
      <c r="V808" t="str">
        <f>IF(mental_health[Daily_Screen_Time]&lt;=4,"Low",IF(mental_health[Daily_Screen_Time]&lt;=8,"Medium","High"))</f>
        <v>High</v>
      </c>
    </row>
    <row r="809" spans="1:22" x14ac:dyDescent="0.3">
      <c r="A809">
        <v>808</v>
      </c>
      <c r="B809">
        <v>42</v>
      </c>
      <c r="C809" t="s">
        <v>18</v>
      </c>
      <c r="D809" t="s">
        <v>24</v>
      </c>
      <c r="E809">
        <v>8.8000000000000007</v>
      </c>
      <c r="F809">
        <v>2.2000000000000002</v>
      </c>
      <c r="G809">
        <v>1</v>
      </c>
      <c r="H809" t="str">
        <f t="shared" si="12"/>
        <v>Night Usage</v>
      </c>
      <c r="I809">
        <v>5</v>
      </c>
      <c r="J809" s="3">
        <v>6</v>
      </c>
      <c r="K809">
        <v>3</v>
      </c>
      <c r="L809" t="s">
        <v>21</v>
      </c>
      <c r="M809">
        <v>1</v>
      </c>
      <c r="N809">
        <v>1</v>
      </c>
      <c r="O809">
        <v>0</v>
      </c>
      <c r="P809">
        <v>0</v>
      </c>
      <c r="Q809">
        <v>0</v>
      </c>
      <c r="R809">
        <v>0</v>
      </c>
      <c r="S809">
        <v>1</v>
      </c>
      <c r="T809" t="str">
        <f>IF(mental_health[Sleep_Hours]&lt;5,"Low",IF(mental_health[Sleep_Hours]&lt;7,"Medium","Good"))</f>
        <v>Medium</v>
      </c>
      <c r="U809" t="str">
        <f>IF(mental_health[Stress_Level]&lt;=3,"Low",IF(mental_health[Stress_Level]&lt;=7,"Medium","High"))</f>
        <v>Medium</v>
      </c>
      <c r="V809" t="str">
        <f>IF(mental_health[Daily_Screen_Time]&lt;=4,"Low",IF(mental_health[Daily_Screen_Time]&lt;=8,"Medium","High"))</f>
        <v>High</v>
      </c>
    </row>
    <row r="810" spans="1:22" x14ac:dyDescent="0.3">
      <c r="A810">
        <v>809</v>
      </c>
      <c r="B810">
        <v>24</v>
      </c>
      <c r="C810" t="s">
        <v>23</v>
      </c>
      <c r="D810" t="s">
        <v>22</v>
      </c>
      <c r="E810">
        <v>5.3</v>
      </c>
      <c r="F810">
        <v>6.7</v>
      </c>
      <c r="G810">
        <v>0</v>
      </c>
      <c r="H810" t="str">
        <f t="shared" si="12"/>
        <v>No Night Usage</v>
      </c>
      <c r="I810">
        <v>6.6</v>
      </c>
      <c r="J810" s="3">
        <v>10</v>
      </c>
      <c r="K810">
        <v>5.0999999999999996</v>
      </c>
      <c r="L810" t="s">
        <v>20</v>
      </c>
      <c r="M810">
        <v>2</v>
      </c>
      <c r="N810">
        <v>2</v>
      </c>
      <c r="O810">
        <v>0</v>
      </c>
      <c r="P810">
        <v>0</v>
      </c>
      <c r="Q810">
        <v>0</v>
      </c>
      <c r="R810">
        <v>1</v>
      </c>
      <c r="S810">
        <v>0</v>
      </c>
      <c r="T810" t="str">
        <f>IF(mental_health[Sleep_Hours]&lt;5,"Low",IF(mental_health[Sleep_Hours]&lt;7,"Medium","Good"))</f>
        <v>Medium</v>
      </c>
      <c r="U810" t="str">
        <f>IF(mental_health[Stress_Level]&lt;=3,"Low",IF(mental_health[Stress_Level]&lt;=7,"Medium","High"))</f>
        <v>High</v>
      </c>
      <c r="V810" t="str">
        <f>IF(mental_health[Daily_Screen_Time]&lt;=4,"Low",IF(mental_health[Daily_Screen_Time]&lt;=8,"Medium","High"))</f>
        <v>Medium</v>
      </c>
    </row>
    <row r="811" spans="1:22" x14ac:dyDescent="0.3">
      <c r="A811">
        <v>810</v>
      </c>
      <c r="B811">
        <v>41</v>
      </c>
      <c r="C811" t="s">
        <v>18</v>
      </c>
      <c r="D811" t="s">
        <v>19</v>
      </c>
      <c r="E811">
        <v>7</v>
      </c>
      <c r="F811">
        <v>5.9</v>
      </c>
      <c r="G811">
        <v>0</v>
      </c>
      <c r="H811" t="str">
        <f t="shared" si="12"/>
        <v>No Night Usage</v>
      </c>
      <c r="I811">
        <v>8.1999999999999993</v>
      </c>
      <c r="J811" s="3">
        <v>4</v>
      </c>
      <c r="K811">
        <v>7</v>
      </c>
      <c r="L811" t="s">
        <v>25</v>
      </c>
      <c r="M811">
        <v>6</v>
      </c>
      <c r="N811">
        <v>2</v>
      </c>
      <c r="O811">
        <v>0</v>
      </c>
      <c r="P811">
        <v>0</v>
      </c>
      <c r="Q811">
        <v>1</v>
      </c>
      <c r="R811">
        <v>1</v>
      </c>
      <c r="S811">
        <v>0</v>
      </c>
      <c r="T811" t="str">
        <f>IF(mental_health[Sleep_Hours]&lt;5,"Low",IF(mental_health[Sleep_Hours]&lt;7,"Medium","Good"))</f>
        <v>Good</v>
      </c>
      <c r="U811" t="str">
        <f>IF(mental_health[Stress_Level]&lt;=3,"Low",IF(mental_health[Stress_Level]&lt;=7,"Medium","High"))</f>
        <v>Medium</v>
      </c>
      <c r="V811" t="str">
        <f>IF(mental_health[Daily_Screen_Time]&lt;=4,"Low",IF(mental_health[Daily_Screen_Time]&lt;=8,"Medium","High"))</f>
        <v>Medium</v>
      </c>
    </row>
    <row r="812" spans="1:22" x14ac:dyDescent="0.3">
      <c r="A812">
        <v>811</v>
      </c>
      <c r="B812">
        <v>37</v>
      </c>
      <c r="C812" t="s">
        <v>18</v>
      </c>
      <c r="D812" t="s">
        <v>24</v>
      </c>
      <c r="E812">
        <v>8.5</v>
      </c>
      <c r="F812">
        <v>4.9000000000000004</v>
      </c>
      <c r="G812">
        <v>0</v>
      </c>
      <c r="H812" t="str">
        <f t="shared" si="12"/>
        <v>No Night Usage</v>
      </c>
      <c r="I812">
        <v>3.3</v>
      </c>
      <c r="J812" s="3">
        <v>3</v>
      </c>
      <c r="K812">
        <v>4.3</v>
      </c>
      <c r="L812" t="s">
        <v>20</v>
      </c>
      <c r="M812">
        <v>3</v>
      </c>
      <c r="N812">
        <v>2</v>
      </c>
      <c r="O812">
        <v>0</v>
      </c>
      <c r="P812">
        <v>1</v>
      </c>
      <c r="Q812">
        <v>0</v>
      </c>
      <c r="R812">
        <v>1</v>
      </c>
      <c r="S812">
        <v>0</v>
      </c>
      <c r="T812" t="str">
        <f>IF(mental_health[Sleep_Hours]&lt;5,"Low",IF(mental_health[Sleep_Hours]&lt;7,"Medium","Good"))</f>
        <v>Low</v>
      </c>
      <c r="U812" t="str">
        <f>IF(mental_health[Stress_Level]&lt;=3,"Low",IF(mental_health[Stress_Level]&lt;=7,"Medium","High"))</f>
        <v>Low</v>
      </c>
      <c r="V812" t="str">
        <f>IF(mental_health[Daily_Screen_Time]&lt;=4,"Low",IF(mental_health[Daily_Screen_Time]&lt;=8,"Medium","High"))</f>
        <v>High</v>
      </c>
    </row>
    <row r="813" spans="1:22" x14ac:dyDescent="0.3">
      <c r="A813">
        <v>812</v>
      </c>
      <c r="B813">
        <v>45</v>
      </c>
      <c r="C813" t="s">
        <v>23</v>
      </c>
      <c r="D813" t="s">
        <v>22</v>
      </c>
      <c r="E813">
        <v>7.1</v>
      </c>
      <c r="F813">
        <v>5.9</v>
      </c>
      <c r="G813">
        <v>0</v>
      </c>
      <c r="H813" t="str">
        <f t="shared" si="12"/>
        <v>No Night Usage</v>
      </c>
      <c r="I813">
        <v>5.3</v>
      </c>
      <c r="J813" s="3">
        <v>9</v>
      </c>
      <c r="K813">
        <v>7.4</v>
      </c>
      <c r="L813" t="s">
        <v>21</v>
      </c>
      <c r="M813">
        <v>4</v>
      </c>
      <c r="N813">
        <v>0</v>
      </c>
      <c r="O813">
        <v>0</v>
      </c>
      <c r="P813">
        <v>1</v>
      </c>
      <c r="Q813">
        <v>0</v>
      </c>
      <c r="R813">
        <v>1</v>
      </c>
      <c r="S813">
        <v>0</v>
      </c>
      <c r="T813" t="str">
        <f>IF(mental_health[Sleep_Hours]&lt;5,"Low",IF(mental_health[Sleep_Hours]&lt;7,"Medium","Good"))</f>
        <v>Medium</v>
      </c>
      <c r="U813" t="str">
        <f>IF(mental_health[Stress_Level]&lt;=3,"Low",IF(mental_health[Stress_Level]&lt;=7,"Medium","High"))</f>
        <v>High</v>
      </c>
      <c r="V813" t="str">
        <f>IF(mental_health[Daily_Screen_Time]&lt;=4,"Low",IF(mental_health[Daily_Screen_Time]&lt;=8,"Medium","High"))</f>
        <v>Medium</v>
      </c>
    </row>
    <row r="814" spans="1:22" x14ac:dyDescent="0.3">
      <c r="A814">
        <v>813</v>
      </c>
      <c r="B814">
        <v>58</v>
      </c>
      <c r="C814" t="s">
        <v>23</v>
      </c>
      <c r="D814" t="s">
        <v>22</v>
      </c>
      <c r="E814">
        <v>3.2</v>
      </c>
      <c r="F814">
        <v>3.9</v>
      </c>
      <c r="G814">
        <v>0</v>
      </c>
      <c r="H814" t="str">
        <f t="shared" si="12"/>
        <v>No Night Usage</v>
      </c>
      <c r="I814">
        <v>3.9</v>
      </c>
      <c r="J814" s="3">
        <v>10</v>
      </c>
      <c r="K814">
        <v>4.2</v>
      </c>
      <c r="L814" t="s">
        <v>20</v>
      </c>
      <c r="M814">
        <v>1</v>
      </c>
      <c r="N814">
        <v>2</v>
      </c>
      <c r="O814">
        <v>1</v>
      </c>
      <c r="P814">
        <v>0</v>
      </c>
      <c r="Q814">
        <v>1</v>
      </c>
      <c r="R814">
        <v>1</v>
      </c>
      <c r="S814">
        <v>1</v>
      </c>
      <c r="T814" t="str">
        <f>IF(mental_health[Sleep_Hours]&lt;5,"Low",IF(mental_health[Sleep_Hours]&lt;7,"Medium","Good"))</f>
        <v>Low</v>
      </c>
      <c r="U814" t="str">
        <f>IF(mental_health[Stress_Level]&lt;=3,"Low",IF(mental_health[Stress_Level]&lt;=7,"Medium","High"))</f>
        <v>High</v>
      </c>
      <c r="V814" t="str">
        <f>IF(mental_health[Daily_Screen_Time]&lt;=4,"Low",IF(mental_health[Daily_Screen_Time]&lt;=8,"Medium","High"))</f>
        <v>Low</v>
      </c>
    </row>
    <row r="815" spans="1:22" x14ac:dyDescent="0.3">
      <c r="A815">
        <v>814</v>
      </c>
      <c r="B815">
        <v>32</v>
      </c>
      <c r="C815" t="s">
        <v>23</v>
      </c>
      <c r="D815" t="s">
        <v>24</v>
      </c>
      <c r="E815">
        <v>5.0999999999999996</v>
      </c>
      <c r="F815">
        <v>2</v>
      </c>
      <c r="G815">
        <v>1</v>
      </c>
      <c r="H815" t="str">
        <f t="shared" si="12"/>
        <v>Night Usage</v>
      </c>
      <c r="I815">
        <v>7.2</v>
      </c>
      <c r="J815" s="3">
        <v>4</v>
      </c>
      <c r="K815">
        <v>8.5</v>
      </c>
      <c r="L815" t="s">
        <v>21</v>
      </c>
      <c r="M815">
        <v>5</v>
      </c>
      <c r="N815">
        <v>4</v>
      </c>
      <c r="O815">
        <v>1</v>
      </c>
      <c r="P815">
        <v>0</v>
      </c>
      <c r="Q815">
        <v>0</v>
      </c>
      <c r="R815">
        <v>1</v>
      </c>
      <c r="S815">
        <v>0</v>
      </c>
      <c r="T815" t="str">
        <f>IF(mental_health[Sleep_Hours]&lt;5,"Low",IF(mental_health[Sleep_Hours]&lt;7,"Medium","Good"))</f>
        <v>Good</v>
      </c>
      <c r="U815" t="str">
        <f>IF(mental_health[Stress_Level]&lt;=3,"Low",IF(mental_health[Stress_Level]&lt;=7,"Medium","High"))</f>
        <v>Medium</v>
      </c>
      <c r="V815" t="str">
        <f>IF(mental_health[Daily_Screen_Time]&lt;=4,"Low",IF(mental_health[Daily_Screen_Time]&lt;=8,"Medium","High"))</f>
        <v>Medium</v>
      </c>
    </row>
    <row r="816" spans="1:22" x14ac:dyDescent="0.3">
      <c r="A816">
        <v>815</v>
      </c>
      <c r="B816">
        <v>41</v>
      </c>
      <c r="C816" t="s">
        <v>23</v>
      </c>
      <c r="D816" t="s">
        <v>24</v>
      </c>
      <c r="E816">
        <v>10</v>
      </c>
      <c r="F816">
        <v>5.7</v>
      </c>
      <c r="G816">
        <v>0</v>
      </c>
      <c r="H816" t="str">
        <f t="shared" si="12"/>
        <v>No Night Usage</v>
      </c>
      <c r="I816">
        <v>3.6</v>
      </c>
      <c r="J816" s="3">
        <v>8</v>
      </c>
      <c r="K816">
        <v>11</v>
      </c>
      <c r="L816" t="s">
        <v>20</v>
      </c>
      <c r="M816">
        <v>4</v>
      </c>
      <c r="N816">
        <v>0</v>
      </c>
      <c r="O816">
        <v>0</v>
      </c>
      <c r="P816">
        <v>0</v>
      </c>
      <c r="Q816">
        <v>1</v>
      </c>
      <c r="R816">
        <v>1</v>
      </c>
      <c r="S816">
        <v>1</v>
      </c>
      <c r="T816" t="str">
        <f>IF(mental_health[Sleep_Hours]&lt;5,"Low",IF(mental_health[Sleep_Hours]&lt;7,"Medium","Good"))</f>
        <v>Low</v>
      </c>
      <c r="U816" t="str">
        <f>IF(mental_health[Stress_Level]&lt;=3,"Low",IF(mental_health[Stress_Level]&lt;=7,"Medium","High"))</f>
        <v>High</v>
      </c>
      <c r="V816" t="str">
        <f>IF(mental_health[Daily_Screen_Time]&lt;=4,"Low",IF(mental_health[Daily_Screen_Time]&lt;=8,"Medium","High"))</f>
        <v>High</v>
      </c>
    </row>
    <row r="817" spans="1:22" x14ac:dyDescent="0.3">
      <c r="A817">
        <v>816</v>
      </c>
      <c r="B817">
        <v>51</v>
      </c>
      <c r="C817" t="s">
        <v>23</v>
      </c>
      <c r="D817" t="s">
        <v>19</v>
      </c>
      <c r="E817">
        <v>10.6</v>
      </c>
      <c r="F817">
        <v>4.7</v>
      </c>
      <c r="G817">
        <v>0</v>
      </c>
      <c r="H817" t="str">
        <f t="shared" si="12"/>
        <v>No Night Usage</v>
      </c>
      <c r="I817">
        <v>7</v>
      </c>
      <c r="J817" s="3">
        <v>1</v>
      </c>
      <c r="K817">
        <v>2.9</v>
      </c>
      <c r="L817" t="s">
        <v>25</v>
      </c>
      <c r="M817">
        <v>8</v>
      </c>
      <c r="N817">
        <v>0</v>
      </c>
      <c r="O817">
        <v>1</v>
      </c>
      <c r="P817">
        <v>1</v>
      </c>
      <c r="Q817">
        <v>0</v>
      </c>
      <c r="R817">
        <v>0</v>
      </c>
      <c r="S817">
        <v>0</v>
      </c>
      <c r="T817" t="str">
        <f>IF(mental_health[Sleep_Hours]&lt;5,"Low",IF(mental_health[Sleep_Hours]&lt;7,"Medium","Good"))</f>
        <v>Good</v>
      </c>
      <c r="U817" t="str">
        <f>IF(mental_health[Stress_Level]&lt;=3,"Low",IF(mental_health[Stress_Level]&lt;=7,"Medium","High"))</f>
        <v>Low</v>
      </c>
      <c r="V817" t="str">
        <f>IF(mental_health[Daily_Screen_Time]&lt;=4,"Low",IF(mental_health[Daily_Screen_Time]&lt;=8,"Medium","High"))</f>
        <v>High</v>
      </c>
    </row>
    <row r="818" spans="1:22" x14ac:dyDescent="0.3">
      <c r="A818">
        <v>817</v>
      </c>
      <c r="B818">
        <v>16</v>
      </c>
      <c r="C818" t="s">
        <v>18</v>
      </c>
      <c r="D818" t="s">
        <v>19</v>
      </c>
      <c r="E818">
        <v>3.4</v>
      </c>
      <c r="F818">
        <v>5.5</v>
      </c>
      <c r="G818">
        <v>1</v>
      </c>
      <c r="H818" t="str">
        <f t="shared" si="12"/>
        <v>Night Usage</v>
      </c>
      <c r="I818">
        <v>4.7</v>
      </c>
      <c r="J818" s="3">
        <v>7</v>
      </c>
      <c r="K818">
        <v>4.2</v>
      </c>
      <c r="L818" t="s">
        <v>21</v>
      </c>
      <c r="M818">
        <v>3</v>
      </c>
      <c r="N818">
        <v>2</v>
      </c>
      <c r="O818">
        <v>0</v>
      </c>
      <c r="P818">
        <v>1</v>
      </c>
      <c r="Q818">
        <v>0</v>
      </c>
      <c r="R818">
        <v>1</v>
      </c>
      <c r="S818">
        <v>1</v>
      </c>
      <c r="T818" t="str">
        <f>IF(mental_health[Sleep_Hours]&lt;5,"Low",IF(mental_health[Sleep_Hours]&lt;7,"Medium","Good"))</f>
        <v>Low</v>
      </c>
      <c r="U818" t="str">
        <f>IF(mental_health[Stress_Level]&lt;=3,"Low",IF(mental_health[Stress_Level]&lt;=7,"Medium","High"))</f>
        <v>Medium</v>
      </c>
      <c r="V818" t="str">
        <f>IF(mental_health[Daily_Screen_Time]&lt;=4,"Low",IF(mental_health[Daily_Screen_Time]&lt;=8,"Medium","High"))</f>
        <v>Low</v>
      </c>
    </row>
    <row r="819" spans="1:22" x14ac:dyDescent="0.3">
      <c r="A819">
        <v>818</v>
      </c>
      <c r="B819">
        <v>23</v>
      </c>
      <c r="C819" t="s">
        <v>23</v>
      </c>
      <c r="D819" t="s">
        <v>22</v>
      </c>
      <c r="E819">
        <v>11.5</v>
      </c>
      <c r="F819">
        <v>3.4</v>
      </c>
      <c r="G819">
        <v>0</v>
      </c>
      <c r="H819" t="str">
        <f t="shared" si="12"/>
        <v>No Night Usage</v>
      </c>
      <c r="I819">
        <v>4.2</v>
      </c>
      <c r="J819" s="3">
        <v>6</v>
      </c>
      <c r="K819">
        <v>10.4</v>
      </c>
      <c r="L819" t="s">
        <v>20</v>
      </c>
      <c r="M819">
        <v>10</v>
      </c>
      <c r="N819">
        <v>0</v>
      </c>
      <c r="O819">
        <v>1</v>
      </c>
      <c r="P819">
        <v>1</v>
      </c>
      <c r="Q819">
        <v>0</v>
      </c>
      <c r="R819">
        <v>1</v>
      </c>
      <c r="S819">
        <v>1</v>
      </c>
      <c r="T819" t="str">
        <f>IF(mental_health[Sleep_Hours]&lt;5,"Low",IF(mental_health[Sleep_Hours]&lt;7,"Medium","Good"))</f>
        <v>Low</v>
      </c>
      <c r="U819" t="str">
        <f>IF(mental_health[Stress_Level]&lt;=3,"Low",IF(mental_health[Stress_Level]&lt;=7,"Medium","High"))</f>
        <v>Medium</v>
      </c>
      <c r="V819" t="str">
        <f>IF(mental_health[Daily_Screen_Time]&lt;=4,"Low",IF(mental_health[Daily_Screen_Time]&lt;=8,"Medium","High"))</f>
        <v>High</v>
      </c>
    </row>
    <row r="820" spans="1:22" x14ac:dyDescent="0.3">
      <c r="A820">
        <v>819</v>
      </c>
      <c r="B820">
        <v>50</v>
      </c>
      <c r="C820" t="s">
        <v>18</v>
      </c>
      <c r="D820" t="s">
        <v>24</v>
      </c>
      <c r="E820">
        <v>5.3</v>
      </c>
      <c r="F820">
        <v>7.3</v>
      </c>
      <c r="G820">
        <v>0</v>
      </c>
      <c r="H820" t="str">
        <f t="shared" si="12"/>
        <v>No Night Usage</v>
      </c>
      <c r="I820">
        <v>8.6</v>
      </c>
      <c r="J820" s="3">
        <v>1</v>
      </c>
      <c r="K820">
        <v>8.3000000000000007</v>
      </c>
      <c r="L820" t="s">
        <v>21</v>
      </c>
      <c r="M820">
        <v>1</v>
      </c>
      <c r="N820">
        <v>1</v>
      </c>
      <c r="O820">
        <v>1</v>
      </c>
      <c r="P820">
        <v>0</v>
      </c>
      <c r="Q820">
        <v>0</v>
      </c>
      <c r="R820">
        <v>1</v>
      </c>
      <c r="S820">
        <v>0</v>
      </c>
      <c r="T820" t="str">
        <f>IF(mental_health[Sleep_Hours]&lt;5,"Low",IF(mental_health[Sleep_Hours]&lt;7,"Medium","Good"))</f>
        <v>Good</v>
      </c>
      <c r="U820" t="str">
        <f>IF(mental_health[Stress_Level]&lt;=3,"Low",IF(mental_health[Stress_Level]&lt;=7,"Medium","High"))</f>
        <v>Low</v>
      </c>
      <c r="V820" t="str">
        <f>IF(mental_health[Daily_Screen_Time]&lt;=4,"Low",IF(mental_health[Daily_Screen_Time]&lt;=8,"Medium","High"))</f>
        <v>Medium</v>
      </c>
    </row>
    <row r="821" spans="1:22" x14ac:dyDescent="0.3">
      <c r="A821">
        <v>820</v>
      </c>
      <c r="B821">
        <v>30</v>
      </c>
      <c r="C821" t="s">
        <v>18</v>
      </c>
      <c r="D821" t="s">
        <v>24</v>
      </c>
      <c r="E821">
        <v>8.6</v>
      </c>
      <c r="F821">
        <v>5.0999999999999996</v>
      </c>
      <c r="G821">
        <v>0</v>
      </c>
      <c r="H821" t="str">
        <f t="shared" si="12"/>
        <v>No Night Usage</v>
      </c>
      <c r="I821">
        <v>3.1</v>
      </c>
      <c r="J821" s="3">
        <v>4</v>
      </c>
      <c r="K821">
        <v>2.8</v>
      </c>
      <c r="L821" t="s">
        <v>21</v>
      </c>
      <c r="M821">
        <v>10</v>
      </c>
      <c r="N821">
        <v>1</v>
      </c>
      <c r="O821">
        <v>1</v>
      </c>
      <c r="P821">
        <v>0</v>
      </c>
      <c r="Q821">
        <v>0</v>
      </c>
      <c r="R821">
        <v>0</v>
      </c>
      <c r="S821">
        <v>1</v>
      </c>
      <c r="T821" t="str">
        <f>IF(mental_health[Sleep_Hours]&lt;5,"Low",IF(mental_health[Sleep_Hours]&lt;7,"Medium","Good"))</f>
        <v>Low</v>
      </c>
      <c r="U821" t="str">
        <f>IF(mental_health[Stress_Level]&lt;=3,"Low",IF(mental_health[Stress_Level]&lt;=7,"Medium","High"))</f>
        <v>Medium</v>
      </c>
      <c r="V821" t="str">
        <f>IF(mental_health[Daily_Screen_Time]&lt;=4,"Low",IF(mental_health[Daily_Screen_Time]&lt;=8,"Medium","High"))</f>
        <v>High</v>
      </c>
    </row>
    <row r="822" spans="1:22" x14ac:dyDescent="0.3">
      <c r="A822">
        <v>821</v>
      </c>
      <c r="B822">
        <v>37</v>
      </c>
      <c r="C822" t="s">
        <v>18</v>
      </c>
      <c r="D822" t="s">
        <v>24</v>
      </c>
      <c r="E822">
        <v>9.5</v>
      </c>
      <c r="F822">
        <v>1.6</v>
      </c>
      <c r="G822">
        <v>1</v>
      </c>
      <c r="H822" t="str">
        <f t="shared" si="12"/>
        <v>Night Usage</v>
      </c>
      <c r="I822">
        <v>5.6</v>
      </c>
      <c r="J822" s="3">
        <v>5</v>
      </c>
      <c r="K822">
        <v>6.9</v>
      </c>
      <c r="L822" t="s">
        <v>25</v>
      </c>
      <c r="M822">
        <v>5</v>
      </c>
      <c r="N822">
        <v>2</v>
      </c>
      <c r="O822">
        <v>1</v>
      </c>
      <c r="P822">
        <v>0</v>
      </c>
      <c r="Q822">
        <v>1</v>
      </c>
      <c r="R822">
        <v>1</v>
      </c>
      <c r="S822">
        <v>1</v>
      </c>
      <c r="T822" t="str">
        <f>IF(mental_health[Sleep_Hours]&lt;5,"Low",IF(mental_health[Sleep_Hours]&lt;7,"Medium","Good"))</f>
        <v>Medium</v>
      </c>
      <c r="U822" t="str">
        <f>IF(mental_health[Stress_Level]&lt;=3,"Low",IF(mental_health[Stress_Level]&lt;=7,"Medium","High"))</f>
        <v>Medium</v>
      </c>
      <c r="V822" t="str">
        <f>IF(mental_health[Daily_Screen_Time]&lt;=4,"Low",IF(mental_health[Daily_Screen_Time]&lt;=8,"Medium","High"))</f>
        <v>High</v>
      </c>
    </row>
    <row r="823" spans="1:22" x14ac:dyDescent="0.3">
      <c r="A823">
        <v>822</v>
      </c>
      <c r="B823">
        <v>29</v>
      </c>
      <c r="C823" t="s">
        <v>23</v>
      </c>
      <c r="D823" t="s">
        <v>22</v>
      </c>
      <c r="E823">
        <v>10.1</v>
      </c>
      <c r="F823">
        <v>4.0999999999999996</v>
      </c>
      <c r="G823">
        <v>0</v>
      </c>
      <c r="H823" t="str">
        <f t="shared" si="12"/>
        <v>No Night Usage</v>
      </c>
      <c r="I823">
        <v>3.1</v>
      </c>
      <c r="J823" s="3">
        <v>8</v>
      </c>
      <c r="K823">
        <v>4.0999999999999996</v>
      </c>
      <c r="L823" t="s">
        <v>25</v>
      </c>
      <c r="M823">
        <v>1</v>
      </c>
      <c r="N823">
        <v>4</v>
      </c>
      <c r="O823">
        <v>0</v>
      </c>
      <c r="P823">
        <v>0</v>
      </c>
      <c r="Q823">
        <v>1</v>
      </c>
      <c r="R823">
        <v>0</v>
      </c>
      <c r="S823">
        <v>1</v>
      </c>
      <c r="T823" t="str">
        <f>IF(mental_health[Sleep_Hours]&lt;5,"Low",IF(mental_health[Sleep_Hours]&lt;7,"Medium","Good"))</f>
        <v>Low</v>
      </c>
      <c r="U823" t="str">
        <f>IF(mental_health[Stress_Level]&lt;=3,"Low",IF(mental_health[Stress_Level]&lt;=7,"Medium","High"))</f>
        <v>High</v>
      </c>
      <c r="V823" t="str">
        <f>IF(mental_health[Daily_Screen_Time]&lt;=4,"Low",IF(mental_health[Daily_Screen_Time]&lt;=8,"Medium","High"))</f>
        <v>High</v>
      </c>
    </row>
    <row r="824" spans="1:22" x14ac:dyDescent="0.3">
      <c r="A824">
        <v>823</v>
      </c>
      <c r="B824">
        <v>41</v>
      </c>
      <c r="C824" t="s">
        <v>23</v>
      </c>
      <c r="D824" t="s">
        <v>24</v>
      </c>
      <c r="E824">
        <v>11.5</v>
      </c>
      <c r="F824">
        <v>6.3</v>
      </c>
      <c r="G824">
        <v>1</v>
      </c>
      <c r="H824" t="str">
        <f t="shared" si="12"/>
        <v>Night Usage</v>
      </c>
      <c r="I824">
        <v>5.9</v>
      </c>
      <c r="J824" s="3">
        <v>4</v>
      </c>
      <c r="K824">
        <v>4</v>
      </c>
      <c r="L824" t="s">
        <v>25</v>
      </c>
      <c r="M824">
        <v>5</v>
      </c>
      <c r="N824">
        <v>0</v>
      </c>
      <c r="O824">
        <v>1</v>
      </c>
      <c r="P824">
        <v>0</v>
      </c>
      <c r="Q824">
        <v>0</v>
      </c>
      <c r="R824">
        <v>1</v>
      </c>
      <c r="S824">
        <v>0</v>
      </c>
      <c r="T824" t="str">
        <f>IF(mental_health[Sleep_Hours]&lt;5,"Low",IF(mental_health[Sleep_Hours]&lt;7,"Medium","Good"))</f>
        <v>Medium</v>
      </c>
      <c r="U824" t="str">
        <f>IF(mental_health[Stress_Level]&lt;=3,"Low",IF(mental_health[Stress_Level]&lt;=7,"Medium","High"))</f>
        <v>Medium</v>
      </c>
      <c r="V824" t="str">
        <f>IF(mental_health[Daily_Screen_Time]&lt;=4,"Low",IF(mental_health[Daily_Screen_Time]&lt;=8,"Medium","High"))</f>
        <v>High</v>
      </c>
    </row>
    <row r="825" spans="1:22" x14ac:dyDescent="0.3">
      <c r="A825">
        <v>824</v>
      </c>
      <c r="B825">
        <v>43</v>
      </c>
      <c r="C825" t="s">
        <v>18</v>
      </c>
      <c r="D825" t="s">
        <v>24</v>
      </c>
      <c r="E825">
        <v>5.0999999999999996</v>
      </c>
      <c r="F825">
        <v>6.6</v>
      </c>
      <c r="G825">
        <v>1</v>
      </c>
      <c r="H825" t="str">
        <f t="shared" si="12"/>
        <v>Night Usage</v>
      </c>
      <c r="I825">
        <v>6</v>
      </c>
      <c r="J825" s="3">
        <v>3</v>
      </c>
      <c r="K825">
        <v>11.4</v>
      </c>
      <c r="L825" t="s">
        <v>25</v>
      </c>
      <c r="M825">
        <v>9</v>
      </c>
      <c r="N825">
        <v>3</v>
      </c>
      <c r="O825">
        <v>1</v>
      </c>
      <c r="P825">
        <v>0</v>
      </c>
      <c r="Q825">
        <v>0</v>
      </c>
      <c r="R825">
        <v>0</v>
      </c>
      <c r="S825">
        <v>1</v>
      </c>
      <c r="T825" t="str">
        <f>IF(mental_health[Sleep_Hours]&lt;5,"Low",IF(mental_health[Sleep_Hours]&lt;7,"Medium","Good"))</f>
        <v>Medium</v>
      </c>
      <c r="U825" t="str">
        <f>IF(mental_health[Stress_Level]&lt;=3,"Low",IF(mental_health[Stress_Level]&lt;=7,"Medium","High"))</f>
        <v>Low</v>
      </c>
      <c r="V825" t="str">
        <f>IF(mental_health[Daily_Screen_Time]&lt;=4,"Low",IF(mental_health[Daily_Screen_Time]&lt;=8,"Medium","High"))</f>
        <v>Medium</v>
      </c>
    </row>
    <row r="826" spans="1:22" x14ac:dyDescent="0.3">
      <c r="A826">
        <v>825</v>
      </c>
      <c r="B826">
        <v>38</v>
      </c>
      <c r="C826" t="s">
        <v>23</v>
      </c>
      <c r="D826" t="s">
        <v>22</v>
      </c>
      <c r="E826">
        <v>10.6</v>
      </c>
      <c r="F826">
        <v>4.5</v>
      </c>
      <c r="G826">
        <v>0</v>
      </c>
      <c r="H826" t="str">
        <f t="shared" si="12"/>
        <v>No Night Usage</v>
      </c>
      <c r="I826">
        <v>4.9000000000000004</v>
      </c>
      <c r="J826" s="3">
        <v>2</v>
      </c>
      <c r="K826">
        <v>9.6</v>
      </c>
      <c r="L826" t="s">
        <v>21</v>
      </c>
      <c r="M826">
        <v>5</v>
      </c>
      <c r="N826">
        <v>2</v>
      </c>
      <c r="O826">
        <v>1</v>
      </c>
      <c r="P826">
        <v>1</v>
      </c>
      <c r="Q826">
        <v>1</v>
      </c>
      <c r="R826">
        <v>0</v>
      </c>
      <c r="S826">
        <v>0</v>
      </c>
      <c r="T826" t="str">
        <f>IF(mental_health[Sleep_Hours]&lt;5,"Low",IF(mental_health[Sleep_Hours]&lt;7,"Medium","Good"))</f>
        <v>Low</v>
      </c>
      <c r="U826" t="str">
        <f>IF(mental_health[Stress_Level]&lt;=3,"Low",IF(mental_health[Stress_Level]&lt;=7,"Medium","High"))</f>
        <v>Low</v>
      </c>
      <c r="V826" t="str">
        <f>IF(mental_health[Daily_Screen_Time]&lt;=4,"Low",IF(mental_health[Daily_Screen_Time]&lt;=8,"Medium","High"))</f>
        <v>High</v>
      </c>
    </row>
    <row r="827" spans="1:22" x14ac:dyDescent="0.3">
      <c r="A827">
        <v>826</v>
      </c>
      <c r="B827">
        <v>29</v>
      </c>
      <c r="C827" t="s">
        <v>23</v>
      </c>
      <c r="D827" t="s">
        <v>19</v>
      </c>
      <c r="E827">
        <v>3.3</v>
      </c>
      <c r="F827">
        <v>7.3</v>
      </c>
      <c r="G827">
        <v>1</v>
      </c>
      <c r="H827" t="str">
        <f t="shared" si="12"/>
        <v>Night Usage</v>
      </c>
      <c r="I827">
        <v>3.8</v>
      </c>
      <c r="J827" s="3">
        <v>4</v>
      </c>
      <c r="K827">
        <v>9</v>
      </c>
      <c r="L827" t="s">
        <v>21</v>
      </c>
      <c r="M827">
        <v>2</v>
      </c>
      <c r="N827">
        <v>0</v>
      </c>
      <c r="O827">
        <v>1</v>
      </c>
      <c r="P827">
        <v>0</v>
      </c>
      <c r="Q827">
        <v>0</v>
      </c>
      <c r="R827">
        <v>0</v>
      </c>
      <c r="S827">
        <v>0</v>
      </c>
      <c r="T827" t="str">
        <f>IF(mental_health[Sleep_Hours]&lt;5,"Low",IF(mental_health[Sleep_Hours]&lt;7,"Medium","Good"))</f>
        <v>Low</v>
      </c>
      <c r="U827" t="str">
        <f>IF(mental_health[Stress_Level]&lt;=3,"Low",IF(mental_health[Stress_Level]&lt;=7,"Medium","High"))</f>
        <v>Medium</v>
      </c>
      <c r="V827" t="str">
        <f>IF(mental_health[Daily_Screen_Time]&lt;=4,"Low",IF(mental_health[Daily_Screen_Time]&lt;=8,"Medium","High"))</f>
        <v>Low</v>
      </c>
    </row>
    <row r="828" spans="1:22" x14ac:dyDescent="0.3">
      <c r="A828">
        <v>827</v>
      </c>
      <c r="B828">
        <v>39</v>
      </c>
      <c r="C828" t="s">
        <v>23</v>
      </c>
      <c r="D828" t="s">
        <v>19</v>
      </c>
      <c r="E828">
        <v>9.1</v>
      </c>
      <c r="F828">
        <v>2.9</v>
      </c>
      <c r="G828">
        <v>0</v>
      </c>
      <c r="H828" t="str">
        <f t="shared" si="12"/>
        <v>No Night Usage</v>
      </c>
      <c r="I828">
        <v>5.3</v>
      </c>
      <c r="J828" s="3">
        <v>10</v>
      </c>
      <c r="K828">
        <v>4.4000000000000004</v>
      </c>
      <c r="L828" t="s">
        <v>20</v>
      </c>
      <c r="M828">
        <v>2</v>
      </c>
      <c r="N828">
        <v>2</v>
      </c>
      <c r="O828">
        <v>1</v>
      </c>
      <c r="P828">
        <v>0</v>
      </c>
      <c r="Q828">
        <v>1</v>
      </c>
      <c r="R828">
        <v>1</v>
      </c>
      <c r="S828">
        <v>1</v>
      </c>
      <c r="T828" t="str">
        <f>IF(mental_health[Sleep_Hours]&lt;5,"Low",IF(mental_health[Sleep_Hours]&lt;7,"Medium","Good"))</f>
        <v>Medium</v>
      </c>
      <c r="U828" t="str">
        <f>IF(mental_health[Stress_Level]&lt;=3,"Low",IF(mental_health[Stress_Level]&lt;=7,"Medium","High"))</f>
        <v>High</v>
      </c>
      <c r="V828" t="str">
        <f>IF(mental_health[Daily_Screen_Time]&lt;=4,"Low",IF(mental_health[Daily_Screen_Time]&lt;=8,"Medium","High"))</f>
        <v>High</v>
      </c>
    </row>
    <row r="829" spans="1:22" x14ac:dyDescent="0.3">
      <c r="A829">
        <v>828</v>
      </c>
      <c r="B829">
        <v>17</v>
      </c>
      <c r="C829" t="s">
        <v>23</v>
      </c>
      <c r="D829" t="s">
        <v>22</v>
      </c>
      <c r="E829">
        <v>9.4</v>
      </c>
      <c r="F829">
        <v>3.9</v>
      </c>
      <c r="G829">
        <v>0</v>
      </c>
      <c r="H829" t="str">
        <f t="shared" si="12"/>
        <v>No Night Usage</v>
      </c>
      <c r="I829">
        <v>7</v>
      </c>
      <c r="J829" s="3">
        <v>4</v>
      </c>
      <c r="K829">
        <v>3.2</v>
      </c>
      <c r="L829" t="s">
        <v>20</v>
      </c>
      <c r="M829">
        <v>10</v>
      </c>
      <c r="N829">
        <v>2</v>
      </c>
      <c r="O829">
        <v>1</v>
      </c>
      <c r="P829">
        <v>1</v>
      </c>
      <c r="Q829">
        <v>1</v>
      </c>
      <c r="R829">
        <v>1</v>
      </c>
      <c r="S829">
        <v>0</v>
      </c>
      <c r="T829" t="str">
        <f>IF(mental_health[Sleep_Hours]&lt;5,"Low",IF(mental_health[Sleep_Hours]&lt;7,"Medium","Good"))</f>
        <v>Good</v>
      </c>
      <c r="U829" t="str">
        <f>IF(mental_health[Stress_Level]&lt;=3,"Low",IF(mental_health[Stress_Level]&lt;=7,"Medium","High"))</f>
        <v>Medium</v>
      </c>
      <c r="V829" t="str">
        <f>IF(mental_health[Daily_Screen_Time]&lt;=4,"Low",IF(mental_health[Daily_Screen_Time]&lt;=8,"Medium","High"))</f>
        <v>High</v>
      </c>
    </row>
    <row r="830" spans="1:22" x14ac:dyDescent="0.3">
      <c r="A830">
        <v>829</v>
      </c>
      <c r="B830">
        <v>41</v>
      </c>
      <c r="C830" t="s">
        <v>18</v>
      </c>
      <c r="D830" t="s">
        <v>24</v>
      </c>
      <c r="E830">
        <v>8.8000000000000007</v>
      </c>
      <c r="F830">
        <v>7.3</v>
      </c>
      <c r="G830">
        <v>0</v>
      </c>
      <c r="H830" t="str">
        <f t="shared" si="12"/>
        <v>No Night Usage</v>
      </c>
      <c r="I830">
        <v>7.7</v>
      </c>
      <c r="J830" s="3">
        <v>10</v>
      </c>
      <c r="K830">
        <v>10.7</v>
      </c>
      <c r="L830" t="s">
        <v>20</v>
      </c>
      <c r="M830">
        <v>9</v>
      </c>
      <c r="N830">
        <v>4</v>
      </c>
      <c r="O830">
        <v>1</v>
      </c>
      <c r="P830">
        <v>1</v>
      </c>
      <c r="Q830">
        <v>0</v>
      </c>
      <c r="R830">
        <v>1</v>
      </c>
      <c r="S830">
        <v>0</v>
      </c>
      <c r="T830" t="str">
        <f>IF(mental_health[Sleep_Hours]&lt;5,"Low",IF(mental_health[Sleep_Hours]&lt;7,"Medium","Good"))</f>
        <v>Good</v>
      </c>
      <c r="U830" t="str">
        <f>IF(mental_health[Stress_Level]&lt;=3,"Low",IF(mental_health[Stress_Level]&lt;=7,"Medium","High"))</f>
        <v>High</v>
      </c>
      <c r="V830" t="str">
        <f>IF(mental_health[Daily_Screen_Time]&lt;=4,"Low",IF(mental_health[Daily_Screen_Time]&lt;=8,"Medium","High"))</f>
        <v>High</v>
      </c>
    </row>
    <row r="831" spans="1:22" x14ac:dyDescent="0.3">
      <c r="A831">
        <v>830</v>
      </c>
      <c r="B831">
        <v>29</v>
      </c>
      <c r="C831" t="s">
        <v>18</v>
      </c>
      <c r="D831" t="s">
        <v>22</v>
      </c>
      <c r="E831">
        <v>4.5</v>
      </c>
      <c r="F831">
        <v>7.3</v>
      </c>
      <c r="G831">
        <v>0</v>
      </c>
      <c r="H831" t="str">
        <f t="shared" si="12"/>
        <v>No Night Usage</v>
      </c>
      <c r="I831">
        <v>6.2</v>
      </c>
      <c r="J831" s="3">
        <v>5</v>
      </c>
      <c r="K831">
        <v>2.1</v>
      </c>
      <c r="L831" t="s">
        <v>25</v>
      </c>
      <c r="M831">
        <v>5</v>
      </c>
      <c r="N831">
        <v>3</v>
      </c>
      <c r="O831">
        <v>1</v>
      </c>
      <c r="P831">
        <v>1</v>
      </c>
      <c r="Q831">
        <v>0</v>
      </c>
      <c r="R831">
        <v>0</v>
      </c>
      <c r="S831">
        <v>1</v>
      </c>
      <c r="T831" t="str">
        <f>IF(mental_health[Sleep_Hours]&lt;5,"Low",IF(mental_health[Sleep_Hours]&lt;7,"Medium","Good"))</f>
        <v>Medium</v>
      </c>
      <c r="U831" t="str">
        <f>IF(mental_health[Stress_Level]&lt;=3,"Low",IF(mental_health[Stress_Level]&lt;=7,"Medium","High"))</f>
        <v>Medium</v>
      </c>
      <c r="V831" t="str">
        <f>IF(mental_health[Daily_Screen_Time]&lt;=4,"Low",IF(mental_health[Daily_Screen_Time]&lt;=8,"Medium","High"))</f>
        <v>Medium</v>
      </c>
    </row>
    <row r="832" spans="1:22" x14ac:dyDescent="0.3">
      <c r="A832">
        <v>831</v>
      </c>
      <c r="B832">
        <v>22</v>
      </c>
      <c r="C832" t="s">
        <v>23</v>
      </c>
      <c r="D832" t="s">
        <v>19</v>
      </c>
      <c r="E832">
        <v>10.7</v>
      </c>
      <c r="F832">
        <v>5.8</v>
      </c>
      <c r="G832">
        <v>0</v>
      </c>
      <c r="H832" t="str">
        <f t="shared" si="12"/>
        <v>No Night Usage</v>
      </c>
      <c r="I832">
        <v>6.5</v>
      </c>
      <c r="J832" s="3">
        <v>7</v>
      </c>
      <c r="K832">
        <v>5.9</v>
      </c>
      <c r="L832" t="s">
        <v>21</v>
      </c>
      <c r="M832">
        <v>8</v>
      </c>
      <c r="N832">
        <v>0</v>
      </c>
      <c r="O832">
        <v>0</v>
      </c>
      <c r="P832">
        <v>1</v>
      </c>
      <c r="Q832">
        <v>1</v>
      </c>
      <c r="R832">
        <v>0</v>
      </c>
      <c r="S832">
        <v>1</v>
      </c>
      <c r="T832" t="str">
        <f>IF(mental_health[Sleep_Hours]&lt;5,"Low",IF(mental_health[Sleep_Hours]&lt;7,"Medium","Good"))</f>
        <v>Medium</v>
      </c>
      <c r="U832" t="str">
        <f>IF(mental_health[Stress_Level]&lt;=3,"Low",IF(mental_health[Stress_Level]&lt;=7,"Medium","High"))</f>
        <v>Medium</v>
      </c>
      <c r="V832" t="str">
        <f>IF(mental_health[Daily_Screen_Time]&lt;=4,"Low",IF(mental_health[Daily_Screen_Time]&lt;=8,"Medium","High"))</f>
        <v>High</v>
      </c>
    </row>
    <row r="833" spans="1:22" x14ac:dyDescent="0.3">
      <c r="A833">
        <v>832</v>
      </c>
      <c r="B833">
        <v>18</v>
      </c>
      <c r="C833" t="s">
        <v>18</v>
      </c>
      <c r="D833" t="s">
        <v>19</v>
      </c>
      <c r="E833">
        <v>3.7</v>
      </c>
      <c r="F833">
        <v>7</v>
      </c>
      <c r="G833">
        <v>1</v>
      </c>
      <c r="H833" t="str">
        <f t="shared" si="12"/>
        <v>Night Usage</v>
      </c>
      <c r="I833">
        <v>4.2</v>
      </c>
      <c r="J833" s="3">
        <v>9</v>
      </c>
      <c r="K833">
        <v>4.8</v>
      </c>
      <c r="L833" t="s">
        <v>21</v>
      </c>
      <c r="M833">
        <v>10</v>
      </c>
      <c r="N833">
        <v>2</v>
      </c>
      <c r="O833">
        <v>0</v>
      </c>
      <c r="P833">
        <v>1</v>
      </c>
      <c r="Q833">
        <v>0</v>
      </c>
      <c r="R833">
        <v>0</v>
      </c>
      <c r="S833">
        <v>1</v>
      </c>
      <c r="T833" t="str">
        <f>IF(mental_health[Sleep_Hours]&lt;5,"Low",IF(mental_health[Sleep_Hours]&lt;7,"Medium","Good"))</f>
        <v>Low</v>
      </c>
      <c r="U833" t="str">
        <f>IF(mental_health[Stress_Level]&lt;=3,"Low",IF(mental_health[Stress_Level]&lt;=7,"Medium","High"))</f>
        <v>High</v>
      </c>
      <c r="V833" t="str">
        <f>IF(mental_health[Daily_Screen_Time]&lt;=4,"Low",IF(mental_health[Daily_Screen_Time]&lt;=8,"Medium","High"))</f>
        <v>Low</v>
      </c>
    </row>
    <row r="834" spans="1:22" x14ac:dyDescent="0.3">
      <c r="A834">
        <v>833</v>
      </c>
      <c r="B834">
        <v>38</v>
      </c>
      <c r="C834" t="s">
        <v>23</v>
      </c>
      <c r="D834" t="s">
        <v>22</v>
      </c>
      <c r="E834">
        <v>2.5</v>
      </c>
      <c r="F834">
        <v>1.6</v>
      </c>
      <c r="G834">
        <v>1</v>
      </c>
      <c r="H834" t="str">
        <f t="shared" ref="H834:H897" si="13">IF(G834=1,"Night Usage","No Night Usage")</f>
        <v>Night Usage</v>
      </c>
      <c r="I834">
        <v>4.7</v>
      </c>
      <c r="J834" s="3">
        <v>2</v>
      </c>
      <c r="K834">
        <v>7.7</v>
      </c>
      <c r="L834" t="s">
        <v>20</v>
      </c>
      <c r="M834">
        <v>4</v>
      </c>
      <c r="N834">
        <v>2</v>
      </c>
      <c r="O834">
        <v>0</v>
      </c>
      <c r="P834">
        <v>1</v>
      </c>
      <c r="Q834">
        <v>0</v>
      </c>
      <c r="R834">
        <v>0</v>
      </c>
      <c r="S834">
        <v>0</v>
      </c>
      <c r="T834" t="str">
        <f>IF(mental_health[Sleep_Hours]&lt;5,"Low",IF(mental_health[Sleep_Hours]&lt;7,"Medium","Good"))</f>
        <v>Low</v>
      </c>
      <c r="U834" t="str">
        <f>IF(mental_health[Stress_Level]&lt;=3,"Low",IF(mental_health[Stress_Level]&lt;=7,"Medium","High"))</f>
        <v>Low</v>
      </c>
      <c r="V834" t="str">
        <f>IF(mental_health[Daily_Screen_Time]&lt;=4,"Low",IF(mental_health[Daily_Screen_Time]&lt;=8,"Medium","High"))</f>
        <v>Low</v>
      </c>
    </row>
    <row r="835" spans="1:22" x14ac:dyDescent="0.3">
      <c r="A835">
        <v>834</v>
      </c>
      <c r="B835">
        <v>58</v>
      </c>
      <c r="C835" t="s">
        <v>23</v>
      </c>
      <c r="D835" t="s">
        <v>22</v>
      </c>
      <c r="E835">
        <v>9.1999999999999993</v>
      </c>
      <c r="F835">
        <v>7.1</v>
      </c>
      <c r="G835">
        <v>1</v>
      </c>
      <c r="H835" t="str">
        <f t="shared" si="13"/>
        <v>Night Usage</v>
      </c>
      <c r="I835">
        <v>4</v>
      </c>
      <c r="J835" s="3">
        <v>5</v>
      </c>
      <c r="K835">
        <v>4.5</v>
      </c>
      <c r="L835" t="s">
        <v>20</v>
      </c>
      <c r="M835">
        <v>2</v>
      </c>
      <c r="N835">
        <v>0</v>
      </c>
      <c r="O835">
        <v>1</v>
      </c>
      <c r="P835">
        <v>0</v>
      </c>
      <c r="Q835">
        <v>1</v>
      </c>
      <c r="R835">
        <v>1</v>
      </c>
      <c r="S835">
        <v>0</v>
      </c>
      <c r="T835" t="str">
        <f>IF(mental_health[Sleep_Hours]&lt;5,"Low",IF(mental_health[Sleep_Hours]&lt;7,"Medium","Good"))</f>
        <v>Low</v>
      </c>
      <c r="U835" t="str">
        <f>IF(mental_health[Stress_Level]&lt;=3,"Low",IF(mental_health[Stress_Level]&lt;=7,"Medium","High"))</f>
        <v>Medium</v>
      </c>
      <c r="V835" t="str">
        <f>IF(mental_health[Daily_Screen_Time]&lt;=4,"Low",IF(mental_health[Daily_Screen_Time]&lt;=8,"Medium","High"))</f>
        <v>High</v>
      </c>
    </row>
    <row r="836" spans="1:22" x14ac:dyDescent="0.3">
      <c r="A836">
        <v>835</v>
      </c>
      <c r="B836">
        <v>33</v>
      </c>
      <c r="C836" t="s">
        <v>18</v>
      </c>
      <c r="D836" t="s">
        <v>19</v>
      </c>
      <c r="E836">
        <v>6.8</v>
      </c>
      <c r="F836">
        <v>3.2</v>
      </c>
      <c r="G836">
        <v>1</v>
      </c>
      <c r="H836" t="str">
        <f t="shared" si="13"/>
        <v>Night Usage</v>
      </c>
      <c r="I836">
        <v>4.5</v>
      </c>
      <c r="J836" s="3">
        <v>10</v>
      </c>
      <c r="K836">
        <v>5.0999999999999996</v>
      </c>
      <c r="L836" t="s">
        <v>21</v>
      </c>
      <c r="M836">
        <v>4</v>
      </c>
      <c r="N836">
        <v>2</v>
      </c>
      <c r="O836">
        <v>0</v>
      </c>
      <c r="P836">
        <v>0</v>
      </c>
      <c r="Q836">
        <v>1</v>
      </c>
      <c r="R836">
        <v>1</v>
      </c>
      <c r="S836">
        <v>1</v>
      </c>
      <c r="T836" t="str">
        <f>IF(mental_health[Sleep_Hours]&lt;5,"Low",IF(mental_health[Sleep_Hours]&lt;7,"Medium","Good"))</f>
        <v>Low</v>
      </c>
      <c r="U836" t="str">
        <f>IF(mental_health[Stress_Level]&lt;=3,"Low",IF(mental_health[Stress_Level]&lt;=7,"Medium","High"))</f>
        <v>High</v>
      </c>
      <c r="V836" t="str">
        <f>IF(mental_health[Daily_Screen_Time]&lt;=4,"Low",IF(mental_health[Daily_Screen_Time]&lt;=8,"Medium","High"))</f>
        <v>Medium</v>
      </c>
    </row>
    <row r="837" spans="1:22" x14ac:dyDescent="0.3">
      <c r="A837">
        <v>836</v>
      </c>
      <c r="B837">
        <v>53</v>
      </c>
      <c r="C837" t="s">
        <v>18</v>
      </c>
      <c r="D837" t="s">
        <v>22</v>
      </c>
      <c r="E837">
        <v>10.5</v>
      </c>
      <c r="F837">
        <v>2.2000000000000002</v>
      </c>
      <c r="G837">
        <v>0</v>
      </c>
      <c r="H837" t="str">
        <f t="shared" si="13"/>
        <v>No Night Usage</v>
      </c>
      <c r="I837">
        <v>4.3</v>
      </c>
      <c r="J837" s="3">
        <v>9</v>
      </c>
      <c r="K837">
        <v>10.5</v>
      </c>
      <c r="L837" t="s">
        <v>25</v>
      </c>
      <c r="M837">
        <v>4</v>
      </c>
      <c r="N837">
        <v>2</v>
      </c>
      <c r="O837">
        <v>0</v>
      </c>
      <c r="P837">
        <v>0</v>
      </c>
      <c r="Q837">
        <v>0</v>
      </c>
      <c r="R837">
        <v>1</v>
      </c>
      <c r="S837">
        <v>1</v>
      </c>
      <c r="T837" t="str">
        <f>IF(mental_health[Sleep_Hours]&lt;5,"Low",IF(mental_health[Sleep_Hours]&lt;7,"Medium","Good"))</f>
        <v>Low</v>
      </c>
      <c r="U837" t="str">
        <f>IF(mental_health[Stress_Level]&lt;=3,"Low",IF(mental_health[Stress_Level]&lt;=7,"Medium","High"))</f>
        <v>High</v>
      </c>
      <c r="V837" t="str">
        <f>IF(mental_health[Daily_Screen_Time]&lt;=4,"Low",IF(mental_health[Daily_Screen_Time]&lt;=8,"Medium","High"))</f>
        <v>High</v>
      </c>
    </row>
    <row r="838" spans="1:22" x14ac:dyDescent="0.3">
      <c r="A838">
        <v>837</v>
      </c>
      <c r="B838">
        <v>50</v>
      </c>
      <c r="C838" t="s">
        <v>18</v>
      </c>
      <c r="D838" t="s">
        <v>19</v>
      </c>
      <c r="E838">
        <v>5.8</v>
      </c>
      <c r="F838">
        <v>2.7</v>
      </c>
      <c r="G838">
        <v>0</v>
      </c>
      <c r="H838" t="str">
        <f t="shared" si="13"/>
        <v>No Night Usage</v>
      </c>
      <c r="I838">
        <v>6.1</v>
      </c>
      <c r="J838" s="3">
        <v>3</v>
      </c>
      <c r="K838">
        <v>8</v>
      </c>
      <c r="L838" t="s">
        <v>20</v>
      </c>
      <c r="M838">
        <v>9</v>
      </c>
      <c r="N838">
        <v>2</v>
      </c>
      <c r="O838">
        <v>0</v>
      </c>
      <c r="P838">
        <v>0</v>
      </c>
      <c r="Q838">
        <v>0</v>
      </c>
      <c r="R838">
        <v>0</v>
      </c>
      <c r="S838">
        <v>0</v>
      </c>
      <c r="T838" t="str">
        <f>IF(mental_health[Sleep_Hours]&lt;5,"Low",IF(mental_health[Sleep_Hours]&lt;7,"Medium","Good"))</f>
        <v>Medium</v>
      </c>
      <c r="U838" t="str">
        <f>IF(mental_health[Stress_Level]&lt;=3,"Low",IF(mental_health[Stress_Level]&lt;=7,"Medium","High"))</f>
        <v>Low</v>
      </c>
      <c r="V838" t="str">
        <f>IF(mental_health[Daily_Screen_Time]&lt;=4,"Low",IF(mental_health[Daily_Screen_Time]&lt;=8,"Medium","High"))</f>
        <v>Medium</v>
      </c>
    </row>
    <row r="839" spans="1:22" x14ac:dyDescent="0.3">
      <c r="A839">
        <v>838</v>
      </c>
      <c r="B839">
        <v>30</v>
      </c>
      <c r="C839" t="s">
        <v>23</v>
      </c>
      <c r="D839" t="s">
        <v>22</v>
      </c>
      <c r="E839">
        <v>3.7</v>
      </c>
      <c r="F839">
        <v>3.9</v>
      </c>
      <c r="G839">
        <v>1</v>
      </c>
      <c r="H839" t="str">
        <f t="shared" si="13"/>
        <v>Night Usage</v>
      </c>
      <c r="I839">
        <v>6.4</v>
      </c>
      <c r="J839" s="3">
        <v>1</v>
      </c>
      <c r="K839">
        <v>3.5</v>
      </c>
      <c r="L839" t="s">
        <v>20</v>
      </c>
      <c r="M839">
        <v>10</v>
      </c>
      <c r="N839">
        <v>1</v>
      </c>
      <c r="O839">
        <v>1</v>
      </c>
      <c r="P839">
        <v>1</v>
      </c>
      <c r="Q839">
        <v>0</v>
      </c>
      <c r="R839">
        <v>0</v>
      </c>
      <c r="S839">
        <v>1</v>
      </c>
      <c r="T839" t="str">
        <f>IF(mental_health[Sleep_Hours]&lt;5,"Low",IF(mental_health[Sleep_Hours]&lt;7,"Medium","Good"))</f>
        <v>Medium</v>
      </c>
      <c r="U839" t="str">
        <f>IF(mental_health[Stress_Level]&lt;=3,"Low",IF(mental_health[Stress_Level]&lt;=7,"Medium","High"))</f>
        <v>Low</v>
      </c>
      <c r="V839" t="str">
        <f>IF(mental_health[Daily_Screen_Time]&lt;=4,"Low",IF(mental_health[Daily_Screen_Time]&lt;=8,"Medium","High"))</f>
        <v>Low</v>
      </c>
    </row>
    <row r="840" spans="1:22" x14ac:dyDescent="0.3">
      <c r="A840">
        <v>839</v>
      </c>
      <c r="B840">
        <v>40</v>
      </c>
      <c r="C840" t="s">
        <v>18</v>
      </c>
      <c r="D840" t="s">
        <v>22</v>
      </c>
      <c r="E840">
        <v>10.4</v>
      </c>
      <c r="F840">
        <v>2.8</v>
      </c>
      <c r="G840">
        <v>0</v>
      </c>
      <c r="H840" t="str">
        <f t="shared" si="13"/>
        <v>No Night Usage</v>
      </c>
      <c r="I840">
        <v>8.6999999999999993</v>
      </c>
      <c r="J840" s="3">
        <v>2</v>
      </c>
      <c r="K840">
        <v>9.3000000000000007</v>
      </c>
      <c r="L840" t="s">
        <v>21</v>
      </c>
      <c r="M840">
        <v>6</v>
      </c>
      <c r="N840">
        <v>1</v>
      </c>
      <c r="O840">
        <v>0</v>
      </c>
      <c r="P840">
        <v>1</v>
      </c>
      <c r="Q840">
        <v>1</v>
      </c>
      <c r="R840">
        <v>0</v>
      </c>
      <c r="S840">
        <v>1</v>
      </c>
      <c r="T840" t="str">
        <f>IF(mental_health[Sleep_Hours]&lt;5,"Low",IF(mental_health[Sleep_Hours]&lt;7,"Medium","Good"))</f>
        <v>Good</v>
      </c>
      <c r="U840" t="str">
        <f>IF(mental_health[Stress_Level]&lt;=3,"Low",IF(mental_health[Stress_Level]&lt;=7,"Medium","High"))</f>
        <v>Low</v>
      </c>
      <c r="V840" t="str">
        <f>IF(mental_health[Daily_Screen_Time]&lt;=4,"Low",IF(mental_health[Daily_Screen_Time]&lt;=8,"Medium","High"))</f>
        <v>High</v>
      </c>
    </row>
    <row r="841" spans="1:22" x14ac:dyDescent="0.3">
      <c r="A841">
        <v>840</v>
      </c>
      <c r="B841">
        <v>52</v>
      </c>
      <c r="C841" t="s">
        <v>23</v>
      </c>
      <c r="D841" t="s">
        <v>22</v>
      </c>
      <c r="E841">
        <v>7.5</v>
      </c>
      <c r="F841">
        <v>3.2</v>
      </c>
      <c r="G841">
        <v>1</v>
      </c>
      <c r="H841" t="str">
        <f t="shared" si="13"/>
        <v>Night Usage</v>
      </c>
      <c r="I841">
        <v>4.2</v>
      </c>
      <c r="J841" s="3">
        <v>6</v>
      </c>
      <c r="K841">
        <v>4.0999999999999996</v>
      </c>
      <c r="L841" t="s">
        <v>21</v>
      </c>
      <c r="M841">
        <v>10</v>
      </c>
      <c r="N841">
        <v>3</v>
      </c>
      <c r="O841">
        <v>0</v>
      </c>
      <c r="P841">
        <v>0</v>
      </c>
      <c r="Q841">
        <v>0</v>
      </c>
      <c r="R841">
        <v>1</v>
      </c>
      <c r="S841">
        <v>0</v>
      </c>
      <c r="T841" t="str">
        <f>IF(mental_health[Sleep_Hours]&lt;5,"Low",IF(mental_health[Sleep_Hours]&lt;7,"Medium","Good"))</f>
        <v>Low</v>
      </c>
      <c r="U841" t="str">
        <f>IF(mental_health[Stress_Level]&lt;=3,"Low",IF(mental_health[Stress_Level]&lt;=7,"Medium","High"))</f>
        <v>Medium</v>
      </c>
      <c r="V841" t="str">
        <f>IF(mental_health[Daily_Screen_Time]&lt;=4,"Low",IF(mental_health[Daily_Screen_Time]&lt;=8,"Medium","High"))</f>
        <v>Medium</v>
      </c>
    </row>
    <row r="842" spans="1:22" x14ac:dyDescent="0.3">
      <c r="A842">
        <v>841</v>
      </c>
      <c r="B842">
        <v>43</v>
      </c>
      <c r="C842" t="s">
        <v>18</v>
      </c>
      <c r="D842" t="s">
        <v>19</v>
      </c>
      <c r="E842">
        <v>3.9</v>
      </c>
      <c r="F842">
        <v>1.9</v>
      </c>
      <c r="G842">
        <v>1</v>
      </c>
      <c r="H842" t="str">
        <f t="shared" si="13"/>
        <v>Night Usage</v>
      </c>
      <c r="I842">
        <v>6.9</v>
      </c>
      <c r="J842" s="3">
        <v>5</v>
      </c>
      <c r="K842">
        <v>6.3</v>
      </c>
      <c r="L842" t="s">
        <v>20</v>
      </c>
      <c r="M842">
        <v>6</v>
      </c>
      <c r="N842">
        <v>4</v>
      </c>
      <c r="O842">
        <v>0</v>
      </c>
      <c r="P842">
        <v>1</v>
      </c>
      <c r="Q842">
        <v>0</v>
      </c>
      <c r="R842">
        <v>1</v>
      </c>
      <c r="S842">
        <v>1</v>
      </c>
      <c r="T842" t="str">
        <f>IF(mental_health[Sleep_Hours]&lt;5,"Low",IF(mental_health[Sleep_Hours]&lt;7,"Medium","Good"))</f>
        <v>Medium</v>
      </c>
      <c r="U842" t="str">
        <f>IF(mental_health[Stress_Level]&lt;=3,"Low",IF(mental_health[Stress_Level]&lt;=7,"Medium","High"))</f>
        <v>Medium</v>
      </c>
      <c r="V842" t="str">
        <f>IF(mental_health[Daily_Screen_Time]&lt;=4,"Low",IF(mental_health[Daily_Screen_Time]&lt;=8,"Medium","High"))</f>
        <v>Low</v>
      </c>
    </row>
    <row r="843" spans="1:22" x14ac:dyDescent="0.3">
      <c r="A843">
        <v>842</v>
      </c>
      <c r="B843">
        <v>25</v>
      </c>
      <c r="C843" t="s">
        <v>18</v>
      </c>
      <c r="D843" t="s">
        <v>22</v>
      </c>
      <c r="E843">
        <v>9.1999999999999993</v>
      </c>
      <c r="F843">
        <v>3.1</v>
      </c>
      <c r="G843">
        <v>1</v>
      </c>
      <c r="H843" t="str">
        <f t="shared" si="13"/>
        <v>Night Usage</v>
      </c>
      <c r="I843">
        <v>7.9</v>
      </c>
      <c r="J843" s="3">
        <v>1</v>
      </c>
      <c r="K843">
        <v>8.5</v>
      </c>
      <c r="L843" t="s">
        <v>20</v>
      </c>
      <c r="M843">
        <v>5</v>
      </c>
      <c r="N843">
        <v>0</v>
      </c>
      <c r="O843">
        <v>0</v>
      </c>
      <c r="P843">
        <v>1</v>
      </c>
      <c r="Q843">
        <v>1</v>
      </c>
      <c r="R843">
        <v>0</v>
      </c>
      <c r="S843">
        <v>1</v>
      </c>
      <c r="T843" t="str">
        <f>IF(mental_health[Sleep_Hours]&lt;5,"Low",IF(mental_health[Sleep_Hours]&lt;7,"Medium","Good"))</f>
        <v>Good</v>
      </c>
      <c r="U843" t="str">
        <f>IF(mental_health[Stress_Level]&lt;=3,"Low",IF(mental_health[Stress_Level]&lt;=7,"Medium","High"))</f>
        <v>Low</v>
      </c>
      <c r="V843" t="str">
        <f>IF(mental_health[Daily_Screen_Time]&lt;=4,"Low",IF(mental_health[Daily_Screen_Time]&lt;=8,"Medium","High"))</f>
        <v>High</v>
      </c>
    </row>
    <row r="844" spans="1:22" x14ac:dyDescent="0.3">
      <c r="A844">
        <v>843</v>
      </c>
      <c r="B844">
        <v>54</v>
      </c>
      <c r="C844" t="s">
        <v>23</v>
      </c>
      <c r="D844" t="s">
        <v>19</v>
      </c>
      <c r="E844">
        <v>7.1</v>
      </c>
      <c r="F844">
        <v>5</v>
      </c>
      <c r="G844">
        <v>1</v>
      </c>
      <c r="H844" t="str">
        <f t="shared" si="13"/>
        <v>Night Usage</v>
      </c>
      <c r="I844">
        <v>6.4</v>
      </c>
      <c r="J844" s="3">
        <v>1</v>
      </c>
      <c r="K844">
        <v>4.7</v>
      </c>
      <c r="L844" t="s">
        <v>25</v>
      </c>
      <c r="M844">
        <v>6</v>
      </c>
      <c r="N844">
        <v>4</v>
      </c>
      <c r="O844">
        <v>0</v>
      </c>
      <c r="P844">
        <v>0</v>
      </c>
      <c r="Q844">
        <v>0</v>
      </c>
      <c r="R844">
        <v>0</v>
      </c>
      <c r="S844">
        <v>1</v>
      </c>
      <c r="T844" t="str">
        <f>IF(mental_health[Sleep_Hours]&lt;5,"Low",IF(mental_health[Sleep_Hours]&lt;7,"Medium","Good"))</f>
        <v>Medium</v>
      </c>
      <c r="U844" t="str">
        <f>IF(mental_health[Stress_Level]&lt;=3,"Low",IF(mental_health[Stress_Level]&lt;=7,"Medium","High"))</f>
        <v>Low</v>
      </c>
      <c r="V844" t="str">
        <f>IF(mental_health[Daily_Screen_Time]&lt;=4,"Low",IF(mental_health[Daily_Screen_Time]&lt;=8,"Medium","High"))</f>
        <v>Medium</v>
      </c>
    </row>
    <row r="845" spans="1:22" x14ac:dyDescent="0.3">
      <c r="A845">
        <v>844</v>
      </c>
      <c r="B845">
        <v>32</v>
      </c>
      <c r="C845" t="s">
        <v>23</v>
      </c>
      <c r="D845" t="s">
        <v>19</v>
      </c>
      <c r="E845">
        <v>8</v>
      </c>
      <c r="F845">
        <v>4.0999999999999996</v>
      </c>
      <c r="G845">
        <v>0</v>
      </c>
      <c r="H845" t="str">
        <f t="shared" si="13"/>
        <v>No Night Usage</v>
      </c>
      <c r="I845">
        <v>4.5</v>
      </c>
      <c r="J845" s="3">
        <v>4</v>
      </c>
      <c r="K845">
        <v>5.8</v>
      </c>
      <c r="L845" t="s">
        <v>25</v>
      </c>
      <c r="M845">
        <v>1</v>
      </c>
      <c r="N845">
        <v>4</v>
      </c>
      <c r="O845">
        <v>0</v>
      </c>
      <c r="P845">
        <v>0</v>
      </c>
      <c r="Q845">
        <v>0</v>
      </c>
      <c r="R845">
        <v>0</v>
      </c>
      <c r="S845">
        <v>1</v>
      </c>
      <c r="T845" t="str">
        <f>IF(mental_health[Sleep_Hours]&lt;5,"Low",IF(mental_health[Sleep_Hours]&lt;7,"Medium","Good"))</f>
        <v>Low</v>
      </c>
      <c r="U845" t="str">
        <f>IF(mental_health[Stress_Level]&lt;=3,"Low",IF(mental_health[Stress_Level]&lt;=7,"Medium","High"))</f>
        <v>Medium</v>
      </c>
      <c r="V845" t="str">
        <f>IF(mental_health[Daily_Screen_Time]&lt;=4,"Low",IF(mental_health[Daily_Screen_Time]&lt;=8,"Medium","High"))</f>
        <v>Medium</v>
      </c>
    </row>
    <row r="846" spans="1:22" x14ac:dyDescent="0.3">
      <c r="A846">
        <v>845</v>
      </c>
      <c r="B846">
        <v>54</v>
      </c>
      <c r="C846" t="s">
        <v>23</v>
      </c>
      <c r="D846" t="s">
        <v>22</v>
      </c>
      <c r="E846">
        <v>6.6</v>
      </c>
      <c r="F846">
        <v>3.4</v>
      </c>
      <c r="G846">
        <v>0</v>
      </c>
      <c r="H846" t="str">
        <f t="shared" si="13"/>
        <v>No Night Usage</v>
      </c>
      <c r="I846">
        <v>4.5999999999999996</v>
      </c>
      <c r="J846" s="3">
        <v>4</v>
      </c>
      <c r="K846">
        <v>9.3000000000000007</v>
      </c>
      <c r="L846" t="s">
        <v>25</v>
      </c>
      <c r="M846">
        <v>5</v>
      </c>
      <c r="N846">
        <v>1</v>
      </c>
      <c r="O846">
        <v>0</v>
      </c>
      <c r="P846">
        <v>0</v>
      </c>
      <c r="Q846">
        <v>0</v>
      </c>
      <c r="R846">
        <v>1</v>
      </c>
      <c r="S846">
        <v>1</v>
      </c>
      <c r="T846" t="str">
        <f>IF(mental_health[Sleep_Hours]&lt;5,"Low",IF(mental_health[Sleep_Hours]&lt;7,"Medium","Good"))</f>
        <v>Low</v>
      </c>
      <c r="U846" t="str">
        <f>IF(mental_health[Stress_Level]&lt;=3,"Low",IF(mental_health[Stress_Level]&lt;=7,"Medium","High"))</f>
        <v>Medium</v>
      </c>
      <c r="V846" t="str">
        <f>IF(mental_health[Daily_Screen_Time]&lt;=4,"Low",IF(mental_health[Daily_Screen_Time]&lt;=8,"Medium","High"))</f>
        <v>Medium</v>
      </c>
    </row>
    <row r="847" spans="1:22" x14ac:dyDescent="0.3">
      <c r="A847">
        <v>846</v>
      </c>
      <c r="B847">
        <v>37</v>
      </c>
      <c r="C847" t="s">
        <v>23</v>
      </c>
      <c r="D847" t="s">
        <v>22</v>
      </c>
      <c r="E847">
        <v>10.3</v>
      </c>
      <c r="F847">
        <v>6.2</v>
      </c>
      <c r="G847">
        <v>1</v>
      </c>
      <c r="H847" t="str">
        <f t="shared" si="13"/>
        <v>Night Usage</v>
      </c>
      <c r="I847">
        <v>3.2</v>
      </c>
      <c r="J847" s="3">
        <v>6</v>
      </c>
      <c r="K847">
        <v>11.4</v>
      </c>
      <c r="L847" t="s">
        <v>25</v>
      </c>
      <c r="M847">
        <v>6</v>
      </c>
      <c r="N847">
        <v>3</v>
      </c>
      <c r="O847">
        <v>1</v>
      </c>
      <c r="P847">
        <v>0</v>
      </c>
      <c r="Q847">
        <v>1</v>
      </c>
      <c r="R847">
        <v>1</v>
      </c>
      <c r="S847">
        <v>1</v>
      </c>
      <c r="T847" t="str">
        <f>IF(mental_health[Sleep_Hours]&lt;5,"Low",IF(mental_health[Sleep_Hours]&lt;7,"Medium","Good"))</f>
        <v>Low</v>
      </c>
      <c r="U847" t="str">
        <f>IF(mental_health[Stress_Level]&lt;=3,"Low",IF(mental_health[Stress_Level]&lt;=7,"Medium","High"))</f>
        <v>Medium</v>
      </c>
      <c r="V847" t="str">
        <f>IF(mental_health[Daily_Screen_Time]&lt;=4,"Low",IF(mental_health[Daily_Screen_Time]&lt;=8,"Medium","High"))</f>
        <v>High</v>
      </c>
    </row>
    <row r="848" spans="1:22" x14ac:dyDescent="0.3">
      <c r="A848">
        <v>847</v>
      </c>
      <c r="B848">
        <v>41</v>
      </c>
      <c r="C848" t="s">
        <v>23</v>
      </c>
      <c r="D848" t="s">
        <v>19</v>
      </c>
      <c r="E848">
        <v>10.3</v>
      </c>
      <c r="F848">
        <v>7.3</v>
      </c>
      <c r="G848">
        <v>1</v>
      </c>
      <c r="H848" t="str">
        <f t="shared" si="13"/>
        <v>Night Usage</v>
      </c>
      <c r="I848">
        <v>4.8</v>
      </c>
      <c r="J848" s="3">
        <v>6</v>
      </c>
      <c r="K848">
        <v>7.3</v>
      </c>
      <c r="L848" t="s">
        <v>20</v>
      </c>
      <c r="M848">
        <v>8</v>
      </c>
      <c r="N848">
        <v>4</v>
      </c>
      <c r="O848">
        <v>0</v>
      </c>
      <c r="P848">
        <v>0</v>
      </c>
      <c r="Q848">
        <v>0</v>
      </c>
      <c r="R848">
        <v>1</v>
      </c>
      <c r="S848">
        <v>1</v>
      </c>
      <c r="T848" t="str">
        <f>IF(mental_health[Sleep_Hours]&lt;5,"Low",IF(mental_health[Sleep_Hours]&lt;7,"Medium","Good"))</f>
        <v>Low</v>
      </c>
      <c r="U848" t="str">
        <f>IF(mental_health[Stress_Level]&lt;=3,"Low",IF(mental_health[Stress_Level]&lt;=7,"Medium","High"))</f>
        <v>Medium</v>
      </c>
      <c r="V848" t="str">
        <f>IF(mental_health[Daily_Screen_Time]&lt;=4,"Low",IF(mental_health[Daily_Screen_Time]&lt;=8,"Medium","High"))</f>
        <v>High</v>
      </c>
    </row>
    <row r="849" spans="1:22" x14ac:dyDescent="0.3">
      <c r="A849">
        <v>848</v>
      </c>
      <c r="B849">
        <v>59</v>
      </c>
      <c r="C849" t="s">
        <v>23</v>
      </c>
      <c r="D849" t="s">
        <v>19</v>
      </c>
      <c r="E849">
        <v>9.1</v>
      </c>
      <c r="F849">
        <v>6.3</v>
      </c>
      <c r="G849">
        <v>1</v>
      </c>
      <c r="H849" t="str">
        <f t="shared" si="13"/>
        <v>Night Usage</v>
      </c>
      <c r="I849">
        <v>7.5</v>
      </c>
      <c r="J849" s="3">
        <v>10</v>
      </c>
      <c r="K849">
        <v>2.1</v>
      </c>
      <c r="L849" t="s">
        <v>20</v>
      </c>
      <c r="M849">
        <v>4</v>
      </c>
      <c r="N849">
        <v>4</v>
      </c>
      <c r="O849">
        <v>0</v>
      </c>
      <c r="P849">
        <v>0</v>
      </c>
      <c r="Q849">
        <v>1</v>
      </c>
      <c r="R849">
        <v>1</v>
      </c>
      <c r="S849">
        <v>0</v>
      </c>
      <c r="T849" t="str">
        <f>IF(mental_health[Sleep_Hours]&lt;5,"Low",IF(mental_health[Sleep_Hours]&lt;7,"Medium","Good"))</f>
        <v>Good</v>
      </c>
      <c r="U849" t="str">
        <f>IF(mental_health[Stress_Level]&lt;=3,"Low",IF(mental_health[Stress_Level]&lt;=7,"Medium","High"))</f>
        <v>High</v>
      </c>
      <c r="V849" t="str">
        <f>IF(mental_health[Daily_Screen_Time]&lt;=4,"Low",IF(mental_health[Daily_Screen_Time]&lt;=8,"Medium","High"))</f>
        <v>High</v>
      </c>
    </row>
    <row r="850" spans="1:22" x14ac:dyDescent="0.3">
      <c r="A850">
        <v>849</v>
      </c>
      <c r="B850">
        <v>40</v>
      </c>
      <c r="C850" t="s">
        <v>23</v>
      </c>
      <c r="D850" t="s">
        <v>24</v>
      </c>
      <c r="E850">
        <v>3.1</v>
      </c>
      <c r="F850">
        <v>3.3</v>
      </c>
      <c r="G850">
        <v>1</v>
      </c>
      <c r="H850" t="str">
        <f t="shared" si="13"/>
        <v>Night Usage</v>
      </c>
      <c r="I850">
        <v>3.3</v>
      </c>
      <c r="J850" s="3">
        <v>6</v>
      </c>
      <c r="K850">
        <v>5.4</v>
      </c>
      <c r="L850" t="s">
        <v>20</v>
      </c>
      <c r="M850">
        <v>5</v>
      </c>
      <c r="N850">
        <v>2</v>
      </c>
      <c r="O850">
        <v>1</v>
      </c>
      <c r="P850">
        <v>0</v>
      </c>
      <c r="Q850">
        <v>1</v>
      </c>
      <c r="R850">
        <v>1</v>
      </c>
      <c r="S850">
        <v>1</v>
      </c>
      <c r="T850" t="str">
        <f>IF(mental_health[Sleep_Hours]&lt;5,"Low",IF(mental_health[Sleep_Hours]&lt;7,"Medium","Good"))</f>
        <v>Low</v>
      </c>
      <c r="U850" t="str">
        <f>IF(mental_health[Stress_Level]&lt;=3,"Low",IF(mental_health[Stress_Level]&lt;=7,"Medium","High"))</f>
        <v>Medium</v>
      </c>
      <c r="V850" t="str">
        <f>IF(mental_health[Daily_Screen_Time]&lt;=4,"Low",IF(mental_health[Daily_Screen_Time]&lt;=8,"Medium","High"))</f>
        <v>Low</v>
      </c>
    </row>
    <row r="851" spans="1:22" x14ac:dyDescent="0.3">
      <c r="A851">
        <v>850</v>
      </c>
      <c r="B851">
        <v>32</v>
      </c>
      <c r="C851" t="s">
        <v>23</v>
      </c>
      <c r="D851" t="s">
        <v>19</v>
      </c>
      <c r="E851">
        <v>10.4</v>
      </c>
      <c r="F851">
        <v>6.2</v>
      </c>
      <c r="G851">
        <v>1</v>
      </c>
      <c r="H851" t="str">
        <f t="shared" si="13"/>
        <v>Night Usage</v>
      </c>
      <c r="I851">
        <v>4.3</v>
      </c>
      <c r="J851" s="3">
        <v>1</v>
      </c>
      <c r="K851">
        <v>6</v>
      </c>
      <c r="L851" t="s">
        <v>25</v>
      </c>
      <c r="M851">
        <v>4</v>
      </c>
      <c r="N851">
        <v>0</v>
      </c>
      <c r="O851">
        <v>1</v>
      </c>
      <c r="P851">
        <v>0</v>
      </c>
      <c r="Q851">
        <v>0</v>
      </c>
      <c r="R851">
        <v>0</v>
      </c>
      <c r="S851">
        <v>0</v>
      </c>
      <c r="T851" t="str">
        <f>IF(mental_health[Sleep_Hours]&lt;5,"Low",IF(mental_health[Sleep_Hours]&lt;7,"Medium","Good"))</f>
        <v>Low</v>
      </c>
      <c r="U851" t="str">
        <f>IF(mental_health[Stress_Level]&lt;=3,"Low",IF(mental_health[Stress_Level]&lt;=7,"Medium","High"))</f>
        <v>Low</v>
      </c>
      <c r="V851" t="str">
        <f>IF(mental_health[Daily_Screen_Time]&lt;=4,"Low",IF(mental_health[Daily_Screen_Time]&lt;=8,"Medium","High"))</f>
        <v>High</v>
      </c>
    </row>
    <row r="852" spans="1:22" x14ac:dyDescent="0.3">
      <c r="A852">
        <v>851</v>
      </c>
      <c r="B852">
        <v>28</v>
      </c>
      <c r="C852" t="s">
        <v>18</v>
      </c>
      <c r="D852" t="s">
        <v>24</v>
      </c>
      <c r="E852">
        <v>8.6999999999999993</v>
      </c>
      <c r="F852">
        <v>2.1</v>
      </c>
      <c r="G852">
        <v>0</v>
      </c>
      <c r="H852" t="str">
        <f t="shared" si="13"/>
        <v>No Night Usage</v>
      </c>
      <c r="I852">
        <v>7.2</v>
      </c>
      <c r="J852" s="3">
        <v>10</v>
      </c>
      <c r="K852">
        <v>5.4</v>
      </c>
      <c r="L852" t="s">
        <v>20</v>
      </c>
      <c r="M852">
        <v>7</v>
      </c>
      <c r="N852">
        <v>3</v>
      </c>
      <c r="O852">
        <v>1</v>
      </c>
      <c r="P852">
        <v>1</v>
      </c>
      <c r="Q852">
        <v>1</v>
      </c>
      <c r="R852">
        <v>1</v>
      </c>
      <c r="S852">
        <v>0</v>
      </c>
      <c r="T852" t="str">
        <f>IF(mental_health[Sleep_Hours]&lt;5,"Low",IF(mental_health[Sleep_Hours]&lt;7,"Medium","Good"))</f>
        <v>Good</v>
      </c>
      <c r="U852" t="str">
        <f>IF(mental_health[Stress_Level]&lt;=3,"Low",IF(mental_health[Stress_Level]&lt;=7,"Medium","High"))</f>
        <v>High</v>
      </c>
      <c r="V852" t="str">
        <f>IF(mental_health[Daily_Screen_Time]&lt;=4,"Low",IF(mental_health[Daily_Screen_Time]&lt;=8,"Medium","High"))</f>
        <v>High</v>
      </c>
    </row>
    <row r="853" spans="1:22" x14ac:dyDescent="0.3">
      <c r="A853">
        <v>852</v>
      </c>
      <c r="B853">
        <v>35</v>
      </c>
      <c r="C853" t="s">
        <v>23</v>
      </c>
      <c r="D853" t="s">
        <v>24</v>
      </c>
      <c r="E853">
        <v>9</v>
      </c>
      <c r="F853">
        <v>1.9</v>
      </c>
      <c r="G853">
        <v>1</v>
      </c>
      <c r="H853" t="str">
        <f t="shared" si="13"/>
        <v>Night Usage</v>
      </c>
      <c r="I853">
        <v>7.7</v>
      </c>
      <c r="J853" s="3">
        <v>9</v>
      </c>
      <c r="K853">
        <v>6.4</v>
      </c>
      <c r="L853" t="s">
        <v>21</v>
      </c>
      <c r="M853">
        <v>10</v>
      </c>
      <c r="N853">
        <v>0</v>
      </c>
      <c r="O853">
        <v>1</v>
      </c>
      <c r="P853">
        <v>0</v>
      </c>
      <c r="Q853">
        <v>1</v>
      </c>
      <c r="R853">
        <v>1</v>
      </c>
      <c r="S853">
        <v>0</v>
      </c>
      <c r="T853" t="str">
        <f>IF(mental_health[Sleep_Hours]&lt;5,"Low",IF(mental_health[Sleep_Hours]&lt;7,"Medium","Good"))</f>
        <v>Good</v>
      </c>
      <c r="U853" t="str">
        <f>IF(mental_health[Stress_Level]&lt;=3,"Low",IF(mental_health[Stress_Level]&lt;=7,"Medium","High"))</f>
        <v>High</v>
      </c>
      <c r="V853" t="str">
        <f>IF(mental_health[Daily_Screen_Time]&lt;=4,"Low",IF(mental_health[Daily_Screen_Time]&lt;=8,"Medium","High"))</f>
        <v>High</v>
      </c>
    </row>
    <row r="854" spans="1:22" x14ac:dyDescent="0.3">
      <c r="A854">
        <v>853</v>
      </c>
      <c r="B854">
        <v>40</v>
      </c>
      <c r="C854" t="s">
        <v>23</v>
      </c>
      <c r="D854" t="s">
        <v>24</v>
      </c>
      <c r="E854">
        <v>5.6</v>
      </c>
      <c r="F854">
        <v>3.4</v>
      </c>
      <c r="G854">
        <v>1</v>
      </c>
      <c r="H854" t="str">
        <f t="shared" si="13"/>
        <v>Night Usage</v>
      </c>
      <c r="I854">
        <v>5.7</v>
      </c>
      <c r="J854" s="3">
        <v>7</v>
      </c>
      <c r="K854">
        <v>8.3000000000000007</v>
      </c>
      <c r="L854" t="s">
        <v>25</v>
      </c>
      <c r="M854">
        <v>6</v>
      </c>
      <c r="N854">
        <v>1</v>
      </c>
      <c r="O854">
        <v>1</v>
      </c>
      <c r="P854">
        <v>1</v>
      </c>
      <c r="Q854">
        <v>0</v>
      </c>
      <c r="R854">
        <v>1</v>
      </c>
      <c r="S854">
        <v>1</v>
      </c>
      <c r="T854" t="str">
        <f>IF(mental_health[Sleep_Hours]&lt;5,"Low",IF(mental_health[Sleep_Hours]&lt;7,"Medium","Good"))</f>
        <v>Medium</v>
      </c>
      <c r="U854" t="str">
        <f>IF(mental_health[Stress_Level]&lt;=3,"Low",IF(mental_health[Stress_Level]&lt;=7,"Medium","High"))</f>
        <v>Medium</v>
      </c>
      <c r="V854" t="str">
        <f>IF(mental_health[Daily_Screen_Time]&lt;=4,"Low",IF(mental_health[Daily_Screen_Time]&lt;=8,"Medium","High"))</f>
        <v>Medium</v>
      </c>
    </row>
    <row r="855" spans="1:22" x14ac:dyDescent="0.3">
      <c r="A855">
        <v>854</v>
      </c>
      <c r="B855">
        <v>19</v>
      </c>
      <c r="C855" t="s">
        <v>18</v>
      </c>
      <c r="D855" t="s">
        <v>22</v>
      </c>
      <c r="E855">
        <v>10.8</v>
      </c>
      <c r="F855">
        <v>6.7</v>
      </c>
      <c r="G855">
        <v>0</v>
      </c>
      <c r="H855" t="str">
        <f t="shared" si="13"/>
        <v>No Night Usage</v>
      </c>
      <c r="I855">
        <v>7.2</v>
      </c>
      <c r="J855" s="3">
        <v>7</v>
      </c>
      <c r="K855">
        <v>3.2</v>
      </c>
      <c r="L855" t="s">
        <v>21</v>
      </c>
      <c r="M855">
        <v>4</v>
      </c>
      <c r="N855">
        <v>4</v>
      </c>
      <c r="O855">
        <v>0</v>
      </c>
      <c r="P855">
        <v>0</v>
      </c>
      <c r="Q855">
        <v>0</v>
      </c>
      <c r="R855">
        <v>0</v>
      </c>
      <c r="S855">
        <v>1</v>
      </c>
      <c r="T855" t="str">
        <f>IF(mental_health[Sleep_Hours]&lt;5,"Low",IF(mental_health[Sleep_Hours]&lt;7,"Medium","Good"))</f>
        <v>Good</v>
      </c>
      <c r="U855" t="str">
        <f>IF(mental_health[Stress_Level]&lt;=3,"Low",IF(mental_health[Stress_Level]&lt;=7,"Medium","High"))</f>
        <v>Medium</v>
      </c>
      <c r="V855" t="str">
        <f>IF(mental_health[Daily_Screen_Time]&lt;=4,"Low",IF(mental_health[Daily_Screen_Time]&lt;=8,"Medium","High"))</f>
        <v>High</v>
      </c>
    </row>
    <row r="856" spans="1:22" x14ac:dyDescent="0.3">
      <c r="A856">
        <v>855</v>
      </c>
      <c r="B856">
        <v>25</v>
      </c>
      <c r="C856" t="s">
        <v>23</v>
      </c>
      <c r="D856" t="s">
        <v>22</v>
      </c>
      <c r="E856">
        <v>9.3000000000000007</v>
      </c>
      <c r="F856">
        <v>2.7</v>
      </c>
      <c r="G856">
        <v>0</v>
      </c>
      <c r="H856" t="str">
        <f t="shared" si="13"/>
        <v>No Night Usage</v>
      </c>
      <c r="I856">
        <v>5.3</v>
      </c>
      <c r="J856" s="3">
        <v>7</v>
      </c>
      <c r="K856">
        <v>4.7</v>
      </c>
      <c r="L856" t="s">
        <v>25</v>
      </c>
      <c r="M856">
        <v>6</v>
      </c>
      <c r="N856">
        <v>4</v>
      </c>
      <c r="O856">
        <v>0</v>
      </c>
      <c r="P856">
        <v>1</v>
      </c>
      <c r="Q856">
        <v>0</v>
      </c>
      <c r="R856">
        <v>1</v>
      </c>
      <c r="S856">
        <v>0</v>
      </c>
      <c r="T856" t="str">
        <f>IF(mental_health[Sleep_Hours]&lt;5,"Low",IF(mental_health[Sleep_Hours]&lt;7,"Medium","Good"))</f>
        <v>Medium</v>
      </c>
      <c r="U856" t="str">
        <f>IF(mental_health[Stress_Level]&lt;=3,"Low",IF(mental_health[Stress_Level]&lt;=7,"Medium","High"))</f>
        <v>Medium</v>
      </c>
      <c r="V856" t="str">
        <f>IF(mental_health[Daily_Screen_Time]&lt;=4,"Low",IF(mental_health[Daily_Screen_Time]&lt;=8,"Medium","High"))</f>
        <v>High</v>
      </c>
    </row>
    <row r="857" spans="1:22" x14ac:dyDescent="0.3">
      <c r="A857">
        <v>856</v>
      </c>
      <c r="B857">
        <v>18</v>
      </c>
      <c r="C857" t="s">
        <v>18</v>
      </c>
      <c r="D857" t="s">
        <v>19</v>
      </c>
      <c r="E857">
        <v>3.1</v>
      </c>
      <c r="F857">
        <v>1.4</v>
      </c>
      <c r="G857">
        <v>0</v>
      </c>
      <c r="H857" t="str">
        <f t="shared" si="13"/>
        <v>No Night Usage</v>
      </c>
      <c r="I857">
        <v>4</v>
      </c>
      <c r="J857" s="3">
        <v>2</v>
      </c>
      <c r="K857">
        <v>7.1</v>
      </c>
      <c r="L857" t="s">
        <v>20</v>
      </c>
      <c r="M857">
        <v>4</v>
      </c>
      <c r="N857">
        <v>0</v>
      </c>
      <c r="O857">
        <v>0</v>
      </c>
      <c r="P857">
        <v>0</v>
      </c>
      <c r="Q857">
        <v>1</v>
      </c>
      <c r="R857">
        <v>0</v>
      </c>
      <c r="S857">
        <v>0</v>
      </c>
      <c r="T857" t="str">
        <f>IF(mental_health[Sleep_Hours]&lt;5,"Low",IF(mental_health[Sleep_Hours]&lt;7,"Medium","Good"))</f>
        <v>Low</v>
      </c>
      <c r="U857" t="str">
        <f>IF(mental_health[Stress_Level]&lt;=3,"Low",IF(mental_health[Stress_Level]&lt;=7,"Medium","High"))</f>
        <v>Low</v>
      </c>
      <c r="V857" t="str">
        <f>IF(mental_health[Daily_Screen_Time]&lt;=4,"Low",IF(mental_health[Daily_Screen_Time]&lt;=8,"Medium","High"))</f>
        <v>Low</v>
      </c>
    </row>
    <row r="858" spans="1:22" x14ac:dyDescent="0.3">
      <c r="A858">
        <v>857</v>
      </c>
      <c r="B858">
        <v>56</v>
      </c>
      <c r="C858" t="s">
        <v>18</v>
      </c>
      <c r="D858" t="s">
        <v>24</v>
      </c>
      <c r="E858">
        <v>6.1</v>
      </c>
      <c r="F858">
        <v>1.9</v>
      </c>
      <c r="G858">
        <v>0</v>
      </c>
      <c r="H858" t="str">
        <f t="shared" si="13"/>
        <v>No Night Usage</v>
      </c>
      <c r="I858">
        <v>5.4</v>
      </c>
      <c r="J858" s="3">
        <v>2</v>
      </c>
      <c r="K858">
        <v>5.2</v>
      </c>
      <c r="L858" t="s">
        <v>25</v>
      </c>
      <c r="M858">
        <v>8</v>
      </c>
      <c r="N858">
        <v>1</v>
      </c>
      <c r="O858">
        <v>1</v>
      </c>
      <c r="P858">
        <v>0</v>
      </c>
      <c r="Q858">
        <v>0</v>
      </c>
      <c r="R858">
        <v>0</v>
      </c>
      <c r="S858">
        <v>1</v>
      </c>
      <c r="T858" t="str">
        <f>IF(mental_health[Sleep_Hours]&lt;5,"Low",IF(mental_health[Sleep_Hours]&lt;7,"Medium","Good"))</f>
        <v>Medium</v>
      </c>
      <c r="U858" t="str">
        <f>IF(mental_health[Stress_Level]&lt;=3,"Low",IF(mental_health[Stress_Level]&lt;=7,"Medium","High"))</f>
        <v>Low</v>
      </c>
      <c r="V858" t="str">
        <f>IF(mental_health[Daily_Screen_Time]&lt;=4,"Low",IF(mental_health[Daily_Screen_Time]&lt;=8,"Medium","High"))</f>
        <v>Medium</v>
      </c>
    </row>
    <row r="859" spans="1:22" x14ac:dyDescent="0.3">
      <c r="A859">
        <v>858</v>
      </c>
      <c r="B859">
        <v>33</v>
      </c>
      <c r="C859" t="s">
        <v>23</v>
      </c>
      <c r="D859" t="s">
        <v>22</v>
      </c>
      <c r="E859">
        <v>10.9</v>
      </c>
      <c r="F859">
        <v>7</v>
      </c>
      <c r="G859">
        <v>0</v>
      </c>
      <c r="H859" t="str">
        <f t="shared" si="13"/>
        <v>No Night Usage</v>
      </c>
      <c r="I859">
        <v>6.5</v>
      </c>
      <c r="J859" s="3">
        <v>6</v>
      </c>
      <c r="K859">
        <v>11.9</v>
      </c>
      <c r="L859" t="s">
        <v>21</v>
      </c>
      <c r="M859">
        <v>3</v>
      </c>
      <c r="N859">
        <v>2</v>
      </c>
      <c r="O859">
        <v>0</v>
      </c>
      <c r="P859">
        <v>0</v>
      </c>
      <c r="Q859">
        <v>1</v>
      </c>
      <c r="R859">
        <v>0</v>
      </c>
      <c r="S859">
        <v>1</v>
      </c>
      <c r="T859" t="str">
        <f>IF(mental_health[Sleep_Hours]&lt;5,"Low",IF(mental_health[Sleep_Hours]&lt;7,"Medium","Good"))</f>
        <v>Medium</v>
      </c>
      <c r="U859" t="str">
        <f>IF(mental_health[Stress_Level]&lt;=3,"Low",IF(mental_health[Stress_Level]&lt;=7,"Medium","High"))</f>
        <v>Medium</v>
      </c>
      <c r="V859" t="str">
        <f>IF(mental_health[Daily_Screen_Time]&lt;=4,"Low",IF(mental_health[Daily_Screen_Time]&lt;=8,"Medium","High"))</f>
        <v>High</v>
      </c>
    </row>
    <row r="860" spans="1:22" x14ac:dyDescent="0.3">
      <c r="A860">
        <v>859</v>
      </c>
      <c r="B860">
        <v>51</v>
      </c>
      <c r="C860" t="s">
        <v>18</v>
      </c>
      <c r="D860" t="s">
        <v>22</v>
      </c>
      <c r="E860">
        <v>2.5</v>
      </c>
      <c r="F860">
        <v>5.4</v>
      </c>
      <c r="G860">
        <v>0</v>
      </c>
      <c r="H860" t="str">
        <f t="shared" si="13"/>
        <v>No Night Usage</v>
      </c>
      <c r="I860">
        <v>8.6999999999999993</v>
      </c>
      <c r="J860" s="3">
        <v>7</v>
      </c>
      <c r="K860">
        <v>6.3</v>
      </c>
      <c r="L860" t="s">
        <v>25</v>
      </c>
      <c r="M860">
        <v>8</v>
      </c>
      <c r="N860">
        <v>2</v>
      </c>
      <c r="O860">
        <v>0</v>
      </c>
      <c r="P860">
        <v>0</v>
      </c>
      <c r="Q860">
        <v>0</v>
      </c>
      <c r="R860">
        <v>0</v>
      </c>
      <c r="S860">
        <v>0</v>
      </c>
      <c r="T860" t="str">
        <f>IF(mental_health[Sleep_Hours]&lt;5,"Low",IF(mental_health[Sleep_Hours]&lt;7,"Medium","Good"))</f>
        <v>Good</v>
      </c>
      <c r="U860" t="str">
        <f>IF(mental_health[Stress_Level]&lt;=3,"Low",IF(mental_health[Stress_Level]&lt;=7,"Medium","High"))</f>
        <v>Medium</v>
      </c>
      <c r="V860" t="str">
        <f>IF(mental_health[Daily_Screen_Time]&lt;=4,"Low",IF(mental_health[Daily_Screen_Time]&lt;=8,"Medium","High"))</f>
        <v>Low</v>
      </c>
    </row>
    <row r="861" spans="1:22" x14ac:dyDescent="0.3">
      <c r="A861">
        <v>860</v>
      </c>
      <c r="B861">
        <v>37</v>
      </c>
      <c r="C861" t="s">
        <v>23</v>
      </c>
      <c r="D861" t="s">
        <v>22</v>
      </c>
      <c r="E861">
        <v>11.6</v>
      </c>
      <c r="F861">
        <v>2.8</v>
      </c>
      <c r="G861">
        <v>0</v>
      </c>
      <c r="H861" t="str">
        <f t="shared" si="13"/>
        <v>No Night Usage</v>
      </c>
      <c r="I861">
        <v>3.4</v>
      </c>
      <c r="J861" s="3">
        <v>3</v>
      </c>
      <c r="K861">
        <v>10.7</v>
      </c>
      <c r="L861" t="s">
        <v>21</v>
      </c>
      <c r="M861">
        <v>2</v>
      </c>
      <c r="N861">
        <v>4</v>
      </c>
      <c r="O861">
        <v>1</v>
      </c>
      <c r="P861">
        <v>0</v>
      </c>
      <c r="Q861">
        <v>0</v>
      </c>
      <c r="R861">
        <v>1</v>
      </c>
      <c r="S861">
        <v>1</v>
      </c>
      <c r="T861" t="str">
        <f>IF(mental_health[Sleep_Hours]&lt;5,"Low",IF(mental_health[Sleep_Hours]&lt;7,"Medium","Good"))</f>
        <v>Low</v>
      </c>
      <c r="U861" t="str">
        <f>IF(mental_health[Stress_Level]&lt;=3,"Low",IF(mental_health[Stress_Level]&lt;=7,"Medium","High"))</f>
        <v>Low</v>
      </c>
      <c r="V861" t="str">
        <f>IF(mental_health[Daily_Screen_Time]&lt;=4,"Low",IF(mental_health[Daily_Screen_Time]&lt;=8,"Medium","High"))</f>
        <v>High</v>
      </c>
    </row>
    <row r="862" spans="1:22" x14ac:dyDescent="0.3">
      <c r="A862">
        <v>861</v>
      </c>
      <c r="B862">
        <v>49</v>
      </c>
      <c r="C862" t="s">
        <v>18</v>
      </c>
      <c r="D862" t="s">
        <v>22</v>
      </c>
      <c r="E862">
        <v>8.8000000000000007</v>
      </c>
      <c r="F862">
        <v>4.9000000000000004</v>
      </c>
      <c r="G862">
        <v>0</v>
      </c>
      <c r="H862" t="str">
        <f t="shared" si="13"/>
        <v>No Night Usage</v>
      </c>
      <c r="I862">
        <v>6</v>
      </c>
      <c r="J862" s="3">
        <v>4</v>
      </c>
      <c r="K862">
        <v>11</v>
      </c>
      <c r="L862" t="s">
        <v>20</v>
      </c>
      <c r="M862">
        <v>6</v>
      </c>
      <c r="N862">
        <v>4</v>
      </c>
      <c r="O862">
        <v>1</v>
      </c>
      <c r="P862">
        <v>1</v>
      </c>
      <c r="Q862">
        <v>1</v>
      </c>
      <c r="R862">
        <v>1</v>
      </c>
      <c r="S862">
        <v>0</v>
      </c>
      <c r="T862" t="str">
        <f>IF(mental_health[Sleep_Hours]&lt;5,"Low",IF(mental_health[Sleep_Hours]&lt;7,"Medium","Good"))</f>
        <v>Medium</v>
      </c>
      <c r="U862" t="str">
        <f>IF(mental_health[Stress_Level]&lt;=3,"Low",IF(mental_health[Stress_Level]&lt;=7,"Medium","High"))</f>
        <v>Medium</v>
      </c>
      <c r="V862" t="str">
        <f>IF(mental_health[Daily_Screen_Time]&lt;=4,"Low",IF(mental_health[Daily_Screen_Time]&lt;=8,"Medium","High"))</f>
        <v>High</v>
      </c>
    </row>
    <row r="863" spans="1:22" x14ac:dyDescent="0.3">
      <c r="A863">
        <v>862</v>
      </c>
      <c r="B863">
        <v>23</v>
      </c>
      <c r="C863" t="s">
        <v>18</v>
      </c>
      <c r="D863" t="s">
        <v>22</v>
      </c>
      <c r="E863">
        <v>8.3000000000000007</v>
      </c>
      <c r="F863">
        <v>4.7</v>
      </c>
      <c r="G863">
        <v>0</v>
      </c>
      <c r="H863" t="str">
        <f t="shared" si="13"/>
        <v>No Night Usage</v>
      </c>
      <c r="I863">
        <v>5</v>
      </c>
      <c r="J863" s="3">
        <v>3</v>
      </c>
      <c r="K863">
        <v>10.4</v>
      </c>
      <c r="L863" t="s">
        <v>21</v>
      </c>
      <c r="M863">
        <v>8</v>
      </c>
      <c r="N863">
        <v>3</v>
      </c>
      <c r="O863">
        <v>0</v>
      </c>
      <c r="P863">
        <v>0</v>
      </c>
      <c r="Q863">
        <v>0</v>
      </c>
      <c r="R863">
        <v>1</v>
      </c>
      <c r="S863">
        <v>0</v>
      </c>
      <c r="T863" t="str">
        <f>IF(mental_health[Sleep_Hours]&lt;5,"Low",IF(mental_health[Sleep_Hours]&lt;7,"Medium","Good"))</f>
        <v>Medium</v>
      </c>
      <c r="U863" t="str">
        <f>IF(mental_health[Stress_Level]&lt;=3,"Low",IF(mental_health[Stress_Level]&lt;=7,"Medium","High"))</f>
        <v>Low</v>
      </c>
      <c r="V863" t="str">
        <f>IF(mental_health[Daily_Screen_Time]&lt;=4,"Low",IF(mental_health[Daily_Screen_Time]&lt;=8,"Medium","High"))</f>
        <v>High</v>
      </c>
    </row>
    <row r="864" spans="1:22" x14ac:dyDescent="0.3">
      <c r="A864">
        <v>863</v>
      </c>
      <c r="B864">
        <v>55</v>
      </c>
      <c r="C864" t="s">
        <v>18</v>
      </c>
      <c r="D864" t="s">
        <v>24</v>
      </c>
      <c r="E864">
        <v>4.7</v>
      </c>
      <c r="F864">
        <v>5.6</v>
      </c>
      <c r="G864">
        <v>1</v>
      </c>
      <c r="H864" t="str">
        <f t="shared" si="13"/>
        <v>Night Usage</v>
      </c>
      <c r="I864">
        <v>6</v>
      </c>
      <c r="J864" s="3">
        <v>7</v>
      </c>
      <c r="K864">
        <v>2.5</v>
      </c>
      <c r="L864" t="s">
        <v>20</v>
      </c>
      <c r="M864">
        <v>1</v>
      </c>
      <c r="N864">
        <v>0</v>
      </c>
      <c r="O864">
        <v>1</v>
      </c>
      <c r="P864">
        <v>0</v>
      </c>
      <c r="Q864">
        <v>0</v>
      </c>
      <c r="R864">
        <v>1</v>
      </c>
      <c r="S864">
        <v>1</v>
      </c>
      <c r="T864" t="str">
        <f>IF(mental_health[Sleep_Hours]&lt;5,"Low",IF(mental_health[Sleep_Hours]&lt;7,"Medium","Good"))</f>
        <v>Medium</v>
      </c>
      <c r="U864" t="str">
        <f>IF(mental_health[Stress_Level]&lt;=3,"Low",IF(mental_health[Stress_Level]&lt;=7,"Medium","High"))</f>
        <v>Medium</v>
      </c>
      <c r="V864" t="str">
        <f>IF(mental_health[Daily_Screen_Time]&lt;=4,"Low",IF(mental_health[Daily_Screen_Time]&lt;=8,"Medium","High"))</f>
        <v>Medium</v>
      </c>
    </row>
    <row r="865" spans="1:22" x14ac:dyDescent="0.3">
      <c r="A865">
        <v>864</v>
      </c>
      <c r="B865">
        <v>59</v>
      </c>
      <c r="C865" t="s">
        <v>23</v>
      </c>
      <c r="D865" t="s">
        <v>24</v>
      </c>
      <c r="E865">
        <v>4.5</v>
      </c>
      <c r="F865">
        <v>2.6</v>
      </c>
      <c r="G865">
        <v>0</v>
      </c>
      <c r="H865" t="str">
        <f t="shared" si="13"/>
        <v>No Night Usage</v>
      </c>
      <c r="I865">
        <v>3.1</v>
      </c>
      <c r="J865" s="3">
        <v>7</v>
      </c>
      <c r="K865">
        <v>11.5</v>
      </c>
      <c r="L865" t="s">
        <v>21</v>
      </c>
      <c r="M865">
        <v>6</v>
      </c>
      <c r="N865">
        <v>4</v>
      </c>
      <c r="O865">
        <v>0</v>
      </c>
      <c r="P865">
        <v>0</v>
      </c>
      <c r="Q865">
        <v>1</v>
      </c>
      <c r="R865">
        <v>0</v>
      </c>
      <c r="S865">
        <v>1</v>
      </c>
      <c r="T865" t="str">
        <f>IF(mental_health[Sleep_Hours]&lt;5,"Low",IF(mental_health[Sleep_Hours]&lt;7,"Medium","Good"))</f>
        <v>Low</v>
      </c>
      <c r="U865" t="str">
        <f>IF(mental_health[Stress_Level]&lt;=3,"Low",IF(mental_health[Stress_Level]&lt;=7,"Medium","High"))</f>
        <v>Medium</v>
      </c>
      <c r="V865" t="str">
        <f>IF(mental_health[Daily_Screen_Time]&lt;=4,"Low",IF(mental_health[Daily_Screen_Time]&lt;=8,"Medium","High"))</f>
        <v>Medium</v>
      </c>
    </row>
    <row r="866" spans="1:22" x14ac:dyDescent="0.3">
      <c r="A866">
        <v>865</v>
      </c>
      <c r="B866">
        <v>34</v>
      </c>
      <c r="C866" t="s">
        <v>23</v>
      </c>
      <c r="D866" t="s">
        <v>24</v>
      </c>
      <c r="E866">
        <v>11.4</v>
      </c>
      <c r="F866">
        <v>7.1</v>
      </c>
      <c r="G866">
        <v>1</v>
      </c>
      <c r="H866" t="str">
        <f t="shared" si="13"/>
        <v>Night Usage</v>
      </c>
      <c r="I866">
        <v>4.9000000000000004</v>
      </c>
      <c r="J866" s="3">
        <v>4</v>
      </c>
      <c r="K866">
        <v>3.3</v>
      </c>
      <c r="L866" t="s">
        <v>20</v>
      </c>
      <c r="M866">
        <v>9</v>
      </c>
      <c r="N866">
        <v>1</v>
      </c>
      <c r="O866">
        <v>1</v>
      </c>
      <c r="P866">
        <v>1</v>
      </c>
      <c r="Q866">
        <v>0</v>
      </c>
      <c r="R866">
        <v>1</v>
      </c>
      <c r="S866">
        <v>0</v>
      </c>
      <c r="T866" t="str">
        <f>IF(mental_health[Sleep_Hours]&lt;5,"Low",IF(mental_health[Sleep_Hours]&lt;7,"Medium","Good"))</f>
        <v>Low</v>
      </c>
      <c r="U866" t="str">
        <f>IF(mental_health[Stress_Level]&lt;=3,"Low",IF(mental_health[Stress_Level]&lt;=7,"Medium","High"))</f>
        <v>Medium</v>
      </c>
      <c r="V866" t="str">
        <f>IF(mental_health[Daily_Screen_Time]&lt;=4,"Low",IF(mental_health[Daily_Screen_Time]&lt;=8,"Medium","High"))</f>
        <v>High</v>
      </c>
    </row>
    <row r="867" spans="1:22" x14ac:dyDescent="0.3">
      <c r="A867">
        <v>866</v>
      </c>
      <c r="B867">
        <v>57</v>
      </c>
      <c r="C867" t="s">
        <v>18</v>
      </c>
      <c r="D867" t="s">
        <v>24</v>
      </c>
      <c r="E867">
        <v>5</v>
      </c>
      <c r="F867">
        <v>3.2</v>
      </c>
      <c r="G867">
        <v>1</v>
      </c>
      <c r="H867" t="str">
        <f t="shared" si="13"/>
        <v>Night Usage</v>
      </c>
      <c r="I867">
        <v>7.9</v>
      </c>
      <c r="J867" s="3">
        <v>7</v>
      </c>
      <c r="K867">
        <v>2.2999999999999998</v>
      </c>
      <c r="L867" t="s">
        <v>21</v>
      </c>
      <c r="M867">
        <v>10</v>
      </c>
      <c r="N867">
        <v>0</v>
      </c>
      <c r="O867">
        <v>0</v>
      </c>
      <c r="P867">
        <v>1</v>
      </c>
      <c r="Q867">
        <v>1</v>
      </c>
      <c r="R867">
        <v>1</v>
      </c>
      <c r="S867">
        <v>0</v>
      </c>
      <c r="T867" t="str">
        <f>IF(mental_health[Sleep_Hours]&lt;5,"Low",IF(mental_health[Sleep_Hours]&lt;7,"Medium","Good"))</f>
        <v>Good</v>
      </c>
      <c r="U867" t="str">
        <f>IF(mental_health[Stress_Level]&lt;=3,"Low",IF(mental_health[Stress_Level]&lt;=7,"Medium","High"))</f>
        <v>Medium</v>
      </c>
      <c r="V867" t="str">
        <f>IF(mental_health[Daily_Screen_Time]&lt;=4,"Low",IF(mental_health[Daily_Screen_Time]&lt;=8,"Medium","High"))</f>
        <v>Medium</v>
      </c>
    </row>
    <row r="868" spans="1:22" x14ac:dyDescent="0.3">
      <c r="A868">
        <v>867</v>
      </c>
      <c r="B868">
        <v>56</v>
      </c>
      <c r="C868" t="s">
        <v>18</v>
      </c>
      <c r="D868" t="s">
        <v>19</v>
      </c>
      <c r="E868">
        <v>9.8000000000000007</v>
      </c>
      <c r="F868">
        <v>5.9</v>
      </c>
      <c r="G868">
        <v>1</v>
      </c>
      <c r="H868" t="str">
        <f t="shared" si="13"/>
        <v>Night Usage</v>
      </c>
      <c r="I868">
        <v>6.3</v>
      </c>
      <c r="J868" s="3">
        <v>5</v>
      </c>
      <c r="K868">
        <v>6.1</v>
      </c>
      <c r="L868" t="s">
        <v>20</v>
      </c>
      <c r="M868">
        <v>10</v>
      </c>
      <c r="N868">
        <v>3</v>
      </c>
      <c r="O868">
        <v>0</v>
      </c>
      <c r="P868">
        <v>1</v>
      </c>
      <c r="Q868">
        <v>0</v>
      </c>
      <c r="R868">
        <v>0</v>
      </c>
      <c r="S868">
        <v>0</v>
      </c>
      <c r="T868" t="str">
        <f>IF(mental_health[Sleep_Hours]&lt;5,"Low",IF(mental_health[Sleep_Hours]&lt;7,"Medium","Good"))</f>
        <v>Medium</v>
      </c>
      <c r="U868" t="str">
        <f>IF(mental_health[Stress_Level]&lt;=3,"Low",IF(mental_health[Stress_Level]&lt;=7,"Medium","High"))</f>
        <v>Medium</v>
      </c>
      <c r="V868" t="str">
        <f>IF(mental_health[Daily_Screen_Time]&lt;=4,"Low",IF(mental_health[Daily_Screen_Time]&lt;=8,"Medium","High"))</f>
        <v>High</v>
      </c>
    </row>
    <row r="869" spans="1:22" x14ac:dyDescent="0.3">
      <c r="A869">
        <v>868</v>
      </c>
      <c r="B869">
        <v>52</v>
      </c>
      <c r="C869" t="s">
        <v>23</v>
      </c>
      <c r="D869" t="s">
        <v>24</v>
      </c>
      <c r="E869">
        <v>5.9</v>
      </c>
      <c r="F869">
        <v>1.1000000000000001</v>
      </c>
      <c r="G869">
        <v>1</v>
      </c>
      <c r="H869" t="str">
        <f t="shared" si="13"/>
        <v>Night Usage</v>
      </c>
      <c r="I869">
        <v>5.7</v>
      </c>
      <c r="J869" s="3">
        <v>1</v>
      </c>
      <c r="K869">
        <v>3.9</v>
      </c>
      <c r="L869" t="s">
        <v>20</v>
      </c>
      <c r="M869">
        <v>2</v>
      </c>
      <c r="N869">
        <v>2</v>
      </c>
      <c r="O869">
        <v>0</v>
      </c>
      <c r="P869">
        <v>1</v>
      </c>
      <c r="Q869">
        <v>1</v>
      </c>
      <c r="R869">
        <v>0</v>
      </c>
      <c r="S869">
        <v>0</v>
      </c>
      <c r="T869" t="str">
        <f>IF(mental_health[Sleep_Hours]&lt;5,"Low",IF(mental_health[Sleep_Hours]&lt;7,"Medium","Good"))</f>
        <v>Medium</v>
      </c>
      <c r="U869" t="str">
        <f>IF(mental_health[Stress_Level]&lt;=3,"Low",IF(mental_health[Stress_Level]&lt;=7,"Medium","High"))</f>
        <v>Low</v>
      </c>
      <c r="V869" t="str">
        <f>IF(mental_health[Daily_Screen_Time]&lt;=4,"Low",IF(mental_health[Daily_Screen_Time]&lt;=8,"Medium","High"))</f>
        <v>Medium</v>
      </c>
    </row>
    <row r="870" spans="1:22" x14ac:dyDescent="0.3">
      <c r="A870">
        <v>869</v>
      </c>
      <c r="B870">
        <v>21</v>
      </c>
      <c r="C870" t="s">
        <v>23</v>
      </c>
      <c r="D870" t="s">
        <v>22</v>
      </c>
      <c r="E870">
        <v>3.4</v>
      </c>
      <c r="F870">
        <v>3.6</v>
      </c>
      <c r="G870">
        <v>1</v>
      </c>
      <c r="H870" t="str">
        <f t="shared" si="13"/>
        <v>Night Usage</v>
      </c>
      <c r="I870">
        <v>4.7</v>
      </c>
      <c r="J870" s="3">
        <v>10</v>
      </c>
      <c r="K870">
        <v>3.8</v>
      </c>
      <c r="L870" t="s">
        <v>20</v>
      </c>
      <c r="M870">
        <v>1</v>
      </c>
      <c r="N870">
        <v>3</v>
      </c>
      <c r="O870">
        <v>1</v>
      </c>
      <c r="P870">
        <v>1</v>
      </c>
      <c r="Q870">
        <v>1</v>
      </c>
      <c r="R870">
        <v>1</v>
      </c>
      <c r="S870">
        <v>1</v>
      </c>
      <c r="T870" t="str">
        <f>IF(mental_health[Sleep_Hours]&lt;5,"Low",IF(mental_health[Sleep_Hours]&lt;7,"Medium","Good"))</f>
        <v>Low</v>
      </c>
      <c r="U870" t="str">
        <f>IF(mental_health[Stress_Level]&lt;=3,"Low",IF(mental_health[Stress_Level]&lt;=7,"Medium","High"))</f>
        <v>High</v>
      </c>
      <c r="V870" t="str">
        <f>IF(mental_health[Daily_Screen_Time]&lt;=4,"Low",IF(mental_health[Daily_Screen_Time]&lt;=8,"Medium","High"))</f>
        <v>Low</v>
      </c>
    </row>
    <row r="871" spans="1:22" x14ac:dyDescent="0.3">
      <c r="A871">
        <v>870</v>
      </c>
      <c r="B871">
        <v>41</v>
      </c>
      <c r="C871" t="s">
        <v>18</v>
      </c>
      <c r="D871" t="s">
        <v>24</v>
      </c>
      <c r="E871">
        <v>2.1</v>
      </c>
      <c r="F871">
        <v>3.5</v>
      </c>
      <c r="G871">
        <v>1</v>
      </c>
      <c r="H871" t="str">
        <f t="shared" si="13"/>
        <v>Night Usage</v>
      </c>
      <c r="I871">
        <v>4.8</v>
      </c>
      <c r="J871" s="3">
        <v>4</v>
      </c>
      <c r="K871">
        <v>4.9000000000000004</v>
      </c>
      <c r="L871" t="s">
        <v>21</v>
      </c>
      <c r="M871">
        <v>2</v>
      </c>
      <c r="N871">
        <v>0</v>
      </c>
      <c r="O871">
        <v>1</v>
      </c>
      <c r="P871">
        <v>1</v>
      </c>
      <c r="Q871">
        <v>0</v>
      </c>
      <c r="R871">
        <v>0</v>
      </c>
      <c r="S871">
        <v>0</v>
      </c>
      <c r="T871" t="str">
        <f>IF(mental_health[Sleep_Hours]&lt;5,"Low",IF(mental_health[Sleep_Hours]&lt;7,"Medium","Good"))</f>
        <v>Low</v>
      </c>
      <c r="U871" t="str">
        <f>IF(mental_health[Stress_Level]&lt;=3,"Low",IF(mental_health[Stress_Level]&lt;=7,"Medium","High"))</f>
        <v>Medium</v>
      </c>
      <c r="V871" t="str">
        <f>IF(mental_health[Daily_Screen_Time]&lt;=4,"Low",IF(mental_health[Daily_Screen_Time]&lt;=8,"Medium","High"))</f>
        <v>Low</v>
      </c>
    </row>
    <row r="872" spans="1:22" x14ac:dyDescent="0.3">
      <c r="A872">
        <v>871</v>
      </c>
      <c r="B872">
        <v>49</v>
      </c>
      <c r="C872" t="s">
        <v>18</v>
      </c>
      <c r="D872" t="s">
        <v>19</v>
      </c>
      <c r="E872">
        <v>7.4</v>
      </c>
      <c r="F872">
        <v>4.8</v>
      </c>
      <c r="G872">
        <v>1</v>
      </c>
      <c r="H872" t="str">
        <f t="shared" si="13"/>
        <v>Night Usage</v>
      </c>
      <c r="I872">
        <v>5.3</v>
      </c>
      <c r="J872" s="3">
        <v>7</v>
      </c>
      <c r="K872">
        <v>4.5</v>
      </c>
      <c r="L872" t="s">
        <v>21</v>
      </c>
      <c r="M872">
        <v>5</v>
      </c>
      <c r="N872">
        <v>2</v>
      </c>
      <c r="O872">
        <v>1</v>
      </c>
      <c r="P872">
        <v>0</v>
      </c>
      <c r="Q872">
        <v>0</v>
      </c>
      <c r="R872">
        <v>0</v>
      </c>
      <c r="S872">
        <v>1</v>
      </c>
      <c r="T872" t="str">
        <f>IF(mental_health[Sleep_Hours]&lt;5,"Low",IF(mental_health[Sleep_Hours]&lt;7,"Medium","Good"))</f>
        <v>Medium</v>
      </c>
      <c r="U872" t="str">
        <f>IF(mental_health[Stress_Level]&lt;=3,"Low",IF(mental_health[Stress_Level]&lt;=7,"Medium","High"))</f>
        <v>Medium</v>
      </c>
      <c r="V872" t="str">
        <f>IF(mental_health[Daily_Screen_Time]&lt;=4,"Low",IF(mental_health[Daily_Screen_Time]&lt;=8,"Medium","High"))</f>
        <v>Medium</v>
      </c>
    </row>
    <row r="873" spans="1:22" x14ac:dyDescent="0.3">
      <c r="A873">
        <v>872</v>
      </c>
      <c r="B873">
        <v>21</v>
      </c>
      <c r="C873" t="s">
        <v>23</v>
      </c>
      <c r="D873" t="s">
        <v>22</v>
      </c>
      <c r="E873">
        <v>11.8</v>
      </c>
      <c r="F873">
        <v>1.5</v>
      </c>
      <c r="G873">
        <v>1</v>
      </c>
      <c r="H873" t="str">
        <f t="shared" si="13"/>
        <v>Night Usage</v>
      </c>
      <c r="I873">
        <v>8</v>
      </c>
      <c r="J873" s="3">
        <v>2</v>
      </c>
      <c r="K873">
        <v>8.8000000000000007</v>
      </c>
      <c r="L873" t="s">
        <v>20</v>
      </c>
      <c r="M873">
        <v>6</v>
      </c>
      <c r="N873">
        <v>1</v>
      </c>
      <c r="O873">
        <v>1</v>
      </c>
      <c r="P873">
        <v>0</v>
      </c>
      <c r="Q873">
        <v>1</v>
      </c>
      <c r="R873">
        <v>1</v>
      </c>
      <c r="S873">
        <v>0</v>
      </c>
      <c r="T873" t="str">
        <f>IF(mental_health[Sleep_Hours]&lt;5,"Low",IF(mental_health[Sleep_Hours]&lt;7,"Medium","Good"))</f>
        <v>Good</v>
      </c>
      <c r="U873" t="str">
        <f>IF(mental_health[Stress_Level]&lt;=3,"Low",IF(mental_health[Stress_Level]&lt;=7,"Medium","High"))</f>
        <v>Low</v>
      </c>
      <c r="V873" t="str">
        <f>IF(mental_health[Daily_Screen_Time]&lt;=4,"Low",IF(mental_health[Daily_Screen_Time]&lt;=8,"Medium","High"))</f>
        <v>High</v>
      </c>
    </row>
    <row r="874" spans="1:22" x14ac:dyDescent="0.3">
      <c r="A874">
        <v>873</v>
      </c>
      <c r="B874">
        <v>52</v>
      </c>
      <c r="C874" t="s">
        <v>23</v>
      </c>
      <c r="D874" t="s">
        <v>24</v>
      </c>
      <c r="E874">
        <v>5.7</v>
      </c>
      <c r="F874">
        <v>6.5</v>
      </c>
      <c r="G874">
        <v>0</v>
      </c>
      <c r="H874" t="str">
        <f t="shared" si="13"/>
        <v>No Night Usage</v>
      </c>
      <c r="I874">
        <v>8.8000000000000007</v>
      </c>
      <c r="J874" s="3">
        <v>2</v>
      </c>
      <c r="K874">
        <v>3.9</v>
      </c>
      <c r="L874" t="s">
        <v>25</v>
      </c>
      <c r="M874">
        <v>1</v>
      </c>
      <c r="N874">
        <v>2</v>
      </c>
      <c r="O874">
        <v>0</v>
      </c>
      <c r="P874">
        <v>0</v>
      </c>
      <c r="Q874">
        <v>0</v>
      </c>
      <c r="R874">
        <v>0</v>
      </c>
      <c r="S874">
        <v>0</v>
      </c>
      <c r="T874" t="str">
        <f>IF(mental_health[Sleep_Hours]&lt;5,"Low",IF(mental_health[Sleep_Hours]&lt;7,"Medium","Good"))</f>
        <v>Good</v>
      </c>
      <c r="U874" t="str">
        <f>IF(mental_health[Stress_Level]&lt;=3,"Low",IF(mental_health[Stress_Level]&lt;=7,"Medium","High"))</f>
        <v>Low</v>
      </c>
      <c r="V874" t="str">
        <f>IF(mental_health[Daily_Screen_Time]&lt;=4,"Low",IF(mental_health[Daily_Screen_Time]&lt;=8,"Medium","High"))</f>
        <v>Medium</v>
      </c>
    </row>
    <row r="875" spans="1:22" x14ac:dyDescent="0.3">
      <c r="A875">
        <v>874</v>
      </c>
      <c r="B875">
        <v>48</v>
      </c>
      <c r="C875" t="s">
        <v>23</v>
      </c>
      <c r="D875" t="s">
        <v>24</v>
      </c>
      <c r="E875">
        <v>5.6</v>
      </c>
      <c r="F875">
        <v>2.5</v>
      </c>
      <c r="G875">
        <v>1</v>
      </c>
      <c r="H875" t="str">
        <f t="shared" si="13"/>
        <v>Night Usage</v>
      </c>
      <c r="I875">
        <v>5.6</v>
      </c>
      <c r="J875" s="3">
        <v>1</v>
      </c>
      <c r="K875">
        <v>7.4</v>
      </c>
      <c r="L875" t="s">
        <v>20</v>
      </c>
      <c r="M875">
        <v>7</v>
      </c>
      <c r="N875">
        <v>2</v>
      </c>
      <c r="O875">
        <v>0</v>
      </c>
      <c r="P875">
        <v>1</v>
      </c>
      <c r="Q875">
        <v>0</v>
      </c>
      <c r="R875">
        <v>0</v>
      </c>
      <c r="S875">
        <v>0</v>
      </c>
      <c r="T875" t="str">
        <f>IF(mental_health[Sleep_Hours]&lt;5,"Low",IF(mental_health[Sleep_Hours]&lt;7,"Medium","Good"))</f>
        <v>Medium</v>
      </c>
      <c r="U875" t="str">
        <f>IF(mental_health[Stress_Level]&lt;=3,"Low",IF(mental_health[Stress_Level]&lt;=7,"Medium","High"))</f>
        <v>Low</v>
      </c>
      <c r="V875" t="str">
        <f>IF(mental_health[Daily_Screen_Time]&lt;=4,"Low",IF(mental_health[Daily_Screen_Time]&lt;=8,"Medium","High"))</f>
        <v>Medium</v>
      </c>
    </row>
    <row r="876" spans="1:22" x14ac:dyDescent="0.3">
      <c r="A876">
        <v>875</v>
      </c>
      <c r="B876">
        <v>37</v>
      </c>
      <c r="C876" t="s">
        <v>23</v>
      </c>
      <c r="D876" t="s">
        <v>24</v>
      </c>
      <c r="E876">
        <v>5.4</v>
      </c>
      <c r="F876">
        <v>5.7</v>
      </c>
      <c r="G876">
        <v>1</v>
      </c>
      <c r="H876" t="str">
        <f t="shared" si="13"/>
        <v>Night Usage</v>
      </c>
      <c r="I876">
        <v>5.4</v>
      </c>
      <c r="J876" s="3">
        <v>2</v>
      </c>
      <c r="K876">
        <v>11.9</v>
      </c>
      <c r="L876" t="s">
        <v>25</v>
      </c>
      <c r="M876">
        <v>4</v>
      </c>
      <c r="N876">
        <v>1</v>
      </c>
      <c r="O876">
        <v>0</v>
      </c>
      <c r="P876">
        <v>0</v>
      </c>
      <c r="Q876">
        <v>0</v>
      </c>
      <c r="R876">
        <v>0</v>
      </c>
      <c r="S876">
        <v>0</v>
      </c>
      <c r="T876" t="str">
        <f>IF(mental_health[Sleep_Hours]&lt;5,"Low",IF(mental_health[Sleep_Hours]&lt;7,"Medium","Good"))</f>
        <v>Medium</v>
      </c>
      <c r="U876" t="str">
        <f>IF(mental_health[Stress_Level]&lt;=3,"Low",IF(mental_health[Stress_Level]&lt;=7,"Medium","High"))</f>
        <v>Low</v>
      </c>
      <c r="V876" t="str">
        <f>IF(mental_health[Daily_Screen_Time]&lt;=4,"Low",IF(mental_health[Daily_Screen_Time]&lt;=8,"Medium","High"))</f>
        <v>Medium</v>
      </c>
    </row>
    <row r="877" spans="1:22" x14ac:dyDescent="0.3">
      <c r="A877">
        <v>876</v>
      </c>
      <c r="B877">
        <v>36</v>
      </c>
      <c r="C877" t="s">
        <v>23</v>
      </c>
      <c r="D877" t="s">
        <v>22</v>
      </c>
      <c r="E877">
        <v>7.2</v>
      </c>
      <c r="F877">
        <v>6.6</v>
      </c>
      <c r="G877">
        <v>1</v>
      </c>
      <c r="H877" t="str">
        <f t="shared" si="13"/>
        <v>Night Usage</v>
      </c>
      <c r="I877">
        <v>8.1</v>
      </c>
      <c r="J877" s="3">
        <v>10</v>
      </c>
      <c r="K877">
        <v>6.3</v>
      </c>
      <c r="L877" t="s">
        <v>20</v>
      </c>
      <c r="M877">
        <v>9</v>
      </c>
      <c r="N877">
        <v>4</v>
      </c>
      <c r="O877">
        <v>0</v>
      </c>
      <c r="P877">
        <v>0</v>
      </c>
      <c r="Q877">
        <v>1</v>
      </c>
      <c r="R877">
        <v>1</v>
      </c>
      <c r="S877">
        <v>1</v>
      </c>
      <c r="T877" t="str">
        <f>IF(mental_health[Sleep_Hours]&lt;5,"Low",IF(mental_health[Sleep_Hours]&lt;7,"Medium","Good"))</f>
        <v>Good</v>
      </c>
      <c r="U877" t="str">
        <f>IF(mental_health[Stress_Level]&lt;=3,"Low",IF(mental_health[Stress_Level]&lt;=7,"Medium","High"))</f>
        <v>High</v>
      </c>
      <c r="V877" t="str">
        <f>IF(mental_health[Daily_Screen_Time]&lt;=4,"Low",IF(mental_health[Daily_Screen_Time]&lt;=8,"Medium","High"))</f>
        <v>Medium</v>
      </c>
    </row>
    <row r="878" spans="1:22" x14ac:dyDescent="0.3">
      <c r="A878">
        <v>877</v>
      </c>
      <c r="B878">
        <v>21</v>
      </c>
      <c r="C878" t="s">
        <v>18</v>
      </c>
      <c r="D878" t="s">
        <v>22</v>
      </c>
      <c r="E878">
        <v>6.4</v>
      </c>
      <c r="F878">
        <v>4.9000000000000004</v>
      </c>
      <c r="G878">
        <v>1</v>
      </c>
      <c r="H878" t="str">
        <f t="shared" si="13"/>
        <v>Night Usage</v>
      </c>
      <c r="I878">
        <v>5.6</v>
      </c>
      <c r="J878" s="3">
        <v>8</v>
      </c>
      <c r="K878">
        <v>8.4</v>
      </c>
      <c r="L878" t="s">
        <v>21</v>
      </c>
      <c r="M878">
        <v>6</v>
      </c>
      <c r="N878">
        <v>4</v>
      </c>
      <c r="O878">
        <v>1</v>
      </c>
      <c r="P878">
        <v>1</v>
      </c>
      <c r="Q878">
        <v>0</v>
      </c>
      <c r="R878">
        <v>0</v>
      </c>
      <c r="S878">
        <v>0</v>
      </c>
      <c r="T878" t="str">
        <f>IF(mental_health[Sleep_Hours]&lt;5,"Low",IF(mental_health[Sleep_Hours]&lt;7,"Medium","Good"))</f>
        <v>Medium</v>
      </c>
      <c r="U878" t="str">
        <f>IF(mental_health[Stress_Level]&lt;=3,"Low",IF(mental_health[Stress_Level]&lt;=7,"Medium","High"))</f>
        <v>High</v>
      </c>
      <c r="V878" t="str">
        <f>IF(mental_health[Daily_Screen_Time]&lt;=4,"Low",IF(mental_health[Daily_Screen_Time]&lt;=8,"Medium","High"))</f>
        <v>Medium</v>
      </c>
    </row>
    <row r="879" spans="1:22" x14ac:dyDescent="0.3">
      <c r="A879">
        <v>878</v>
      </c>
      <c r="B879">
        <v>21</v>
      </c>
      <c r="C879" t="s">
        <v>23</v>
      </c>
      <c r="D879" t="s">
        <v>19</v>
      </c>
      <c r="E879">
        <v>10.8</v>
      </c>
      <c r="F879">
        <v>6.2</v>
      </c>
      <c r="G879">
        <v>0</v>
      </c>
      <c r="H879" t="str">
        <f t="shared" si="13"/>
        <v>No Night Usage</v>
      </c>
      <c r="I879">
        <v>6.3</v>
      </c>
      <c r="J879" s="3">
        <v>8</v>
      </c>
      <c r="K879">
        <v>11.7</v>
      </c>
      <c r="L879" t="s">
        <v>25</v>
      </c>
      <c r="M879">
        <v>9</v>
      </c>
      <c r="N879">
        <v>2</v>
      </c>
      <c r="O879">
        <v>1</v>
      </c>
      <c r="P879">
        <v>0</v>
      </c>
      <c r="Q879">
        <v>1</v>
      </c>
      <c r="R879">
        <v>0</v>
      </c>
      <c r="S879">
        <v>1</v>
      </c>
      <c r="T879" t="str">
        <f>IF(mental_health[Sleep_Hours]&lt;5,"Low",IF(mental_health[Sleep_Hours]&lt;7,"Medium","Good"))</f>
        <v>Medium</v>
      </c>
      <c r="U879" t="str">
        <f>IF(mental_health[Stress_Level]&lt;=3,"Low",IF(mental_health[Stress_Level]&lt;=7,"Medium","High"))</f>
        <v>High</v>
      </c>
      <c r="V879" t="str">
        <f>IF(mental_health[Daily_Screen_Time]&lt;=4,"Low",IF(mental_health[Daily_Screen_Time]&lt;=8,"Medium","High"))</f>
        <v>High</v>
      </c>
    </row>
    <row r="880" spans="1:22" x14ac:dyDescent="0.3">
      <c r="A880">
        <v>879</v>
      </c>
      <c r="B880">
        <v>19</v>
      </c>
      <c r="C880" t="s">
        <v>18</v>
      </c>
      <c r="D880" t="s">
        <v>22</v>
      </c>
      <c r="E880">
        <v>7.1</v>
      </c>
      <c r="F880">
        <v>5.6</v>
      </c>
      <c r="G880">
        <v>1</v>
      </c>
      <c r="H880" t="str">
        <f t="shared" si="13"/>
        <v>Night Usage</v>
      </c>
      <c r="I880">
        <v>4.4000000000000004</v>
      </c>
      <c r="J880" s="3">
        <v>8</v>
      </c>
      <c r="K880">
        <v>3.4</v>
      </c>
      <c r="L880" t="s">
        <v>21</v>
      </c>
      <c r="M880">
        <v>1</v>
      </c>
      <c r="N880">
        <v>2</v>
      </c>
      <c r="O880">
        <v>1</v>
      </c>
      <c r="P880">
        <v>0</v>
      </c>
      <c r="Q880">
        <v>0</v>
      </c>
      <c r="R880">
        <v>1</v>
      </c>
      <c r="S880">
        <v>1</v>
      </c>
      <c r="T880" t="str">
        <f>IF(mental_health[Sleep_Hours]&lt;5,"Low",IF(mental_health[Sleep_Hours]&lt;7,"Medium","Good"))</f>
        <v>Low</v>
      </c>
      <c r="U880" t="str">
        <f>IF(mental_health[Stress_Level]&lt;=3,"Low",IF(mental_health[Stress_Level]&lt;=7,"Medium","High"))</f>
        <v>High</v>
      </c>
      <c r="V880" t="str">
        <f>IF(mental_health[Daily_Screen_Time]&lt;=4,"Low",IF(mental_health[Daily_Screen_Time]&lt;=8,"Medium","High"))</f>
        <v>Medium</v>
      </c>
    </row>
    <row r="881" spans="1:22" x14ac:dyDescent="0.3">
      <c r="A881">
        <v>880</v>
      </c>
      <c r="B881">
        <v>45</v>
      </c>
      <c r="C881" t="s">
        <v>23</v>
      </c>
      <c r="D881" t="s">
        <v>22</v>
      </c>
      <c r="E881">
        <v>7.1</v>
      </c>
      <c r="F881">
        <v>3.5</v>
      </c>
      <c r="G881">
        <v>0</v>
      </c>
      <c r="H881" t="str">
        <f t="shared" si="13"/>
        <v>No Night Usage</v>
      </c>
      <c r="I881">
        <v>7.5</v>
      </c>
      <c r="J881" s="3">
        <v>1</v>
      </c>
      <c r="K881">
        <v>6.2</v>
      </c>
      <c r="L881" t="s">
        <v>25</v>
      </c>
      <c r="M881">
        <v>4</v>
      </c>
      <c r="N881">
        <v>3</v>
      </c>
      <c r="O881">
        <v>1</v>
      </c>
      <c r="P881">
        <v>0</v>
      </c>
      <c r="Q881">
        <v>0</v>
      </c>
      <c r="R881">
        <v>0</v>
      </c>
      <c r="S881">
        <v>0</v>
      </c>
      <c r="T881" t="str">
        <f>IF(mental_health[Sleep_Hours]&lt;5,"Low",IF(mental_health[Sleep_Hours]&lt;7,"Medium","Good"))</f>
        <v>Good</v>
      </c>
      <c r="U881" t="str">
        <f>IF(mental_health[Stress_Level]&lt;=3,"Low",IF(mental_health[Stress_Level]&lt;=7,"Medium","High"))</f>
        <v>Low</v>
      </c>
      <c r="V881" t="str">
        <f>IF(mental_health[Daily_Screen_Time]&lt;=4,"Low",IF(mental_health[Daily_Screen_Time]&lt;=8,"Medium","High"))</f>
        <v>Medium</v>
      </c>
    </row>
    <row r="882" spans="1:22" x14ac:dyDescent="0.3">
      <c r="A882">
        <v>881</v>
      </c>
      <c r="B882">
        <v>26</v>
      </c>
      <c r="C882" t="s">
        <v>18</v>
      </c>
      <c r="D882" t="s">
        <v>24</v>
      </c>
      <c r="E882">
        <v>3.4</v>
      </c>
      <c r="F882">
        <v>6.7</v>
      </c>
      <c r="G882">
        <v>0</v>
      </c>
      <c r="H882" t="str">
        <f t="shared" si="13"/>
        <v>No Night Usage</v>
      </c>
      <c r="I882">
        <v>6.2</v>
      </c>
      <c r="J882" s="3">
        <v>1</v>
      </c>
      <c r="K882">
        <v>10.5</v>
      </c>
      <c r="L882" t="s">
        <v>25</v>
      </c>
      <c r="M882">
        <v>2</v>
      </c>
      <c r="N882">
        <v>4</v>
      </c>
      <c r="O882">
        <v>0</v>
      </c>
      <c r="P882">
        <v>1</v>
      </c>
      <c r="Q882">
        <v>0</v>
      </c>
      <c r="R882">
        <v>0</v>
      </c>
      <c r="S882">
        <v>0</v>
      </c>
      <c r="T882" t="str">
        <f>IF(mental_health[Sleep_Hours]&lt;5,"Low",IF(mental_health[Sleep_Hours]&lt;7,"Medium","Good"))</f>
        <v>Medium</v>
      </c>
      <c r="U882" t="str">
        <f>IF(mental_health[Stress_Level]&lt;=3,"Low",IF(mental_health[Stress_Level]&lt;=7,"Medium","High"))</f>
        <v>Low</v>
      </c>
      <c r="V882" t="str">
        <f>IF(mental_health[Daily_Screen_Time]&lt;=4,"Low",IF(mental_health[Daily_Screen_Time]&lt;=8,"Medium","High"))</f>
        <v>Low</v>
      </c>
    </row>
    <row r="883" spans="1:22" x14ac:dyDescent="0.3">
      <c r="A883">
        <v>882</v>
      </c>
      <c r="B883">
        <v>45</v>
      </c>
      <c r="C883" t="s">
        <v>23</v>
      </c>
      <c r="D883" t="s">
        <v>22</v>
      </c>
      <c r="E883">
        <v>11.8</v>
      </c>
      <c r="F883">
        <v>3.1</v>
      </c>
      <c r="G883">
        <v>1</v>
      </c>
      <c r="H883" t="str">
        <f t="shared" si="13"/>
        <v>Night Usage</v>
      </c>
      <c r="I883">
        <v>7.9</v>
      </c>
      <c r="J883" s="3">
        <v>10</v>
      </c>
      <c r="K883">
        <v>11.3</v>
      </c>
      <c r="L883" t="s">
        <v>25</v>
      </c>
      <c r="M883">
        <v>6</v>
      </c>
      <c r="N883">
        <v>1</v>
      </c>
      <c r="O883">
        <v>1</v>
      </c>
      <c r="P883">
        <v>1</v>
      </c>
      <c r="Q883">
        <v>1</v>
      </c>
      <c r="R883">
        <v>1</v>
      </c>
      <c r="S883">
        <v>1</v>
      </c>
      <c r="T883" t="str">
        <f>IF(mental_health[Sleep_Hours]&lt;5,"Low",IF(mental_health[Sleep_Hours]&lt;7,"Medium","Good"))</f>
        <v>Good</v>
      </c>
      <c r="U883" t="str">
        <f>IF(mental_health[Stress_Level]&lt;=3,"Low",IF(mental_health[Stress_Level]&lt;=7,"Medium","High"))</f>
        <v>High</v>
      </c>
      <c r="V883" t="str">
        <f>IF(mental_health[Daily_Screen_Time]&lt;=4,"Low",IF(mental_health[Daily_Screen_Time]&lt;=8,"Medium","High"))</f>
        <v>High</v>
      </c>
    </row>
    <row r="884" spans="1:22" x14ac:dyDescent="0.3">
      <c r="A884">
        <v>883</v>
      </c>
      <c r="B884">
        <v>46</v>
      </c>
      <c r="C884" t="s">
        <v>23</v>
      </c>
      <c r="D884" t="s">
        <v>24</v>
      </c>
      <c r="E884">
        <v>4.5</v>
      </c>
      <c r="F884">
        <v>5</v>
      </c>
      <c r="G884">
        <v>1</v>
      </c>
      <c r="H884" t="str">
        <f t="shared" si="13"/>
        <v>Night Usage</v>
      </c>
      <c r="I884">
        <v>7.7</v>
      </c>
      <c r="J884" s="3">
        <v>4</v>
      </c>
      <c r="K884">
        <v>8</v>
      </c>
      <c r="L884" t="s">
        <v>25</v>
      </c>
      <c r="M884">
        <v>4</v>
      </c>
      <c r="N884">
        <v>2</v>
      </c>
      <c r="O884">
        <v>1</v>
      </c>
      <c r="P884">
        <v>0</v>
      </c>
      <c r="Q884">
        <v>0</v>
      </c>
      <c r="R884">
        <v>1</v>
      </c>
      <c r="S884">
        <v>1</v>
      </c>
      <c r="T884" t="str">
        <f>IF(mental_health[Sleep_Hours]&lt;5,"Low",IF(mental_health[Sleep_Hours]&lt;7,"Medium","Good"))</f>
        <v>Good</v>
      </c>
      <c r="U884" t="str">
        <f>IF(mental_health[Stress_Level]&lt;=3,"Low",IF(mental_health[Stress_Level]&lt;=7,"Medium","High"))</f>
        <v>Medium</v>
      </c>
      <c r="V884" t="str">
        <f>IF(mental_health[Daily_Screen_Time]&lt;=4,"Low",IF(mental_health[Daily_Screen_Time]&lt;=8,"Medium","High"))</f>
        <v>Medium</v>
      </c>
    </row>
    <row r="885" spans="1:22" x14ac:dyDescent="0.3">
      <c r="A885">
        <v>884</v>
      </c>
      <c r="B885">
        <v>39</v>
      </c>
      <c r="C885" t="s">
        <v>18</v>
      </c>
      <c r="D885" t="s">
        <v>24</v>
      </c>
      <c r="E885">
        <v>2.7</v>
      </c>
      <c r="F885">
        <v>6.2</v>
      </c>
      <c r="G885">
        <v>0</v>
      </c>
      <c r="H885" t="str">
        <f t="shared" si="13"/>
        <v>No Night Usage</v>
      </c>
      <c r="I885">
        <v>4.3</v>
      </c>
      <c r="J885" s="3">
        <v>6</v>
      </c>
      <c r="K885">
        <v>3.4</v>
      </c>
      <c r="L885" t="s">
        <v>21</v>
      </c>
      <c r="M885">
        <v>9</v>
      </c>
      <c r="N885">
        <v>2</v>
      </c>
      <c r="O885">
        <v>1</v>
      </c>
      <c r="P885">
        <v>0</v>
      </c>
      <c r="Q885">
        <v>1</v>
      </c>
      <c r="R885">
        <v>1</v>
      </c>
      <c r="S885">
        <v>0</v>
      </c>
      <c r="T885" t="str">
        <f>IF(mental_health[Sleep_Hours]&lt;5,"Low",IF(mental_health[Sleep_Hours]&lt;7,"Medium","Good"))</f>
        <v>Low</v>
      </c>
      <c r="U885" t="str">
        <f>IF(mental_health[Stress_Level]&lt;=3,"Low",IF(mental_health[Stress_Level]&lt;=7,"Medium","High"))</f>
        <v>Medium</v>
      </c>
      <c r="V885" t="str">
        <f>IF(mental_health[Daily_Screen_Time]&lt;=4,"Low",IF(mental_health[Daily_Screen_Time]&lt;=8,"Medium","High"))</f>
        <v>Low</v>
      </c>
    </row>
    <row r="886" spans="1:22" x14ac:dyDescent="0.3">
      <c r="A886">
        <v>885</v>
      </c>
      <c r="B886">
        <v>24</v>
      </c>
      <c r="C886" t="s">
        <v>18</v>
      </c>
      <c r="D886" t="s">
        <v>22</v>
      </c>
      <c r="E886">
        <v>8.6</v>
      </c>
      <c r="F886">
        <v>3.7</v>
      </c>
      <c r="G886">
        <v>1</v>
      </c>
      <c r="H886" t="str">
        <f t="shared" si="13"/>
        <v>Night Usage</v>
      </c>
      <c r="I886">
        <v>7.3</v>
      </c>
      <c r="J886" s="3">
        <v>8</v>
      </c>
      <c r="K886">
        <v>11</v>
      </c>
      <c r="L886" t="s">
        <v>25</v>
      </c>
      <c r="M886">
        <v>3</v>
      </c>
      <c r="N886">
        <v>3</v>
      </c>
      <c r="O886">
        <v>0</v>
      </c>
      <c r="P886">
        <v>1</v>
      </c>
      <c r="Q886">
        <v>0</v>
      </c>
      <c r="R886">
        <v>1</v>
      </c>
      <c r="S886">
        <v>0</v>
      </c>
      <c r="T886" t="str">
        <f>IF(mental_health[Sleep_Hours]&lt;5,"Low",IF(mental_health[Sleep_Hours]&lt;7,"Medium","Good"))</f>
        <v>Good</v>
      </c>
      <c r="U886" t="str">
        <f>IF(mental_health[Stress_Level]&lt;=3,"Low",IF(mental_health[Stress_Level]&lt;=7,"Medium","High"))</f>
        <v>High</v>
      </c>
      <c r="V886" t="str">
        <f>IF(mental_health[Daily_Screen_Time]&lt;=4,"Low",IF(mental_health[Daily_Screen_Time]&lt;=8,"Medium","High"))</f>
        <v>High</v>
      </c>
    </row>
    <row r="887" spans="1:22" x14ac:dyDescent="0.3">
      <c r="A887">
        <v>886</v>
      </c>
      <c r="B887">
        <v>18</v>
      </c>
      <c r="C887" t="s">
        <v>23</v>
      </c>
      <c r="D887" t="s">
        <v>19</v>
      </c>
      <c r="E887">
        <v>8</v>
      </c>
      <c r="F887">
        <v>3.1</v>
      </c>
      <c r="G887">
        <v>1</v>
      </c>
      <c r="H887" t="str">
        <f t="shared" si="13"/>
        <v>Night Usage</v>
      </c>
      <c r="I887">
        <v>7.8</v>
      </c>
      <c r="J887" s="3">
        <v>2</v>
      </c>
      <c r="K887">
        <v>3.7</v>
      </c>
      <c r="L887" t="s">
        <v>20</v>
      </c>
      <c r="M887">
        <v>1</v>
      </c>
      <c r="N887">
        <v>3</v>
      </c>
      <c r="O887">
        <v>0</v>
      </c>
      <c r="P887">
        <v>1</v>
      </c>
      <c r="Q887">
        <v>0</v>
      </c>
      <c r="R887">
        <v>1</v>
      </c>
      <c r="S887">
        <v>0</v>
      </c>
      <c r="T887" t="str">
        <f>IF(mental_health[Sleep_Hours]&lt;5,"Low",IF(mental_health[Sleep_Hours]&lt;7,"Medium","Good"))</f>
        <v>Good</v>
      </c>
      <c r="U887" t="str">
        <f>IF(mental_health[Stress_Level]&lt;=3,"Low",IF(mental_health[Stress_Level]&lt;=7,"Medium","High"))</f>
        <v>Low</v>
      </c>
      <c r="V887" t="str">
        <f>IF(mental_health[Daily_Screen_Time]&lt;=4,"Low",IF(mental_health[Daily_Screen_Time]&lt;=8,"Medium","High"))</f>
        <v>Medium</v>
      </c>
    </row>
    <row r="888" spans="1:22" x14ac:dyDescent="0.3">
      <c r="A888">
        <v>887</v>
      </c>
      <c r="B888">
        <v>46</v>
      </c>
      <c r="C888" t="s">
        <v>23</v>
      </c>
      <c r="D888" t="s">
        <v>19</v>
      </c>
      <c r="E888">
        <v>6.2</v>
      </c>
      <c r="F888">
        <v>4.2</v>
      </c>
      <c r="G888">
        <v>0</v>
      </c>
      <c r="H888" t="str">
        <f t="shared" si="13"/>
        <v>No Night Usage</v>
      </c>
      <c r="I888">
        <v>5.0999999999999996</v>
      </c>
      <c r="J888" s="3">
        <v>3</v>
      </c>
      <c r="K888">
        <v>5.5</v>
      </c>
      <c r="L888" t="s">
        <v>20</v>
      </c>
      <c r="M888">
        <v>1</v>
      </c>
      <c r="N888">
        <v>3</v>
      </c>
      <c r="O888">
        <v>0</v>
      </c>
      <c r="P888">
        <v>1</v>
      </c>
      <c r="Q888">
        <v>0</v>
      </c>
      <c r="R888">
        <v>1</v>
      </c>
      <c r="S888">
        <v>1</v>
      </c>
      <c r="T888" t="str">
        <f>IF(mental_health[Sleep_Hours]&lt;5,"Low",IF(mental_health[Sleep_Hours]&lt;7,"Medium","Good"))</f>
        <v>Medium</v>
      </c>
      <c r="U888" t="str">
        <f>IF(mental_health[Stress_Level]&lt;=3,"Low",IF(mental_health[Stress_Level]&lt;=7,"Medium","High"))</f>
        <v>Low</v>
      </c>
      <c r="V888" t="str">
        <f>IF(mental_health[Daily_Screen_Time]&lt;=4,"Low",IF(mental_health[Daily_Screen_Time]&lt;=8,"Medium","High"))</f>
        <v>Medium</v>
      </c>
    </row>
    <row r="889" spans="1:22" x14ac:dyDescent="0.3">
      <c r="A889">
        <v>888</v>
      </c>
      <c r="B889">
        <v>55</v>
      </c>
      <c r="C889" t="s">
        <v>23</v>
      </c>
      <c r="D889" t="s">
        <v>22</v>
      </c>
      <c r="E889">
        <v>6.2</v>
      </c>
      <c r="F889">
        <v>6.7</v>
      </c>
      <c r="G889">
        <v>0</v>
      </c>
      <c r="H889" t="str">
        <f t="shared" si="13"/>
        <v>No Night Usage</v>
      </c>
      <c r="I889">
        <v>4</v>
      </c>
      <c r="J889" s="3">
        <v>6</v>
      </c>
      <c r="K889">
        <v>5.8</v>
      </c>
      <c r="L889" t="s">
        <v>25</v>
      </c>
      <c r="M889">
        <v>9</v>
      </c>
      <c r="N889">
        <v>0</v>
      </c>
      <c r="O889">
        <v>1</v>
      </c>
      <c r="P889">
        <v>1</v>
      </c>
      <c r="Q889">
        <v>1</v>
      </c>
      <c r="R889">
        <v>0</v>
      </c>
      <c r="S889">
        <v>0</v>
      </c>
      <c r="T889" t="str">
        <f>IF(mental_health[Sleep_Hours]&lt;5,"Low",IF(mental_health[Sleep_Hours]&lt;7,"Medium","Good"))</f>
        <v>Low</v>
      </c>
      <c r="U889" t="str">
        <f>IF(mental_health[Stress_Level]&lt;=3,"Low",IF(mental_health[Stress_Level]&lt;=7,"Medium","High"))</f>
        <v>Medium</v>
      </c>
      <c r="V889" t="str">
        <f>IF(mental_health[Daily_Screen_Time]&lt;=4,"Low",IF(mental_health[Daily_Screen_Time]&lt;=8,"Medium","High"))</f>
        <v>Medium</v>
      </c>
    </row>
    <row r="890" spans="1:22" x14ac:dyDescent="0.3">
      <c r="A890">
        <v>889</v>
      </c>
      <c r="B890">
        <v>52</v>
      </c>
      <c r="C890" t="s">
        <v>23</v>
      </c>
      <c r="D890" t="s">
        <v>19</v>
      </c>
      <c r="E890">
        <v>9.9</v>
      </c>
      <c r="F890">
        <v>7.5</v>
      </c>
      <c r="G890">
        <v>1</v>
      </c>
      <c r="H890" t="str">
        <f t="shared" si="13"/>
        <v>Night Usage</v>
      </c>
      <c r="I890">
        <v>3</v>
      </c>
      <c r="J890" s="3">
        <v>10</v>
      </c>
      <c r="K890">
        <v>6.5</v>
      </c>
      <c r="L890" t="s">
        <v>21</v>
      </c>
      <c r="M890">
        <v>9</v>
      </c>
      <c r="N890">
        <v>1</v>
      </c>
      <c r="O890">
        <v>0</v>
      </c>
      <c r="P890">
        <v>0</v>
      </c>
      <c r="Q890">
        <v>1</v>
      </c>
      <c r="R890">
        <v>0</v>
      </c>
      <c r="S890">
        <v>1</v>
      </c>
      <c r="T890" t="str">
        <f>IF(mental_health[Sleep_Hours]&lt;5,"Low",IF(mental_health[Sleep_Hours]&lt;7,"Medium","Good"))</f>
        <v>Low</v>
      </c>
      <c r="U890" t="str">
        <f>IF(mental_health[Stress_Level]&lt;=3,"Low",IF(mental_health[Stress_Level]&lt;=7,"Medium","High"))</f>
        <v>High</v>
      </c>
      <c r="V890" t="str">
        <f>IF(mental_health[Daily_Screen_Time]&lt;=4,"Low",IF(mental_health[Daily_Screen_Time]&lt;=8,"Medium","High"))</f>
        <v>High</v>
      </c>
    </row>
    <row r="891" spans="1:22" x14ac:dyDescent="0.3">
      <c r="A891">
        <v>890</v>
      </c>
      <c r="B891">
        <v>51</v>
      </c>
      <c r="C891" t="s">
        <v>23</v>
      </c>
      <c r="D891" t="s">
        <v>24</v>
      </c>
      <c r="E891">
        <v>4</v>
      </c>
      <c r="F891">
        <v>4.8</v>
      </c>
      <c r="G891">
        <v>1</v>
      </c>
      <c r="H891" t="str">
        <f t="shared" si="13"/>
        <v>Night Usage</v>
      </c>
      <c r="I891">
        <v>5.7</v>
      </c>
      <c r="J891" s="3">
        <v>4</v>
      </c>
      <c r="K891">
        <v>9.9</v>
      </c>
      <c r="L891" t="s">
        <v>21</v>
      </c>
      <c r="M891">
        <v>5</v>
      </c>
      <c r="N891">
        <v>0</v>
      </c>
      <c r="O891">
        <v>0</v>
      </c>
      <c r="P891">
        <v>1</v>
      </c>
      <c r="Q891">
        <v>0</v>
      </c>
      <c r="R891">
        <v>0</v>
      </c>
      <c r="S891">
        <v>0</v>
      </c>
      <c r="T891" t="str">
        <f>IF(mental_health[Sleep_Hours]&lt;5,"Low",IF(mental_health[Sleep_Hours]&lt;7,"Medium","Good"))</f>
        <v>Medium</v>
      </c>
      <c r="U891" t="str">
        <f>IF(mental_health[Stress_Level]&lt;=3,"Low",IF(mental_health[Stress_Level]&lt;=7,"Medium","High"))</f>
        <v>Medium</v>
      </c>
      <c r="V891" t="str">
        <f>IF(mental_health[Daily_Screen_Time]&lt;=4,"Low",IF(mental_health[Daily_Screen_Time]&lt;=8,"Medium","High"))</f>
        <v>Low</v>
      </c>
    </row>
    <row r="892" spans="1:22" x14ac:dyDescent="0.3">
      <c r="A892">
        <v>891</v>
      </c>
      <c r="B892">
        <v>39</v>
      </c>
      <c r="C892" t="s">
        <v>18</v>
      </c>
      <c r="D892" t="s">
        <v>24</v>
      </c>
      <c r="E892">
        <v>10.199999999999999</v>
      </c>
      <c r="F892">
        <v>5.6</v>
      </c>
      <c r="G892">
        <v>1</v>
      </c>
      <c r="H892" t="str">
        <f t="shared" si="13"/>
        <v>Night Usage</v>
      </c>
      <c r="I892">
        <v>5.0999999999999996</v>
      </c>
      <c r="J892" s="3">
        <v>2</v>
      </c>
      <c r="K892">
        <v>10</v>
      </c>
      <c r="L892" t="s">
        <v>25</v>
      </c>
      <c r="M892">
        <v>2</v>
      </c>
      <c r="N892">
        <v>2</v>
      </c>
      <c r="O892">
        <v>0</v>
      </c>
      <c r="P892">
        <v>0</v>
      </c>
      <c r="Q892">
        <v>0</v>
      </c>
      <c r="R892">
        <v>0</v>
      </c>
      <c r="S892">
        <v>1</v>
      </c>
      <c r="T892" t="str">
        <f>IF(mental_health[Sleep_Hours]&lt;5,"Low",IF(mental_health[Sleep_Hours]&lt;7,"Medium","Good"))</f>
        <v>Medium</v>
      </c>
      <c r="U892" t="str">
        <f>IF(mental_health[Stress_Level]&lt;=3,"Low",IF(mental_health[Stress_Level]&lt;=7,"Medium","High"))</f>
        <v>Low</v>
      </c>
      <c r="V892" t="str">
        <f>IF(mental_health[Daily_Screen_Time]&lt;=4,"Low",IF(mental_health[Daily_Screen_Time]&lt;=8,"Medium","High"))</f>
        <v>High</v>
      </c>
    </row>
    <row r="893" spans="1:22" x14ac:dyDescent="0.3">
      <c r="A893">
        <v>892</v>
      </c>
      <c r="B893">
        <v>46</v>
      </c>
      <c r="C893" t="s">
        <v>18</v>
      </c>
      <c r="D893" t="s">
        <v>22</v>
      </c>
      <c r="E893">
        <v>8.5</v>
      </c>
      <c r="F893">
        <v>7.3</v>
      </c>
      <c r="G893">
        <v>0</v>
      </c>
      <c r="H893" t="str">
        <f t="shared" si="13"/>
        <v>No Night Usage</v>
      </c>
      <c r="I893">
        <v>6.3</v>
      </c>
      <c r="J893" s="3">
        <v>7</v>
      </c>
      <c r="K893">
        <v>9.1999999999999993</v>
      </c>
      <c r="L893" t="s">
        <v>21</v>
      </c>
      <c r="M893">
        <v>9</v>
      </c>
      <c r="N893">
        <v>3</v>
      </c>
      <c r="O893">
        <v>0</v>
      </c>
      <c r="P893">
        <v>1</v>
      </c>
      <c r="Q893">
        <v>0</v>
      </c>
      <c r="R893">
        <v>0</v>
      </c>
      <c r="S893">
        <v>0</v>
      </c>
      <c r="T893" t="str">
        <f>IF(mental_health[Sleep_Hours]&lt;5,"Low",IF(mental_health[Sleep_Hours]&lt;7,"Medium","Good"))</f>
        <v>Medium</v>
      </c>
      <c r="U893" t="str">
        <f>IF(mental_health[Stress_Level]&lt;=3,"Low",IF(mental_health[Stress_Level]&lt;=7,"Medium","High"))</f>
        <v>Medium</v>
      </c>
      <c r="V893" t="str">
        <f>IF(mental_health[Daily_Screen_Time]&lt;=4,"Low",IF(mental_health[Daily_Screen_Time]&lt;=8,"Medium","High"))</f>
        <v>High</v>
      </c>
    </row>
    <row r="894" spans="1:22" x14ac:dyDescent="0.3">
      <c r="A894">
        <v>893</v>
      </c>
      <c r="B894">
        <v>21</v>
      </c>
      <c r="C894" t="s">
        <v>23</v>
      </c>
      <c r="D894" t="s">
        <v>19</v>
      </c>
      <c r="E894">
        <v>6.2</v>
      </c>
      <c r="F894">
        <v>1.7</v>
      </c>
      <c r="G894">
        <v>1</v>
      </c>
      <c r="H894" t="str">
        <f t="shared" si="13"/>
        <v>Night Usage</v>
      </c>
      <c r="I894">
        <v>4.0999999999999996</v>
      </c>
      <c r="J894" s="3">
        <v>4</v>
      </c>
      <c r="K894">
        <v>2.2000000000000002</v>
      </c>
      <c r="L894" t="s">
        <v>21</v>
      </c>
      <c r="M894">
        <v>8</v>
      </c>
      <c r="N894">
        <v>3</v>
      </c>
      <c r="O894">
        <v>0</v>
      </c>
      <c r="P894">
        <v>0</v>
      </c>
      <c r="Q894">
        <v>1</v>
      </c>
      <c r="R894">
        <v>0</v>
      </c>
      <c r="S894">
        <v>1</v>
      </c>
      <c r="T894" t="str">
        <f>IF(mental_health[Sleep_Hours]&lt;5,"Low",IF(mental_health[Sleep_Hours]&lt;7,"Medium","Good"))</f>
        <v>Low</v>
      </c>
      <c r="U894" t="str">
        <f>IF(mental_health[Stress_Level]&lt;=3,"Low",IF(mental_health[Stress_Level]&lt;=7,"Medium","High"))</f>
        <v>Medium</v>
      </c>
      <c r="V894" t="str">
        <f>IF(mental_health[Daily_Screen_Time]&lt;=4,"Low",IF(mental_health[Daily_Screen_Time]&lt;=8,"Medium","High"))</f>
        <v>Medium</v>
      </c>
    </row>
    <row r="895" spans="1:22" x14ac:dyDescent="0.3">
      <c r="A895">
        <v>894</v>
      </c>
      <c r="B895">
        <v>17</v>
      </c>
      <c r="C895" t="s">
        <v>18</v>
      </c>
      <c r="D895" t="s">
        <v>19</v>
      </c>
      <c r="E895">
        <v>6.6</v>
      </c>
      <c r="F895">
        <v>2.6</v>
      </c>
      <c r="G895">
        <v>0</v>
      </c>
      <c r="H895" t="str">
        <f t="shared" si="13"/>
        <v>No Night Usage</v>
      </c>
      <c r="I895">
        <v>8.1999999999999993</v>
      </c>
      <c r="J895" s="3">
        <v>8</v>
      </c>
      <c r="K895">
        <v>7.6</v>
      </c>
      <c r="L895" t="s">
        <v>21</v>
      </c>
      <c r="M895">
        <v>10</v>
      </c>
      <c r="N895">
        <v>3</v>
      </c>
      <c r="O895">
        <v>0</v>
      </c>
      <c r="P895">
        <v>1</v>
      </c>
      <c r="Q895">
        <v>1</v>
      </c>
      <c r="R895">
        <v>0</v>
      </c>
      <c r="S895">
        <v>1</v>
      </c>
      <c r="T895" t="str">
        <f>IF(mental_health[Sleep_Hours]&lt;5,"Low",IF(mental_health[Sleep_Hours]&lt;7,"Medium","Good"))</f>
        <v>Good</v>
      </c>
      <c r="U895" t="str">
        <f>IF(mental_health[Stress_Level]&lt;=3,"Low",IF(mental_health[Stress_Level]&lt;=7,"Medium","High"))</f>
        <v>High</v>
      </c>
      <c r="V895" t="str">
        <f>IF(mental_health[Daily_Screen_Time]&lt;=4,"Low",IF(mental_health[Daily_Screen_Time]&lt;=8,"Medium","High"))</f>
        <v>Medium</v>
      </c>
    </row>
    <row r="896" spans="1:22" x14ac:dyDescent="0.3">
      <c r="A896">
        <v>895</v>
      </c>
      <c r="B896">
        <v>35</v>
      </c>
      <c r="C896" t="s">
        <v>18</v>
      </c>
      <c r="D896" t="s">
        <v>24</v>
      </c>
      <c r="E896">
        <v>4.5999999999999996</v>
      </c>
      <c r="F896">
        <v>6</v>
      </c>
      <c r="G896">
        <v>0</v>
      </c>
      <c r="H896" t="str">
        <f t="shared" si="13"/>
        <v>No Night Usage</v>
      </c>
      <c r="I896">
        <v>4.5</v>
      </c>
      <c r="J896" s="3">
        <v>8</v>
      </c>
      <c r="K896">
        <v>9.5</v>
      </c>
      <c r="L896" t="s">
        <v>25</v>
      </c>
      <c r="M896">
        <v>10</v>
      </c>
      <c r="N896">
        <v>4</v>
      </c>
      <c r="O896">
        <v>1</v>
      </c>
      <c r="P896">
        <v>1</v>
      </c>
      <c r="Q896">
        <v>0</v>
      </c>
      <c r="R896">
        <v>1</v>
      </c>
      <c r="S896">
        <v>1</v>
      </c>
      <c r="T896" t="str">
        <f>IF(mental_health[Sleep_Hours]&lt;5,"Low",IF(mental_health[Sleep_Hours]&lt;7,"Medium","Good"))</f>
        <v>Low</v>
      </c>
      <c r="U896" t="str">
        <f>IF(mental_health[Stress_Level]&lt;=3,"Low",IF(mental_health[Stress_Level]&lt;=7,"Medium","High"))</f>
        <v>High</v>
      </c>
      <c r="V896" t="str">
        <f>IF(mental_health[Daily_Screen_Time]&lt;=4,"Low",IF(mental_health[Daily_Screen_Time]&lt;=8,"Medium","High"))</f>
        <v>Medium</v>
      </c>
    </row>
    <row r="897" spans="1:22" x14ac:dyDescent="0.3">
      <c r="A897">
        <v>896</v>
      </c>
      <c r="B897">
        <v>43</v>
      </c>
      <c r="C897" t="s">
        <v>18</v>
      </c>
      <c r="D897" t="s">
        <v>22</v>
      </c>
      <c r="E897">
        <v>9.5</v>
      </c>
      <c r="F897">
        <v>6.8</v>
      </c>
      <c r="G897">
        <v>1</v>
      </c>
      <c r="H897" t="str">
        <f t="shared" si="13"/>
        <v>Night Usage</v>
      </c>
      <c r="I897">
        <v>4.4000000000000004</v>
      </c>
      <c r="J897" s="3">
        <v>7</v>
      </c>
      <c r="K897">
        <v>6.4</v>
      </c>
      <c r="L897" t="s">
        <v>20</v>
      </c>
      <c r="M897">
        <v>6</v>
      </c>
      <c r="N897">
        <v>1</v>
      </c>
      <c r="O897">
        <v>1</v>
      </c>
      <c r="P897">
        <v>1</v>
      </c>
      <c r="Q897">
        <v>0</v>
      </c>
      <c r="R897">
        <v>1</v>
      </c>
      <c r="S897">
        <v>1</v>
      </c>
      <c r="T897" t="str">
        <f>IF(mental_health[Sleep_Hours]&lt;5,"Low",IF(mental_health[Sleep_Hours]&lt;7,"Medium","Good"))</f>
        <v>Low</v>
      </c>
      <c r="U897" t="str">
        <f>IF(mental_health[Stress_Level]&lt;=3,"Low",IF(mental_health[Stress_Level]&lt;=7,"Medium","High"))</f>
        <v>Medium</v>
      </c>
      <c r="V897" t="str">
        <f>IF(mental_health[Daily_Screen_Time]&lt;=4,"Low",IF(mental_health[Daily_Screen_Time]&lt;=8,"Medium","High"))</f>
        <v>High</v>
      </c>
    </row>
    <row r="898" spans="1:22" x14ac:dyDescent="0.3">
      <c r="A898">
        <v>897</v>
      </c>
      <c r="B898">
        <v>26</v>
      </c>
      <c r="C898" t="s">
        <v>23</v>
      </c>
      <c r="D898" t="s">
        <v>19</v>
      </c>
      <c r="E898">
        <v>7.1</v>
      </c>
      <c r="F898">
        <v>7</v>
      </c>
      <c r="G898">
        <v>0</v>
      </c>
      <c r="H898" t="str">
        <f t="shared" ref="H898:H961" si="14">IF(G898=1,"Night Usage","No Night Usage")</f>
        <v>No Night Usage</v>
      </c>
      <c r="I898">
        <v>5.9</v>
      </c>
      <c r="J898" s="3">
        <v>10</v>
      </c>
      <c r="K898">
        <v>11.4</v>
      </c>
      <c r="L898" t="s">
        <v>20</v>
      </c>
      <c r="M898">
        <v>7</v>
      </c>
      <c r="N898">
        <v>0</v>
      </c>
      <c r="O898">
        <v>0</v>
      </c>
      <c r="P898">
        <v>0</v>
      </c>
      <c r="Q898">
        <v>1</v>
      </c>
      <c r="R898">
        <v>1</v>
      </c>
      <c r="S898">
        <v>1</v>
      </c>
      <c r="T898" t="str">
        <f>IF(mental_health[Sleep_Hours]&lt;5,"Low",IF(mental_health[Sleep_Hours]&lt;7,"Medium","Good"))</f>
        <v>Medium</v>
      </c>
      <c r="U898" t="str">
        <f>IF(mental_health[Stress_Level]&lt;=3,"Low",IF(mental_health[Stress_Level]&lt;=7,"Medium","High"))</f>
        <v>High</v>
      </c>
      <c r="V898" t="str">
        <f>IF(mental_health[Daily_Screen_Time]&lt;=4,"Low",IF(mental_health[Daily_Screen_Time]&lt;=8,"Medium","High"))</f>
        <v>Medium</v>
      </c>
    </row>
    <row r="899" spans="1:22" x14ac:dyDescent="0.3">
      <c r="A899">
        <v>898</v>
      </c>
      <c r="B899">
        <v>19</v>
      </c>
      <c r="C899" t="s">
        <v>18</v>
      </c>
      <c r="D899" t="s">
        <v>22</v>
      </c>
      <c r="E899">
        <v>5.2</v>
      </c>
      <c r="F899">
        <v>3.9</v>
      </c>
      <c r="G899">
        <v>1</v>
      </c>
      <c r="H899" t="str">
        <f t="shared" si="14"/>
        <v>Night Usage</v>
      </c>
      <c r="I899">
        <v>6</v>
      </c>
      <c r="J899" s="3">
        <v>9</v>
      </c>
      <c r="K899">
        <v>10.199999999999999</v>
      </c>
      <c r="L899" t="s">
        <v>20</v>
      </c>
      <c r="M899">
        <v>6</v>
      </c>
      <c r="N899">
        <v>1</v>
      </c>
      <c r="O899">
        <v>1</v>
      </c>
      <c r="P899">
        <v>0</v>
      </c>
      <c r="Q899">
        <v>0</v>
      </c>
      <c r="R899">
        <v>1</v>
      </c>
      <c r="S899">
        <v>1</v>
      </c>
      <c r="T899" t="str">
        <f>IF(mental_health[Sleep_Hours]&lt;5,"Low",IF(mental_health[Sleep_Hours]&lt;7,"Medium","Good"))</f>
        <v>Medium</v>
      </c>
      <c r="U899" t="str">
        <f>IF(mental_health[Stress_Level]&lt;=3,"Low",IF(mental_health[Stress_Level]&lt;=7,"Medium","High"))</f>
        <v>High</v>
      </c>
      <c r="V899" t="str">
        <f>IF(mental_health[Daily_Screen_Time]&lt;=4,"Low",IF(mental_health[Daily_Screen_Time]&lt;=8,"Medium","High"))</f>
        <v>Medium</v>
      </c>
    </row>
    <row r="900" spans="1:22" x14ac:dyDescent="0.3">
      <c r="A900">
        <v>899</v>
      </c>
      <c r="B900">
        <v>30</v>
      </c>
      <c r="C900" t="s">
        <v>23</v>
      </c>
      <c r="D900" t="s">
        <v>19</v>
      </c>
      <c r="E900">
        <v>8</v>
      </c>
      <c r="F900">
        <v>1.6</v>
      </c>
      <c r="G900">
        <v>1</v>
      </c>
      <c r="H900" t="str">
        <f t="shared" si="14"/>
        <v>Night Usage</v>
      </c>
      <c r="I900">
        <v>4.3</v>
      </c>
      <c r="J900" s="3">
        <v>4</v>
      </c>
      <c r="K900">
        <v>8.4</v>
      </c>
      <c r="L900" t="s">
        <v>20</v>
      </c>
      <c r="M900">
        <v>5</v>
      </c>
      <c r="N900">
        <v>3</v>
      </c>
      <c r="O900">
        <v>0</v>
      </c>
      <c r="P900">
        <v>0</v>
      </c>
      <c r="Q900">
        <v>0</v>
      </c>
      <c r="R900">
        <v>0</v>
      </c>
      <c r="S900">
        <v>0</v>
      </c>
      <c r="T900" t="str">
        <f>IF(mental_health[Sleep_Hours]&lt;5,"Low",IF(mental_health[Sleep_Hours]&lt;7,"Medium","Good"))</f>
        <v>Low</v>
      </c>
      <c r="U900" t="str">
        <f>IF(mental_health[Stress_Level]&lt;=3,"Low",IF(mental_health[Stress_Level]&lt;=7,"Medium","High"))</f>
        <v>Medium</v>
      </c>
      <c r="V900" t="str">
        <f>IF(mental_health[Daily_Screen_Time]&lt;=4,"Low",IF(mental_health[Daily_Screen_Time]&lt;=8,"Medium","High"))</f>
        <v>Medium</v>
      </c>
    </row>
    <row r="901" spans="1:22" x14ac:dyDescent="0.3">
      <c r="A901">
        <v>900</v>
      </c>
      <c r="B901">
        <v>21</v>
      </c>
      <c r="C901" t="s">
        <v>18</v>
      </c>
      <c r="D901" t="s">
        <v>24</v>
      </c>
      <c r="E901">
        <v>12</v>
      </c>
      <c r="F901">
        <v>4.0999999999999996</v>
      </c>
      <c r="G901">
        <v>0</v>
      </c>
      <c r="H901" t="str">
        <f t="shared" si="14"/>
        <v>No Night Usage</v>
      </c>
      <c r="I901">
        <v>4.5999999999999996</v>
      </c>
      <c r="J901" s="3">
        <v>7</v>
      </c>
      <c r="K901">
        <v>2.6</v>
      </c>
      <c r="L901" t="s">
        <v>20</v>
      </c>
      <c r="M901">
        <v>4</v>
      </c>
      <c r="N901">
        <v>2</v>
      </c>
      <c r="O901">
        <v>1</v>
      </c>
      <c r="P901">
        <v>0</v>
      </c>
      <c r="Q901">
        <v>0</v>
      </c>
      <c r="R901">
        <v>1</v>
      </c>
      <c r="S901">
        <v>1</v>
      </c>
      <c r="T901" t="str">
        <f>IF(mental_health[Sleep_Hours]&lt;5,"Low",IF(mental_health[Sleep_Hours]&lt;7,"Medium","Good"))</f>
        <v>Low</v>
      </c>
      <c r="U901" t="str">
        <f>IF(mental_health[Stress_Level]&lt;=3,"Low",IF(mental_health[Stress_Level]&lt;=7,"Medium","High"))</f>
        <v>Medium</v>
      </c>
      <c r="V901" t="str">
        <f>IF(mental_health[Daily_Screen_Time]&lt;=4,"Low",IF(mental_health[Daily_Screen_Time]&lt;=8,"Medium","High"))</f>
        <v>High</v>
      </c>
    </row>
    <row r="902" spans="1:22" x14ac:dyDescent="0.3">
      <c r="A902">
        <v>901</v>
      </c>
      <c r="B902">
        <v>45</v>
      </c>
      <c r="C902" t="s">
        <v>23</v>
      </c>
      <c r="D902" t="s">
        <v>24</v>
      </c>
      <c r="E902">
        <v>6.4</v>
      </c>
      <c r="F902">
        <v>2.6</v>
      </c>
      <c r="G902">
        <v>1</v>
      </c>
      <c r="H902" t="str">
        <f t="shared" si="14"/>
        <v>Night Usage</v>
      </c>
      <c r="I902">
        <v>4</v>
      </c>
      <c r="J902" s="3">
        <v>10</v>
      </c>
      <c r="K902">
        <v>8.5</v>
      </c>
      <c r="L902" t="s">
        <v>21</v>
      </c>
      <c r="M902">
        <v>7</v>
      </c>
      <c r="N902">
        <v>4</v>
      </c>
      <c r="O902">
        <v>0</v>
      </c>
      <c r="P902">
        <v>1</v>
      </c>
      <c r="Q902">
        <v>1</v>
      </c>
      <c r="R902">
        <v>1</v>
      </c>
      <c r="S902">
        <v>1</v>
      </c>
      <c r="T902" t="str">
        <f>IF(mental_health[Sleep_Hours]&lt;5,"Low",IF(mental_health[Sleep_Hours]&lt;7,"Medium","Good"))</f>
        <v>Low</v>
      </c>
      <c r="U902" t="str">
        <f>IF(mental_health[Stress_Level]&lt;=3,"Low",IF(mental_health[Stress_Level]&lt;=7,"Medium","High"))</f>
        <v>High</v>
      </c>
      <c r="V902" t="str">
        <f>IF(mental_health[Daily_Screen_Time]&lt;=4,"Low",IF(mental_health[Daily_Screen_Time]&lt;=8,"Medium","High"))</f>
        <v>Medium</v>
      </c>
    </row>
    <row r="903" spans="1:22" x14ac:dyDescent="0.3">
      <c r="A903">
        <v>902</v>
      </c>
      <c r="B903">
        <v>53</v>
      </c>
      <c r="C903" t="s">
        <v>18</v>
      </c>
      <c r="D903" t="s">
        <v>22</v>
      </c>
      <c r="E903">
        <v>11.2</v>
      </c>
      <c r="F903">
        <v>3</v>
      </c>
      <c r="G903">
        <v>0</v>
      </c>
      <c r="H903" t="str">
        <f t="shared" si="14"/>
        <v>No Night Usage</v>
      </c>
      <c r="I903">
        <v>7.3</v>
      </c>
      <c r="J903" s="3">
        <v>10</v>
      </c>
      <c r="K903">
        <v>11.1</v>
      </c>
      <c r="L903" t="s">
        <v>21</v>
      </c>
      <c r="M903">
        <v>4</v>
      </c>
      <c r="N903">
        <v>1</v>
      </c>
      <c r="O903">
        <v>1</v>
      </c>
      <c r="P903">
        <v>1</v>
      </c>
      <c r="Q903">
        <v>0</v>
      </c>
      <c r="R903">
        <v>1</v>
      </c>
      <c r="S903">
        <v>1</v>
      </c>
      <c r="T903" t="str">
        <f>IF(mental_health[Sleep_Hours]&lt;5,"Low",IF(mental_health[Sleep_Hours]&lt;7,"Medium","Good"))</f>
        <v>Good</v>
      </c>
      <c r="U903" t="str">
        <f>IF(mental_health[Stress_Level]&lt;=3,"Low",IF(mental_health[Stress_Level]&lt;=7,"Medium","High"))</f>
        <v>High</v>
      </c>
      <c r="V903" t="str">
        <f>IF(mental_health[Daily_Screen_Time]&lt;=4,"Low",IF(mental_health[Daily_Screen_Time]&lt;=8,"Medium","High"))</f>
        <v>High</v>
      </c>
    </row>
    <row r="904" spans="1:22" x14ac:dyDescent="0.3">
      <c r="A904">
        <v>903</v>
      </c>
      <c r="B904">
        <v>17</v>
      </c>
      <c r="C904" t="s">
        <v>23</v>
      </c>
      <c r="D904" t="s">
        <v>24</v>
      </c>
      <c r="E904">
        <v>5.5</v>
      </c>
      <c r="F904">
        <v>6.4</v>
      </c>
      <c r="G904">
        <v>0</v>
      </c>
      <c r="H904" t="str">
        <f t="shared" si="14"/>
        <v>No Night Usage</v>
      </c>
      <c r="I904">
        <v>7.6</v>
      </c>
      <c r="J904" s="3">
        <v>1</v>
      </c>
      <c r="K904">
        <v>5.8</v>
      </c>
      <c r="L904" t="s">
        <v>21</v>
      </c>
      <c r="M904">
        <v>10</v>
      </c>
      <c r="N904">
        <v>2</v>
      </c>
      <c r="O904">
        <v>0</v>
      </c>
      <c r="P904">
        <v>1</v>
      </c>
      <c r="Q904">
        <v>0</v>
      </c>
      <c r="R904">
        <v>0</v>
      </c>
      <c r="S904">
        <v>0</v>
      </c>
      <c r="T904" t="str">
        <f>IF(mental_health[Sleep_Hours]&lt;5,"Low",IF(mental_health[Sleep_Hours]&lt;7,"Medium","Good"))</f>
        <v>Good</v>
      </c>
      <c r="U904" t="str">
        <f>IF(mental_health[Stress_Level]&lt;=3,"Low",IF(mental_health[Stress_Level]&lt;=7,"Medium","High"))</f>
        <v>Low</v>
      </c>
      <c r="V904" t="str">
        <f>IF(mental_health[Daily_Screen_Time]&lt;=4,"Low",IF(mental_health[Daily_Screen_Time]&lt;=8,"Medium","High"))</f>
        <v>Medium</v>
      </c>
    </row>
    <row r="905" spans="1:22" x14ac:dyDescent="0.3">
      <c r="A905">
        <v>904</v>
      </c>
      <c r="B905">
        <v>30</v>
      </c>
      <c r="C905" t="s">
        <v>23</v>
      </c>
      <c r="D905" t="s">
        <v>19</v>
      </c>
      <c r="E905">
        <v>2.5</v>
      </c>
      <c r="F905">
        <v>1.5</v>
      </c>
      <c r="G905">
        <v>1</v>
      </c>
      <c r="H905" t="str">
        <f t="shared" si="14"/>
        <v>Night Usage</v>
      </c>
      <c r="I905">
        <v>5.8</v>
      </c>
      <c r="J905" s="3">
        <v>4</v>
      </c>
      <c r="K905">
        <v>10.4</v>
      </c>
      <c r="L905" t="s">
        <v>25</v>
      </c>
      <c r="M905">
        <v>10</v>
      </c>
      <c r="N905">
        <v>3</v>
      </c>
      <c r="O905">
        <v>0</v>
      </c>
      <c r="P905">
        <v>0</v>
      </c>
      <c r="Q905">
        <v>0</v>
      </c>
      <c r="R905">
        <v>0</v>
      </c>
      <c r="S905">
        <v>1</v>
      </c>
      <c r="T905" t="str">
        <f>IF(mental_health[Sleep_Hours]&lt;5,"Low",IF(mental_health[Sleep_Hours]&lt;7,"Medium","Good"))</f>
        <v>Medium</v>
      </c>
      <c r="U905" t="str">
        <f>IF(mental_health[Stress_Level]&lt;=3,"Low",IF(mental_health[Stress_Level]&lt;=7,"Medium","High"))</f>
        <v>Medium</v>
      </c>
      <c r="V905" t="str">
        <f>IF(mental_health[Daily_Screen_Time]&lt;=4,"Low",IF(mental_health[Daily_Screen_Time]&lt;=8,"Medium","High"))</f>
        <v>Low</v>
      </c>
    </row>
    <row r="906" spans="1:22" x14ac:dyDescent="0.3">
      <c r="A906">
        <v>905</v>
      </c>
      <c r="B906">
        <v>26</v>
      </c>
      <c r="C906" t="s">
        <v>18</v>
      </c>
      <c r="D906" t="s">
        <v>24</v>
      </c>
      <c r="E906">
        <v>4</v>
      </c>
      <c r="F906">
        <v>6.8</v>
      </c>
      <c r="G906">
        <v>1</v>
      </c>
      <c r="H906" t="str">
        <f t="shared" si="14"/>
        <v>Night Usage</v>
      </c>
      <c r="I906">
        <v>7.3</v>
      </c>
      <c r="J906" s="3">
        <v>2</v>
      </c>
      <c r="K906">
        <v>5.0999999999999996</v>
      </c>
      <c r="L906" t="s">
        <v>21</v>
      </c>
      <c r="M906">
        <v>10</v>
      </c>
      <c r="N906">
        <v>3</v>
      </c>
      <c r="O906">
        <v>1</v>
      </c>
      <c r="P906">
        <v>1</v>
      </c>
      <c r="Q906">
        <v>0</v>
      </c>
      <c r="R906">
        <v>0</v>
      </c>
      <c r="S906">
        <v>0</v>
      </c>
      <c r="T906" t="str">
        <f>IF(mental_health[Sleep_Hours]&lt;5,"Low",IF(mental_health[Sleep_Hours]&lt;7,"Medium","Good"))</f>
        <v>Good</v>
      </c>
      <c r="U906" t="str">
        <f>IF(mental_health[Stress_Level]&lt;=3,"Low",IF(mental_health[Stress_Level]&lt;=7,"Medium","High"))</f>
        <v>Low</v>
      </c>
      <c r="V906" t="str">
        <f>IF(mental_health[Daily_Screen_Time]&lt;=4,"Low",IF(mental_health[Daily_Screen_Time]&lt;=8,"Medium","High"))</f>
        <v>Low</v>
      </c>
    </row>
    <row r="907" spans="1:22" x14ac:dyDescent="0.3">
      <c r="A907">
        <v>906</v>
      </c>
      <c r="B907">
        <v>23</v>
      </c>
      <c r="C907" t="s">
        <v>23</v>
      </c>
      <c r="D907" t="s">
        <v>22</v>
      </c>
      <c r="E907">
        <v>6.2</v>
      </c>
      <c r="F907">
        <v>4</v>
      </c>
      <c r="G907">
        <v>1</v>
      </c>
      <c r="H907" t="str">
        <f t="shared" si="14"/>
        <v>Night Usage</v>
      </c>
      <c r="I907">
        <v>7.4</v>
      </c>
      <c r="J907" s="3">
        <v>9</v>
      </c>
      <c r="K907">
        <v>7.7</v>
      </c>
      <c r="L907" t="s">
        <v>20</v>
      </c>
      <c r="M907">
        <v>9</v>
      </c>
      <c r="N907">
        <v>3</v>
      </c>
      <c r="O907">
        <v>0</v>
      </c>
      <c r="P907">
        <v>1</v>
      </c>
      <c r="Q907">
        <v>0</v>
      </c>
      <c r="R907">
        <v>1</v>
      </c>
      <c r="S907">
        <v>1</v>
      </c>
      <c r="T907" t="str">
        <f>IF(mental_health[Sleep_Hours]&lt;5,"Low",IF(mental_health[Sleep_Hours]&lt;7,"Medium","Good"))</f>
        <v>Good</v>
      </c>
      <c r="U907" t="str">
        <f>IF(mental_health[Stress_Level]&lt;=3,"Low",IF(mental_health[Stress_Level]&lt;=7,"Medium","High"))</f>
        <v>High</v>
      </c>
      <c r="V907" t="str">
        <f>IF(mental_health[Daily_Screen_Time]&lt;=4,"Low",IF(mental_health[Daily_Screen_Time]&lt;=8,"Medium","High"))</f>
        <v>Medium</v>
      </c>
    </row>
    <row r="908" spans="1:22" x14ac:dyDescent="0.3">
      <c r="A908">
        <v>907</v>
      </c>
      <c r="B908">
        <v>41</v>
      </c>
      <c r="C908" t="s">
        <v>23</v>
      </c>
      <c r="D908" t="s">
        <v>22</v>
      </c>
      <c r="E908">
        <v>4.2</v>
      </c>
      <c r="F908">
        <v>5.2</v>
      </c>
      <c r="G908">
        <v>1</v>
      </c>
      <c r="H908" t="str">
        <f t="shared" si="14"/>
        <v>Night Usage</v>
      </c>
      <c r="I908">
        <v>3.8</v>
      </c>
      <c r="J908" s="3">
        <v>5</v>
      </c>
      <c r="K908">
        <v>8.5</v>
      </c>
      <c r="L908" t="s">
        <v>21</v>
      </c>
      <c r="M908">
        <v>5</v>
      </c>
      <c r="N908">
        <v>3</v>
      </c>
      <c r="O908">
        <v>1</v>
      </c>
      <c r="P908">
        <v>1</v>
      </c>
      <c r="Q908">
        <v>0</v>
      </c>
      <c r="R908">
        <v>0</v>
      </c>
      <c r="S908">
        <v>1</v>
      </c>
      <c r="T908" t="str">
        <f>IF(mental_health[Sleep_Hours]&lt;5,"Low",IF(mental_health[Sleep_Hours]&lt;7,"Medium","Good"))</f>
        <v>Low</v>
      </c>
      <c r="U908" t="str">
        <f>IF(mental_health[Stress_Level]&lt;=3,"Low",IF(mental_health[Stress_Level]&lt;=7,"Medium","High"))</f>
        <v>Medium</v>
      </c>
      <c r="V908" t="str">
        <f>IF(mental_health[Daily_Screen_Time]&lt;=4,"Low",IF(mental_health[Daily_Screen_Time]&lt;=8,"Medium","High"))</f>
        <v>Medium</v>
      </c>
    </row>
    <row r="909" spans="1:22" x14ac:dyDescent="0.3">
      <c r="A909">
        <v>908</v>
      </c>
      <c r="B909">
        <v>59</v>
      </c>
      <c r="C909" t="s">
        <v>23</v>
      </c>
      <c r="D909" t="s">
        <v>22</v>
      </c>
      <c r="E909">
        <v>2</v>
      </c>
      <c r="F909">
        <v>1.6</v>
      </c>
      <c r="G909">
        <v>0</v>
      </c>
      <c r="H909" t="str">
        <f t="shared" si="14"/>
        <v>No Night Usage</v>
      </c>
      <c r="I909">
        <v>8.8000000000000007</v>
      </c>
      <c r="J909" s="3">
        <v>3</v>
      </c>
      <c r="K909">
        <v>8.8000000000000007</v>
      </c>
      <c r="L909" t="s">
        <v>20</v>
      </c>
      <c r="M909">
        <v>8</v>
      </c>
      <c r="N909">
        <v>4</v>
      </c>
      <c r="O909">
        <v>0</v>
      </c>
      <c r="P909">
        <v>0</v>
      </c>
      <c r="Q909">
        <v>0</v>
      </c>
      <c r="R909">
        <v>0</v>
      </c>
      <c r="S909">
        <v>0</v>
      </c>
      <c r="T909" t="str">
        <f>IF(mental_health[Sleep_Hours]&lt;5,"Low",IF(mental_health[Sleep_Hours]&lt;7,"Medium","Good"))</f>
        <v>Good</v>
      </c>
      <c r="U909" t="str">
        <f>IF(mental_health[Stress_Level]&lt;=3,"Low",IF(mental_health[Stress_Level]&lt;=7,"Medium","High"))</f>
        <v>Low</v>
      </c>
      <c r="V909" t="str">
        <f>IF(mental_health[Daily_Screen_Time]&lt;=4,"Low",IF(mental_health[Daily_Screen_Time]&lt;=8,"Medium","High"))</f>
        <v>Low</v>
      </c>
    </row>
    <row r="910" spans="1:22" x14ac:dyDescent="0.3">
      <c r="A910">
        <v>909</v>
      </c>
      <c r="B910">
        <v>20</v>
      </c>
      <c r="C910" t="s">
        <v>23</v>
      </c>
      <c r="D910" t="s">
        <v>19</v>
      </c>
      <c r="E910">
        <v>11.2</v>
      </c>
      <c r="F910">
        <v>3.4</v>
      </c>
      <c r="G910">
        <v>0</v>
      </c>
      <c r="H910" t="str">
        <f t="shared" si="14"/>
        <v>No Night Usage</v>
      </c>
      <c r="I910">
        <v>7.9</v>
      </c>
      <c r="J910" s="3">
        <v>4</v>
      </c>
      <c r="K910">
        <v>10.8</v>
      </c>
      <c r="L910" t="s">
        <v>21</v>
      </c>
      <c r="M910">
        <v>6</v>
      </c>
      <c r="N910">
        <v>4</v>
      </c>
      <c r="O910">
        <v>0</v>
      </c>
      <c r="P910">
        <v>0</v>
      </c>
      <c r="Q910">
        <v>0</v>
      </c>
      <c r="R910">
        <v>0</v>
      </c>
      <c r="S910">
        <v>0</v>
      </c>
      <c r="T910" t="str">
        <f>IF(mental_health[Sleep_Hours]&lt;5,"Low",IF(mental_health[Sleep_Hours]&lt;7,"Medium","Good"))</f>
        <v>Good</v>
      </c>
      <c r="U910" t="str">
        <f>IF(mental_health[Stress_Level]&lt;=3,"Low",IF(mental_health[Stress_Level]&lt;=7,"Medium","High"))</f>
        <v>Medium</v>
      </c>
      <c r="V910" t="str">
        <f>IF(mental_health[Daily_Screen_Time]&lt;=4,"Low",IF(mental_health[Daily_Screen_Time]&lt;=8,"Medium","High"))</f>
        <v>High</v>
      </c>
    </row>
    <row r="911" spans="1:22" x14ac:dyDescent="0.3">
      <c r="A911">
        <v>910</v>
      </c>
      <c r="B911">
        <v>21</v>
      </c>
      <c r="C911" t="s">
        <v>23</v>
      </c>
      <c r="D911" t="s">
        <v>19</v>
      </c>
      <c r="E911">
        <v>10.4</v>
      </c>
      <c r="F911">
        <v>1.6</v>
      </c>
      <c r="G911">
        <v>0</v>
      </c>
      <c r="H911" t="str">
        <f t="shared" si="14"/>
        <v>No Night Usage</v>
      </c>
      <c r="I911">
        <v>4.2</v>
      </c>
      <c r="J911" s="3">
        <v>6</v>
      </c>
      <c r="K911">
        <v>4.3</v>
      </c>
      <c r="L911" t="s">
        <v>20</v>
      </c>
      <c r="M911">
        <v>4</v>
      </c>
      <c r="N911">
        <v>1</v>
      </c>
      <c r="O911">
        <v>0</v>
      </c>
      <c r="P911">
        <v>1</v>
      </c>
      <c r="Q911">
        <v>0</v>
      </c>
      <c r="R911">
        <v>1</v>
      </c>
      <c r="S911">
        <v>1</v>
      </c>
      <c r="T911" t="str">
        <f>IF(mental_health[Sleep_Hours]&lt;5,"Low",IF(mental_health[Sleep_Hours]&lt;7,"Medium","Good"))</f>
        <v>Low</v>
      </c>
      <c r="U911" t="str">
        <f>IF(mental_health[Stress_Level]&lt;=3,"Low",IF(mental_health[Stress_Level]&lt;=7,"Medium","High"))</f>
        <v>Medium</v>
      </c>
      <c r="V911" t="str">
        <f>IF(mental_health[Daily_Screen_Time]&lt;=4,"Low",IF(mental_health[Daily_Screen_Time]&lt;=8,"Medium","High"))</f>
        <v>High</v>
      </c>
    </row>
    <row r="912" spans="1:22" x14ac:dyDescent="0.3">
      <c r="A912">
        <v>911</v>
      </c>
      <c r="B912">
        <v>41</v>
      </c>
      <c r="C912" t="s">
        <v>23</v>
      </c>
      <c r="D912" t="s">
        <v>19</v>
      </c>
      <c r="E912">
        <v>9.4</v>
      </c>
      <c r="F912">
        <v>7.7</v>
      </c>
      <c r="G912">
        <v>1</v>
      </c>
      <c r="H912" t="str">
        <f t="shared" si="14"/>
        <v>Night Usage</v>
      </c>
      <c r="I912">
        <v>4.0999999999999996</v>
      </c>
      <c r="J912" s="3">
        <v>10</v>
      </c>
      <c r="K912">
        <v>4.5999999999999996</v>
      </c>
      <c r="L912" t="s">
        <v>21</v>
      </c>
      <c r="M912">
        <v>3</v>
      </c>
      <c r="N912">
        <v>3</v>
      </c>
      <c r="O912">
        <v>0</v>
      </c>
      <c r="P912">
        <v>0</v>
      </c>
      <c r="Q912">
        <v>1</v>
      </c>
      <c r="R912">
        <v>1</v>
      </c>
      <c r="S912">
        <v>1</v>
      </c>
      <c r="T912" t="str">
        <f>IF(mental_health[Sleep_Hours]&lt;5,"Low",IF(mental_health[Sleep_Hours]&lt;7,"Medium","Good"))</f>
        <v>Low</v>
      </c>
      <c r="U912" t="str">
        <f>IF(mental_health[Stress_Level]&lt;=3,"Low",IF(mental_health[Stress_Level]&lt;=7,"Medium","High"))</f>
        <v>High</v>
      </c>
      <c r="V912" t="str">
        <f>IF(mental_health[Daily_Screen_Time]&lt;=4,"Low",IF(mental_health[Daily_Screen_Time]&lt;=8,"Medium","High"))</f>
        <v>High</v>
      </c>
    </row>
    <row r="913" spans="1:22" x14ac:dyDescent="0.3">
      <c r="A913">
        <v>912</v>
      </c>
      <c r="B913">
        <v>19</v>
      </c>
      <c r="C913" t="s">
        <v>23</v>
      </c>
      <c r="D913" t="s">
        <v>19</v>
      </c>
      <c r="E913">
        <v>3.7</v>
      </c>
      <c r="F913">
        <v>6.7</v>
      </c>
      <c r="G913">
        <v>0</v>
      </c>
      <c r="H913" t="str">
        <f t="shared" si="14"/>
        <v>No Night Usage</v>
      </c>
      <c r="I913">
        <v>3.8</v>
      </c>
      <c r="J913" s="3">
        <v>1</v>
      </c>
      <c r="K913">
        <v>9</v>
      </c>
      <c r="L913" t="s">
        <v>20</v>
      </c>
      <c r="M913">
        <v>6</v>
      </c>
      <c r="N913">
        <v>4</v>
      </c>
      <c r="O913">
        <v>1</v>
      </c>
      <c r="P913">
        <v>0</v>
      </c>
      <c r="Q913">
        <v>1</v>
      </c>
      <c r="R913">
        <v>1</v>
      </c>
      <c r="S913">
        <v>0</v>
      </c>
      <c r="T913" t="str">
        <f>IF(mental_health[Sleep_Hours]&lt;5,"Low",IF(mental_health[Sleep_Hours]&lt;7,"Medium","Good"))</f>
        <v>Low</v>
      </c>
      <c r="U913" t="str">
        <f>IF(mental_health[Stress_Level]&lt;=3,"Low",IF(mental_health[Stress_Level]&lt;=7,"Medium","High"))</f>
        <v>Low</v>
      </c>
      <c r="V913" t="str">
        <f>IF(mental_health[Daily_Screen_Time]&lt;=4,"Low",IF(mental_health[Daily_Screen_Time]&lt;=8,"Medium","High"))</f>
        <v>Low</v>
      </c>
    </row>
    <row r="914" spans="1:22" x14ac:dyDescent="0.3">
      <c r="A914">
        <v>913</v>
      </c>
      <c r="B914">
        <v>34</v>
      </c>
      <c r="C914" t="s">
        <v>23</v>
      </c>
      <c r="D914" t="s">
        <v>19</v>
      </c>
      <c r="E914">
        <v>3.2</v>
      </c>
      <c r="F914">
        <v>4.2</v>
      </c>
      <c r="G914">
        <v>0</v>
      </c>
      <c r="H914" t="str">
        <f t="shared" si="14"/>
        <v>No Night Usage</v>
      </c>
      <c r="I914">
        <v>3.8</v>
      </c>
      <c r="J914" s="3">
        <v>7</v>
      </c>
      <c r="K914">
        <v>3.8</v>
      </c>
      <c r="L914" t="s">
        <v>20</v>
      </c>
      <c r="M914">
        <v>1</v>
      </c>
      <c r="N914">
        <v>2</v>
      </c>
      <c r="O914">
        <v>1</v>
      </c>
      <c r="P914">
        <v>1</v>
      </c>
      <c r="Q914">
        <v>1</v>
      </c>
      <c r="R914">
        <v>0</v>
      </c>
      <c r="S914">
        <v>0</v>
      </c>
      <c r="T914" t="str">
        <f>IF(mental_health[Sleep_Hours]&lt;5,"Low",IF(mental_health[Sleep_Hours]&lt;7,"Medium","Good"))</f>
        <v>Low</v>
      </c>
      <c r="U914" t="str">
        <f>IF(mental_health[Stress_Level]&lt;=3,"Low",IF(mental_health[Stress_Level]&lt;=7,"Medium","High"))</f>
        <v>Medium</v>
      </c>
      <c r="V914" t="str">
        <f>IF(mental_health[Daily_Screen_Time]&lt;=4,"Low",IF(mental_health[Daily_Screen_Time]&lt;=8,"Medium","High"))</f>
        <v>Low</v>
      </c>
    </row>
    <row r="915" spans="1:22" x14ac:dyDescent="0.3">
      <c r="A915">
        <v>914</v>
      </c>
      <c r="B915">
        <v>35</v>
      </c>
      <c r="C915" t="s">
        <v>18</v>
      </c>
      <c r="D915" t="s">
        <v>24</v>
      </c>
      <c r="E915">
        <v>2.7</v>
      </c>
      <c r="F915">
        <v>2.6</v>
      </c>
      <c r="G915">
        <v>1</v>
      </c>
      <c r="H915" t="str">
        <f t="shared" si="14"/>
        <v>Night Usage</v>
      </c>
      <c r="I915">
        <v>7.5</v>
      </c>
      <c r="J915" s="3">
        <v>8</v>
      </c>
      <c r="K915">
        <v>6.6</v>
      </c>
      <c r="L915" t="s">
        <v>25</v>
      </c>
      <c r="M915">
        <v>2</v>
      </c>
      <c r="N915">
        <v>4</v>
      </c>
      <c r="O915">
        <v>1</v>
      </c>
      <c r="P915">
        <v>1</v>
      </c>
      <c r="Q915">
        <v>0</v>
      </c>
      <c r="R915">
        <v>1</v>
      </c>
      <c r="S915">
        <v>1</v>
      </c>
      <c r="T915" t="str">
        <f>IF(mental_health[Sleep_Hours]&lt;5,"Low",IF(mental_health[Sleep_Hours]&lt;7,"Medium","Good"))</f>
        <v>Good</v>
      </c>
      <c r="U915" t="str">
        <f>IF(mental_health[Stress_Level]&lt;=3,"Low",IF(mental_health[Stress_Level]&lt;=7,"Medium","High"))</f>
        <v>High</v>
      </c>
      <c r="V915" t="str">
        <f>IF(mental_health[Daily_Screen_Time]&lt;=4,"Low",IF(mental_health[Daily_Screen_Time]&lt;=8,"Medium","High"))</f>
        <v>Low</v>
      </c>
    </row>
    <row r="916" spans="1:22" x14ac:dyDescent="0.3">
      <c r="A916">
        <v>915</v>
      </c>
      <c r="B916">
        <v>48</v>
      </c>
      <c r="C916" t="s">
        <v>18</v>
      </c>
      <c r="D916" t="s">
        <v>19</v>
      </c>
      <c r="E916">
        <v>9.1999999999999993</v>
      </c>
      <c r="F916">
        <v>7.5</v>
      </c>
      <c r="G916">
        <v>1</v>
      </c>
      <c r="H916" t="str">
        <f t="shared" si="14"/>
        <v>Night Usage</v>
      </c>
      <c r="I916">
        <v>5.8</v>
      </c>
      <c r="J916" s="3">
        <v>7</v>
      </c>
      <c r="K916">
        <v>2.2000000000000002</v>
      </c>
      <c r="L916" t="s">
        <v>21</v>
      </c>
      <c r="M916">
        <v>7</v>
      </c>
      <c r="N916">
        <v>4</v>
      </c>
      <c r="O916">
        <v>1</v>
      </c>
      <c r="P916">
        <v>0</v>
      </c>
      <c r="Q916">
        <v>0</v>
      </c>
      <c r="R916">
        <v>1</v>
      </c>
      <c r="S916">
        <v>0</v>
      </c>
      <c r="T916" t="str">
        <f>IF(mental_health[Sleep_Hours]&lt;5,"Low",IF(mental_health[Sleep_Hours]&lt;7,"Medium","Good"))</f>
        <v>Medium</v>
      </c>
      <c r="U916" t="str">
        <f>IF(mental_health[Stress_Level]&lt;=3,"Low",IF(mental_health[Stress_Level]&lt;=7,"Medium","High"))</f>
        <v>Medium</v>
      </c>
      <c r="V916" t="str">
        <f>IF(mental_health[Daily_Screen_Time]&lt;=4,"Low",IF(mental_health[Daily_Screen_Time]&lt;=8,"Medium","High"))</f>
        <v>High</v>
      </c>
    </row>
    <row r="917" spans="1:22" x14ac:dyDescent="0.3">
      <c r="A917">
        <v>916</v>
      </c>
      <c r="B917">
        <v>35</v>
      </c>
      <c r="C917" t="s">
        <v>23</v>
      </c>
      <c r="D917" t="s">
        <v>19</v>
      </c>
      <c r="E917">
        <v>11.3</v>
      </c>
      <c r="F917">
        <v>3.4</v>
      </c>
      <c r="G917">
        <v>1</v>
      </c>
      <c r="H917" t="str">
        <f t="shared" si="14"/>
        <v>Night Usage</v>
      </c>
      <c r="I917">
        <v>7.7</v>
      </c>
      <c r="J917" s="3">
        <v>7</v>
      </c>
      <c r="K917">
        <v>3.4</v>
      </c>
      <c r="L917" t="s">
        <v>20</v>
      </c>
      <c r="M917">
        <v>4</v>
      </c>
      <c r="N917">
        <v>1</v>
      </c>
      <c r="O917">
        <v>1</v>
      </c>
      <c r="P917">
        <v>0</v>
      </c>
      <c r="Q917">
        <v>0</v>
      </c>
      <c r="R917">
        <v>1</v>
      </c>
      <c r="S917">
        <v>1</v>
      </c>
      <c r="T917" t="str">
        <f>IF(mental_health[Sleep_Hours]&lt;5,"Low",IF(mental_health[Sleep_Hours]&lt;7,"Medium","Good"))</f>
        <v>Good</v>
      </c>
      <c r="U917" t="str">
        <f>IF(mental_health[Stress_Level]&lt;=3,"Low",IF(mental_health[Stress_Level]&lt;=7,"Medium","High"))</f>
        <v>Medium</v>
      </c>
      <c r="V917" t="str">
        <f>IF(mental_health[Daily_Screen_Time]&lt;=4,"Low",IF(mental_health[Daily_Screen_Time]&lt;=8,"Medium","High"))</f>
        <v>High</v>
      </c>
    </row>
    <row r="918" spans="1:22" x14ac:dyDescent="0.3">
      <c r="A918">
        <v>917</v>
      </c>
      <c r="B918">
        <v>27</v>
      </c>
      <c r="C918" t="s">
        <v>23</v>
      </c>
      <c r="D918" t="s">
        <v>24</v>
      </c>
      <c r="E918">
        <v>6.3</v>
      </c>
      <c r="F918">
        <v>2.1</v>
      </c>
      <c r="G918">
        <v>0</v>
      </c>
      <c r="H918" t="str">
        <f t="shared" si="14"/>
        <v>No Night Usage</v>
      </c>
      <c r="I918">
        <v>7.5</v>
      </c>
      <c r="J918" s="3">
        <v>9</v>
      </c>
      <c r="K918">
        <v>8.8000000000000007</v>
      </c>
      <c r="L918" t="s">
        <v>21</v>
      </c>
      <c r="M918">
        <v>5</v>
      </c>
      <c r="N918">
        <v>4</v>
      </c>
      <c r="O918">
        <v>0</v>
      </c>
      <c r="P918">
        <v>1</v>
      </c>
      <c r="Q918">
        <v>1</v>
      </c>
      <c r="R918">
        <v>0</v>
      </c>
      <c r="S918">
        <v>0</v>
      </c>
      <c r="T918" t="str">
        <f>IF(mental_health[Sleep_Hours]&lt;5,"Low",IF(mental_health[Sleep_Hours]&lt;7,"Medium","Good"))</f>
        <v>Good</v>
      </c>
      <c r="U918" t="str">
        <f>IF(mental_health[Stress_Level]&lt;=3,"Low",IF(mental_health[Stress_Level]&lt;=7,"Medium","High"))</f>
        <v>High</v>
      </c>
      <c r="V918" t="str">
        <f>IF(mental_health[Daily_Screen_Time]&lt;=4,"Low",IF(mental_health[Daily_Screen_Time]&lt;=8,"Medium","High"))</f>
        <v>Medium</v>
      </c>
    </row>
    <row r="919" spans="1:22" x14ac:dyDescent="0.3">
      <c r="A919">
        <v>918</v>
      </c>
      <c r="B919">
        <v>16</v>
      </c>
      <c r="C919" t="s">
        <v>18</v>
      </c>
      <c r="D919" t="s">
        <v>19</v>
      </c>
      <c r="E919">
        <v>3.2</v>
      </c>
      <c r="F919">
        <v>4.9000000000000004</v>
      </c>
      <c r="G919">
        <v>1</v>
      </c>
      <c r="H919" t="str">
        <f t="shared" si="14"/>
        <v>Night Usage</v>
      </c>
      <c r="I919">
        <v>6.6</v>
      </c>
      <c r="J919" s="3">
        <v>4</v>
      </c>
      <c r="K919">
        <v>9.5</v>
      </c>
      <c r="L919" t="s">
        <v>20</v>
      </c>
      <c r="M919">
        <v>10</v>
      </c>
      <c r="N919">
        <v>2</v>
      </c>
      <c r="O919">
        <v>0</v>
      </c>
      <c r="P919">
        <v>1</v>
      </c>
      <c r="Q919">
        <v>0</v>
      </c>
      <c r="R919">
        <v>0</v>
      </c>
      <c r="S919">
        <v>1</v>
      </c>
      <c r="T919" t="str">
        <f>IF(mental_health[Sleep_Hours]&lt;5,"Low",IF(mental_health[Sleep_Hours]&lt;7,"Medium","Good"))</f>
        <v>Medium</v>
      </c>
      <c r="U919" t="str">
        <f>IF(mental_health[Stress_Level]&lt;=3,"Low",IF(mental_health[Stress_Level]&lt;=7,"Medium","High"))</f>
        <v>Medium</v>
      </c>
      <c r="V919" t="str">
        <f>IF(mental_health[Daily_Screen_Time]&lt;=4,"Low",IF(mental_health[Daily_Screen_Time]&lt;=8,"Medium","High"))</f>
        <v>Low</v>
      </c>
    </row>
    <row r="920" spans="1:22" x14ac:dyDescent="0.3">
      <c r="A920">
        <v>919</v>
      </c>
      <c r="B920">
        <v>41</v>
      </c>
      <c r="C920" t="s">
        <v>18</v>
      </c>
      <c r="D920" t="s">
        <v>22</v>
      </c>
      <c r="E920">
        <v>7.1</v>
      </c>
      <c r="F920">
        <v>7.6</v>
      </c>
      <c r="G920">
        <v>0</v>
      </c>
      <c r="H920" t="str">
        <f t="shared" si="14"/>
        <v>No Night Usage</v>
      </c>
      <c r="I920">
        <v>7.1</v>
      </c>
      <c r="J920" s="3">
        <v>7</v>
      </c>
      <c r="K920">
        <v>3.2</v>
      </c>
      <c r="L920" t="s">
        <v>25</v>
      </c>
      <c r="M920">
        <v>1</v>
      </c>
      <c r="N920">
        <v>3</v>
      </c>
      <c r="O920">
        <v>1</v>
      </c>
      <c r="P920">
        <v>1</v>
      </c>
      <c r="Q920">
        <v>1</v>
      </c>
      <c r="R920">
        <v>1</v>
      </c>
      <c r="S920">
        <v>0</v>
      </c>
      <c r="T920" t="str">
        <f>IF(mental_health[Sleep_Hours]&lt;5,"Low",IF(mental_health[Sleep_Hours]&lt;7,"Medium","Good"))</f>
        <v>Good</v>
      </c>
      <c r="U920" t="str">
        <f>IF(mental_health[Stress_Level]&lt;=3,"Low",IF(mental_health[Stress_Level]&lt;=7,"Medium","High"))</f>
        <v>Medium</v>
      </c>
      <c r="V920" t="str">
        <f>IF(mental_health[Daily_Screen_Time]&lt;=4,"Low",IF(mental_health[Daily_Screen_Time]&lt;=8,"Medium","High"))</f>
        <v>Medium</v>
      </c>
    </row>
    <row r="921" spans="1:22" x14ac:dyDescent="0.3">
      <c r="A921">
        <v>920</v>
      </c>
      <c r="B921">
        <v>29</v>
      </c>
      <c r="C921" t="s">
        <v>18</v>
      </c>
      <c r="D921" t="s">
        <v>19</v>
      </c>
      <c r="E921">
        <v>5.5</v>
      </c>
      <c r="F921">
        <v>1</v>
      </c>
      <c r="G921">
        <v>0</v>
      </c>
      <c r="H921" t="str">
        <f t="shared" si="14"/>
        <v>No Night Usage</v>
      </c>
      <c r="I921">
        <v>3.1</v>
      </c>
      <c r="J921" s="3">
        <v>9</v>
      </c>
      <c r="K921">
        <v>4.3</v>
      </c>
      <c r="L921" t="s">
        <v>25</v>
      </c>
      <c r="M921">
        <v>2</v>
      </c>
      <c r="N921">
        <v>0</v>
      </c>
      <c r="O921">
        <v>0</v>
      </c>
      <c r="P921">
        <v>1</v>
      </c>
      <c r="Q921">
        <v>0</v>
      </c>
      <c r="R921">
        <v>0</v>
      </c>
      <c r="S921">
        <v>0</v>
      </c>
      <c r="T921" t="str">
        <f>IF(mental_health[Sleep_Hours]&lt;5,"Low",IF(mental_health[Sleep_Hours]&lt;7,"Medium","Good"))</f>
        <v>Low</v>
      </c>
      <c r="U921" t="str">
        <f>IF(mental_health[Stress_Level]&lt;=3,"Low",IF(mental_health[Stress_Level]&lt;=7,"Medium","High"))</f>
        <v>High</v>
      </c>
      <c r="V921" t="str">
        <f>IF(mental_health[Daily_Screen_Time]&lt;=4,"Low",IF(mental_health[Daily_Screen_Time]&lt;=8,"Medium","High"))</f>
        <v>Medium</v>
      </c>
    </row>
    <row r="922" spans="1:22" x14ac:dyDescent="0.3">
      <c r="A922">
        <v>921</v>
      </c>
      <c r="B922">
        <v>53</v>
      </c>
      <c r="C922" t="s">
        <v>23</v>
      </c>
      <c r="D922" t="s">
        <v>19</v>
      </c>
      <c r="E922">
        <v>5.7</v>
      </c>
      <c r="F922">
        <v>2.7</v>
      </c>
      <c r="G922">
        <v>0</v>
      </c>
      <c r="H922" t="str">
        <f t="shared" si="14"/>
        <v>No Night Usage</v>
      </c>
      <c r="I922">
        <v>4.9000000000000004</v>
      </c>
      <c r="J922" s="3">
        <v>5</v>
      </c>
      <c r="K922">
        <v>3</v>
      </c>
      <c r="L922" t="s">
        <v>25</v>
      </c>
      <c r="M922">
        <v>4</v>
      </c>
      <c r="N922">
        <v>1</v>
      </c>
      <c r="O922">
        <v>1</v>
      </c>
      <c r="P922">
        <v>1</v>
      </c>
      <c r="Q922">
        <v>1</v>
      </c>
      <c r="R922">
        <v>1</v>
      </c>
      <c r="S922">
        <v>0</v>
      </c>
      <c r="T922" t="str">
        <f>IF(mental_health[Sleep_Hours]&lt;5,"Low",IF(mental_health[Sleep_Hours]&lt;7,"Medium","Good"))</f>
        <v>Low</v>
      </c>
      <c r="U922" t="str">
        <f>IF(mental_health[Stress_Level]&lt;=3,"Low",IF(mental_health[Stress_Level]&lt;=7,"Medium","High"))</f>
        <v>Medium</v>
      </c>
      <c r="V922" t="str">
        <f>IF(mental_health[Daily_Screen_Time]&lt;=4,"Low",IF(mental_health[Daily_Screen_Time]&lt;=8,"Medium","High"))</f>
        <v>Medium</v>
      </c>
    </row>
    <row r="923" spans="1:22" x14ac:dyDescent="0.3">
      <c r="A923">
        <v>922</v>
      </c>
      <c r="B923">
        <v>52</v>
      </c>
      <c r="C923" t="s">
        <v>18</v>
      </c>
      <c r="D923" t="s">
        <v>22</v>
      </c>
      <c r="E923">
        <v>8.1999999999999993</v>
      </c>
      <c r="F923">
        <v>7.6</v>
      </c>
      <c r="G923">
        <v>0</v>
      </c>
      <c r="H923" t="str">
        <f t="shared" si="14"/>
        <v>No Night Usage</v>
      </c>
      <c r="I923">
        <v>6.8</v>
      </c>
      <c r="J923" s="3">
        <v>2</v>
      </c>
      <c r="K923">
        <v>6.3</v>
      </c>
      <c r="L923" t="s">
        <v>25</v>
      </c>
      <c r="M923">
        <v>8</v>
      </c>
      <c r="N923">
        <v>2</v>
      </c>
      <c r="O923">
        <v>0</v>
      </c>
      <c r="P923">
        <v>1</v>
      </c>
      <c r="Q923">
        <v>0</v>
      </c>
      <c r="R923">
        <v>0</v>
      </c>
      <c r="S923">
        <v>0</v>
      </c>
      <c r="T923" t="str">
        <f>IF(mental_health[Sleep_Hours]&lt;5,"Low",IF(mental_health[Sleep_Hours]&lt;7,"Medium","Good"))</f>
        <v>Medium</v>
      </c>
      <c r="U923" t="str">
        <f>IF(mental_health[Stress_Level]&lt;=3,"Low",IF(mental_health[Stress_Level]&lt;=7,"Medium","High"))</f>
        <v>Low</v>
      </c>
      <c r="V923" t="str">
        <f>IF(mental_health[Daily_Screen_Time]&lt;=4,"Low",IF(mental_health[Daily_Screen_Time]&lt;=8,"Medium","High"))</f>
        <v>High</v>
      </c>
    </row>
    <row r="924" spans="1:22" x14ac:dyDescent="0.3">
      <c r="A924">
        <v>923</v>
      </c>
      <c r="B924">
        <v>26</v>
      </c>
      <c r="C924" t="s">
        <v>23</v>
      </c>
      <c r="D924" t="s">
        <v>22</v>
      </c>
      <c r="E924">
        <v>9.1999999999999993</v>
      </c>
      <c r="F924">
        <v>2.2000000000000002</v>
      </c>
      <c r="G924">
        <v>0</v>
      </c>
      <c r="H924" t="str">
        <f t="shared" si="14"/>
        <v>No Night Usage</v>
      </c>
      <c r="I924">
        <v>3.1</v>
      </c>
      <c r="J924" s="3">
        <v>5</v>
      </c>
      <c r="K924">
        <v>3.3</v>
      </c>
      <c r="L924" t="s">
        <v>20</v>
      </c>
      <c r="M924">
        <v>10</v>
      </c>
      <c r="N924">
        <v>1</v>
      </c>
      <c r="O924">
        <v>1</v>
      </c>
      <c r="P924">
        <v>1</v>
      </c>
      <c r="Q924">
        <v>0</v>
      </c>
      <c r="R924">
        <v>1</v>
      </c>
      <c r="S924">
        <v>1</v>
      </c>
      <c r="T924" t="str">
        <f>IF(mental_health[Sleep_Hours]&lt;5,"Low",IF(mental_health[Sleep_Hours]&lt;7,"Medium","Good"))</f>
        <v>Low</v>
      </c>
      <c r="U924" t="str">
        <f>IF(mental_health[Stress_Level]&lt;=3,"Low",IF(mental_health[Stress_Level]&lt;=7,"Medium","High"))</f>
        <v>Medium</v>
      </c>
      <c r="V924" t="str">
        <f>IF(mental_health[Daily_Screen_Time]&lt;=4,"Low",IF(mental_health[Daily_Screen_Time]&lt;=8,"Medium","High"))</f>
        <v>High</v>
      </c>
    </row>
    <row r="925" spans="1:22" x14ac:dyDescent="0.3">
      <c r="A925">
        <v>924</v>
      </c>
      <c r="B925">
        <v>51</v>
      </c>
      <c r="C925" t="s">
        <v>23</v>
      </c>
      <c r="D925" t="s">
        <v>22</v>
      </c>
      <c r="E925">
        <v>3.1</v>
      </c>
      <c r="F925">
        <v>1.8</v>
      </c>
      <c r="G925">
        <v>1</v>
      </c>
      <c r="H925" t="str">
        <f t="shared" si="14"/>
        <v>Night Usage</v>
      </c>
      <c r="I925">
        <v>3.2</v>
      </c>
      <c r="J925" s="3">
        <v>4</v>
      </c>
      <c r="K925">
        <v>6.4</v>
      </c>
      <c r="L925" t="s">
        <v>21</v>
      </c>
      <c r="M925">
        <v>4</v>
      </c>
      <c r="N925">
        <v>3</v>
      </c>
      <c r="O925">
        <v>0</v>
      </c>
      <c r="P925">
        <v>0</v>
      </c>
      <c r="Q925">
        <v>0</v>
      </c>
      <c r="R925">
        <v>1</v>
      </c>
      <c r="S925">
        <v>1</v>
      </c>
      <c r="T925" t="str">
        <f>IF(mental_health[Sleep_Hours]&lt;5,"Low",IF(mental_health[Sleep_Hours]&lt;7,"Medium","Good"))</f>
        <v>Low</v>
      </c>
      <c r="U925" t="str">
        <f>IF(mental_health[Stress_Level]&lt;=3,"Low",IF(mental_health[Stress_Level]&lt;=7,"Medium","High"))</f>
        <v>Medium</v>
      </c>
      <c r="V925" t="str">
        <f>IF(mental_health[Daily_Screen_Time]&lt;=4,"Low",IF(mental_health[Daily_Screen_Time]&lt;=8,"Medium","High"))</f>
        <v>Low</v>
      </c>
    </row>
    <row r="926" spans="1:22" x14ac:dyDescent="0.3">
      <c r="A926">
        <v>925</v>
      </c>
      <c r="B926">
        <v>28</v>
      </c>
      <c r="C926" t="s">
        <v>18</v>
      </c>
      <c r="D926" t="s">
        <v>22</v>
      </c>
      <c r="E926">
        <v>2.4</v>
      </c>
      <c r="F926">
        <v>5</v>
      </c>
      <c r="G926">
        <v>0</v>
      </c>
      <c r="H926" t="str">
        <f t="shared" si="14"/>
        <v>No Night Usage</v>
      </c>
      <c r="I926">
        <v>8.1</v>
      </c>
      <c r="J926" s="3">
        <v>8</v>
      </c>
      <c r="K926">
        <v>9.3000000000000007</v>
      </c>
      <c r="L926" t="s">
        <v>25</v>
      </c>
      <c r="M926">
        <v>3</v>
      </c>
      <c r="N926">
        <v>4</v>
      </c>
      <c r="O926">
        <v>0</v>
      </c>
      <c r="P926">
        <v>0</v>
      </c>
      <c r="Q926">
        <v>1</v>
      </c>
      <c r="R926">
        <v>0</v>
      </c>
      <c r="S926">
        <v>0</v>
      </c>
      <c r="T926" t="str">
        <f>IF(mental_health[Sleep_Hours]&lt;5,"Low",IF(mental_health[Sleep_Hours]&lt;7,"Medium","Good"))</f>
        <v>Good</v>
      </c>
      <c r="U926" t="str">
        <f>IF(mental_health[Stress_Level]&lt;=3,"Low",IF(mental_health[Stress_Level]&lt;=7,"Medium","High"))</f>
        <v>High</v>
      </c>
      <c r="V926" t="str">
        <f>IF(mental_health[Daily_Screen_Time]&lt;=4,"Low",IF(mental_health[Daily_Screen_Time]&lt;=8,"Medium","High"))</f>
        <v>Low</v>
      </c>
    </row>
    <row r="927" spans="1:22" x14ac:dyDescent="0.3">
      <c r="A927">
        <v>926</v>
      </c>
      <c r="B927">
        <v>58</v>
      </c>
      <c r="C927" t="s">
        <v>23</v>
      </c>
      <c r="D927" t="s">
        <v>19</v>
      </c>
      <c r="E927">
        <v>11.9</v>
      </c>
      <c r="F927">
        <v>7</v>
      </c>
      <c r="G927">
        <v>1</v>
      </c>
      <c r="H927" t="str">
        <f t="shared" si="14"/>
        <v>Night Usage</v>
      </c>
      <c r="I927">
        <v>7.1</v>
      </c>
      <c r="J927" s="3">
        <v>5</v>
      </c>
      <c r="K927">
        <v>8.8000000000000007</v>
      </c>
      <c r="L927" t="s">
        <v>25</v>
      </c>
      <c r="M927">
        <v>3</v>
      </c>
      <c r="N927">
        <v>4</v>
      </c>
      <c r="O927">
        <v>1</v>
      </c>
      <c r="P927">
        <v>1</v>
      </c>
      <c r="Q927">
        <v>1</v>
      </c>
      <c r="R927">
        <v>1</v>
      </c>
      <c r="S927">
        <v>1</v>
      </c>
      <c r="T927" t="str">
        <f>IF(mental_health[Sleep_Hours]&lt;5,"Low",IF(mental_health[Sleep_Hours]&lt;7,"Medium","Good"))</f>
        <v>Good</v>
      </c>
      <c r="U927" t="str">
        <f>IF(mental_health[Stress_Level]&lt;=3,"Low",IF(mental_health[Stress_Level]&lt;=7,"Medium","High"))</f>
        <v>Medium</v>
      </c>
      <c r="V927" t="str">
        <f>IF(mental_health[Daily_Screen_Time]&lt;=4,"Low",IF(mental_health[Daily_Screen_Time]&lt;=8,"Medium","High"))</f>
        <v>High</v>
      </c>
    </row>
    <row r="928" spans="1:22" x14ac:dyDescent="0.3">
      <c r="A928">
        <v>927</v>
      </c>
      <c r="B928">
        <v>18</v>
      </c>
      <c r="C928" t="s">
        <v>23</v>
      </c>
      <c r="D928" t="s">
        <v>22</v>
      </c>
      <c r="E928">
        <v>4.3</v>
      </c>
      <c r="F928">
        <v>4.3</v>
      </c>
      <c r="G928">
        <v>0</v>
      </c>
      <c r="H928" t="str">
        <f t="shared" si="14"/>
        <v>No Night Usage</v>
      </c>
      <c r="I928">
        <v>4.5999999999999996</v>
      </c>
      <c r="J928" s="3">
        <v>9</v>
      </c>
      <c r="K928">
        <v>4.8</v>
      </c>
      <c r="L928" t="s">
        <v>25</v>
      </c>
      <c r="M928">
        <v>5</v>
      </c>
      <c r="N928">
        <v>2</v>
      </c>
      <c r="O928">
        <v>0</v>
      </c>
      <c r="P928">
        <v>0</v>
      </c>
      <c r="Q928">
        <v>1</v>
      </c>
      <c r="R928">
        <v>0</v>
      </c>
      <c r="S928">
        <v>1</v>
      </c>
      <c r="T928" t="str">
        <f>IF(mental_health[Sleep_Hours]&lt;5,"Low",IF(mental_health[Sleep_Hours]&lt;7,"Medium","Good"))</f>
        <v>Low</v>
      </c>
      <c r="U928" t="str">
        <f>IF(mental_health[Stress_Level]&lt;=3,"Low",IF(mental_health[Stress_Level]&lt;=7,"Medium","High"))</f>
        <v>High</v>
      </c>
      <c r="V928" t="str">
        <f>IF(mental_health[Daily_Screen_Time]&lt;=4,"Low",IF(mental_health[Daily_Screen_Time]&lt;=8,"Medium","High"))</f>
        <v>Medium</v>
      </c>
    </row>
    <row r="929" spans="1:22" x14ac:dyDescent="0.3">
      <c r="A929">
        <v>928</v>
      </c>
      <c r="B929">
        <v>48</v>
      </c>
      <c r="C929" t="s">
        <v>23</v>
      </c>
      <c r="D929" t="s">
        <v>22</v>
      </c>
      <c r="E929">
        <v>2.5</v>
      </c>
      <c r="F929">
        <v>8</v>
      </c>
      <c r="G929">
        <v>0</v>
      </c>
      <c r="H929" t="str">
        <f t="shared" si="14"/>
        <v>No Night Usage</v>
      </c>
      <c r="I929">
        <v>7.1</v>
      </c>
      <c r="J929" s="3">
        <v>9</v>
      </c>
      <c r="K929">
        <v>8.6999999999999993</v>
      </c>
      <c r="L929" t="s">
        <v>21</v>
      </c>
      <c r="M929">
        <v>3</v>
      </c>
      <c r="N929">
        <v>3</v>
      </c>
      <c r="O929">
        <v>1</v>
      </c>
      <c r="P929">
        <v>0</v>
      </c>
      <c r="Q929">
        <v>0</v>
      </c>
      <c r="R929">
        <v>1</v>
      </c>
      <c r="S929">
        <v>1</v>
      </c>
      <c r="T929" t="str">
        <f>IF(mental_health[Sleep_Hours]&lt;5,"Low",IF(mental_health[Sleep_Hours]&lt;7,"Medium","Good"))</f>
        <v>Good</v>
      </c>
      <c r="U929" t="str">
        <f>IF(mental_health[Stress_Level]&lt;=3,"Low",IF(mental_health[Stress_Level]&lt;=7,"Medium","High"))</f>
        <v>High</v>
      </c>
      <c r="V929" t="str">
        <f>IF(mental_health[Daily_Screen_Time]&lt;=4,"Low",IF(mental_health[Daily_Screen_Time]&lt;=8,"Medium","High"))</f>
        <v>Low</v>
      </c>
    </row>
    <row r="930" spans="1:22" x14ac:dyDescent="0.3">
      <c r="A930">
        <v>929</v>
      </c>
      <c r="B930">
        <v>21</v>
      </c>
      <c r="C930" t="s">
        <v>23</v>
      </c>
      <c r="D930" t="s">
        <v>24</v>
      </c>
      <c r="E930">
        <v>3.9</v>
      </c>
      <c r="F930">
        <v>5.8</v>
      </c>
      <c r="G930">
        <v>1</v>
      </c>
      <c r="H930" t="str">
        <f t="shared" si="14"/>
        <v>Night Usage</v>
      </c>
      <c r="I930">
        <v>7.8</v>
      </c>
      <c r="J930" s="3">
        <v>3</v>
      </c>
      <c r="K930">
        <v>11.3</v>
      </c>
      <c r="L930" t="s">
        <v>20</v>
      </c>
      <c r="M930">
        <v>8</v>
      </c>
      <c r="N930">
        <v>0</v>
      </c>
      <c r="O930">
        <v>0</v>
      </c>
      <c r="P930">
        <v>1</v>
      </c>
      <c r="Q930">
        <v>1</v>
      </c>
      <c r="R930">
        <v>1</v>
      </c>
      <c r="S930">
        <v>0</v>
      </c>
      <c r="T930" t="str">
        <f>IF(mental_health[Sleep_Hours]&lt;5,"Low",IF(mental_health[Sleep_Hours]&lt;7,"Medium","Good"))</f>
        <v>Good</v>
      </c>
      <c r="U930" t="str">
        <f>IF(mental_health[Stress_Level]&lt;=3,"Low",IF(mental_health[Stress_Level]&lt;=7,"Medium","High"))</f>
        <v>Low</v>
      </c>
      <c r="V930" t="str">
        <f>IF(mental_health[Daily_Screen_Time]&lt;=4,"Low",IF(mental_health[Daily_Screen_Time]&lt;=8,"Medium","High"))</f>
        <v>Low</v>
      </c>
    </row>
    <row r="931" spans="1:22" x14ac:dyDescent="0.3">
      <c r="A931">
        <v>930</v>
      </c>
      <c r="B931">
        <v>25</v>
      </c>
      <c r="C931" t="s">
        <v>18</v>
      </c>
      <c r="D931" t="s">
        <v>22</v>
      </c>
      <c r="E931">
        <v>2.4</v>
      </c>
      <c r="F931">
        <v>1.5</v>
      </c>
      <c r="G931">
        <v>0</v>
      </c>
      <c r="H931" t="str">
        <f t="shared" si="14"/>
        <v>No Night Usage</v>
      </c>
      <c r="I931">
        <v>4.8</v>
      </c>
      <c r="J931" s="3">
        <v>10</v>
      </c>
      <c r="K931">
        <v>5.5</v>
      </c>
      <c r="L931" t="s">
        <v>20</v>
      </c>
      <c r="M931">
        <v>5</v>
      </c>
      <c r="N931">
        <v>0</v>
      </c>
      <c r="O931">
        <v>1</v>
      </c>
      <c r="P931">
        <v>1</v>
      </c>
      <c r="Q931">
        <v>0</v>
      </c>
      <c r="R931">
        <v>1</v>
      </c>
      <c r="S931">
        <v>0</v>
      </c>
      <c r="T931" t="str">
        <f>IF(mental_health[Sleep_Hours]&lt;5,"Low",IF(mental_health[Sleep_Hours]&lt;7,"Medium","Good"))</f>
        <v>Low</v>
      </c>
      <c r="U931" t="str">
        <f>IF(mental_health[Stress_Level]&lt;=3,"Low",IF(mental_health[Stress_Level]&lt;=7,"Medium","High"))</f>
        <v>High</v>
      </c>
      <c r="V931" t="str">
        <f>IF(mental_health[Daily_Screen_Time]&lt;=4,"Low",IF(mental_health[Daily_Screen_Time]&lt;=8,"Medium","High"))</f>
        <v>Low</v>
      </c>
    </row>
    <row r="932" spans="1:22" x14ac:dyDescent="0.3">
      <c r="A932">
        <v>931</v>
      </c>
      <c r="B932">
        <v>20</v>
      </c>
      <c r="C932" t="s">
        <v>18</v>
      </c>
      <c r="D932" t="s">
        <v>22</v>
      </c>
      <c r="E932">
        <v>5.9</v>
      </c>
      <c r="F932">
        <v>7.9</v>
      </c>
      <c r="G932">
        <v>0</v>
      </c>
      <c r="H932" t="str">
        <f t="shared" si="14"/>
        <v>No Night Usage</v>
      </c>
      <c r="I932">
        <v>3.2</v>
      </c>
      <c r="J932" s="3">
        <v>6</v>
      </c>
      <c r="K932">
        <v>5.3</v>
      </c>
      <c r="L932" t="s">
        <v>20</v>
      </c>
      <c r="M932">
        <v>7</v>
      </c>
      <c r="N932">
        <v>4</v>
      </c>
      <c r="O932">
        <v>0</v>
      </c>
      <c r="P932">
        <v>1</v>
      </c>
      <c r="Q932">
        <v>1</v>
      </c>
      <c r="R932">
        <v>0</v>
      </c>
      <c r="S932">
        <v>1</v>
      </c>
      <c r="T932" t="str">
        <f>IF(mental_health[Sleep_Hours]&lt;5,"Low",IF(mental_health[Sleep_Hours]&lt;7,"Medium","Good"))</f>
        <v>Low</v>
      </c>
      <c r="U932" t="str">
        <f>IF(mental_health[Stress_Level]&lt;=3,"Low",IF(mental_health[Stress_Level]&lt;=7,"Medium","High"))</f>
        <v>Medium</v>
      </c>
      <c r="V932" t="str">
        <f>IF(mental_health[Daily_Screen_Time]&lt;=4,"Low",IF(mental_health[Daily_Screen_Time]&lt;=8,"Medium","High"))</f>
        <v>Medium</v>
      </c>
    </row>
    <row r="933" spans="1:22" x14ac:dyDescent="0.3">
      <c r="A933">
        <v>932</v>
      </c>
      <c r="B933">
        <v>38</v>
      </c>
      <c r="C933" t="s">
        <v>23</v>
      </c>
      <c r="D933" t="s">
        <v>24</v>
      </c>
      <c r="E933">
        <v>10</v>
      </c>
      <c r="F933">
        <v>3.9</v>
      </c>
      <c r="G933">
        <v>1</v>
      </c>
      <c r="H933" t="str">
        <f t="shared" si="14"/>
        <v>Night Usage</v>
      </c>
      <c r="I933">
        <v>8.6</v>
      </c>
      <c r="J933" s="3">
        <v>6</v>
      </c>
      <c r="K933">
        <v>7.7</v>
      </c>
      <c r="L933" t="s">
        <v>20</v>
      </c>
      <c r="M933">
        <v>8</v>
      </c>
      <c r="N933">
        <v>3</v>
      </c>
      <c r="O933">
        <v>1</v>
      </c>
      <c r="P933">
        <v>0</v>
      </c>
      <c r="Q933">
        <v>0</v>
      </c>
      <c r="R933">
        <v>1</v>
      </c>
      <c r="S933">
        <v>1</v>
      </c>
      <c r="T933" t="str">
        <f>IF(mental_health[Sleep_Hours]&lt;5,"Low",IF(mental_health[Sleep_Hours]&lt;7,"Medium","Good"))</f>
        <v>Good</v>
      </c>
      <c r="U933" t="str">
        <f>IF(mental_health[Stress_Level]&lt;=3,"Low",IF(mental_health[Stress_Level]&lt;=7,"Medium","High"))</f>
        <v>Medium</v>
      </c>
      <c r="V933" t="str">
        <f>IF(mental_health[Daily_Screen_Time]&lt;=4,"Low",IF(mental_health[Daily_Screen_Time]&lt;=8,"Medium","High"))</f>
        <v>High</v>
      </c>
    </row>
    <row r="934" spans="1:22" x14ac:dyDescent="0.3">
      <c r="A934">
        <v>933</v>
      </c>
      <c r="B934">
        <v>25</v>
      </c>
      <c r="C934" t="s">
        <v>23</v>
      </c>
      <c r="D934" t="s">
        <v>24</v>
      </c>
      <c r="E934">
        <v>5.4</v>
      </c>
      <c r="F934">
        <v>3</v>
      </c>
      <c r="G934">
        <v>1</v>
      </c>
      <c r="H934" t="str">
        <f t="shared" si="14"/>
        <v>Night Usage</v>
      </c>
      <c r="I934">
        <v>5.0999999999999996</v>
      </c>
      <c r="J934" s="3">
        <v>4</v>
      </c>
      <c r="K934">
        <v>4.5</v>
      </c>
      <c r="L934" t="s">
        <v>21</v>
      </c>
      <c r="M934">
        <v>5</v>
      </c>
      <c r="N934">
        <v>3</v>
      </c>
      <c r="O934">
        <v>0</v>
      </c>
      <c r="P934">
        <v>1</v>
      </c>
      <c r="Q934">
        <v>1</v>
      </c>
      <c r="R934">
        <v>1</v>
      </c>
      <c r="S934">
        <v>0</v>
      </c>
      <c r="T934" t="str">
        <f>IF(mental_health[Sleep_Hours]&lt;5,"Low",IF(mental_health[Sleep_Hours]&lt;7,"Medium","Good"))</f>
        <v>Medium</v>
      </c>
      <c r="U934" t="str">
        <f>IF(mental_health[Stress_Level]&lt;=3,"Low",IF(mental_health[Stress_Level]&lt;=7,"Medium","High"))</f>
        <v>Medium</v>
      </c>
      <c r="V934" t="str">
        <f>IF(mental_health[Daily_Screen_Time]&lt;=4,"Low",IF(mental_health[Daily_Screen_Time]&lt;=8,"Medium","High"))</f>
        <v>Medium</v>
      </c>
    </row>
    <row r="935" spans="1:22" x14ac:dyDescent="0.3">
      <c r="A935">
        <v>934</v>
      </c>
      <c r="B935">
        <v>59</v>
      </c>
      <c r="C935" t="s">
        <v>18</v>
      </c>
      <c r="D935" t="s">
        <v>19</v>
      </c>
      <c r="E935">
        <v>6.4</v>
      </c>
      <c r="F935">
        <v>4.9000000000000004</v>
      </c>
      <c r="G935">
        <v>0</v>
      </c>
      <c r="H935" t="str">
        <f t="shared" si="14"/>
        <v>No Night Usage</v>
      </c>
      <c r="I935">
        <v>3.6</v>
      </c>
      <c r="J935" s="3">
        <v>10</v>
      </c>
      <c r="K935">
        <v>8.5</v>
      </c>
      <c r="L935" t="s">
        <v>21</v>
      </c>
      <c r="M935">
        <v>8</v>
      </c>
      <c r="N935">
        <v>2</v>
      </c>
      <c r="O935">
        <v>0</v>
      </c>
      <c r="P935">
        <v>1</v>
      </c>
      <c r="Q935">
        <v>1</v>
      </c>
      <c r="R935">
        <v>0</v>
      </c>
      <c r="S935">
        <v>0</v>
      </c>
      <c r="T935" t="str">
        <f>IF(mental_health[Sleep_Hours]&lt;5,"Low",IF(mental_health[Sleep_Hours]&lt;7,"Medium","Good"))</f>
        <v>Low</v>
      </c>
      <c r="U935" t="str">
        <f>IF(mental_health[Stress_Level]&lt;=3,"Low",IF(mental_health[Stress_Level]&lt;=7,"Medium","High"))</f>
        <v>High</v>
      </c>
      <c r="V935" t="str">
        <f>IF(mental_health[Daily_Screen_Time]&lt;=4,"Low",IF(mental_health[Daily_Screen_Time]&lt;=8,"Medium","High"))</f>
        <v>Medium</v>
      </c>
    </row>
    <row r="936" spans="1:22" x14ac:dyDescent="0.3">
      <c r="A936">
        <v>935</v>
      </c>
      <c r="B936">
        <v>17</v>
      </c>
      <c r="C936" t="s">
        <v>23</v>
      </c>
      <c r="D936" t="s">
        <v>24</v>
      </c>
      <c r="E936">
        <v>8.8000000000000007</v>
      </c>
      <c r="F936">
        <v>3.1</v>
      </c>
      <c r="G936">
        <v>0</v>
      </c>
      <c r="H936" t="str">
        <f t="shared" si="14"/>
        <v>No Night Usage</v>
      </c>
      <c r="I936">
        <v>6</v>
      </c>
      <c r="J936" s="3">
        <v>3</v>
      </c>
      <c r="K936">
        <v>10.3</v>
      </c>
      <c r="L936" t="s">
        <v>21</v>
      </c>
      <c r="M936">
        <v>3</v>
      </c>
      <c r="N936">
        <v>0</v>
      </c>
      <c r="O936">
        <v>1</v>
      </c>
      <c r="P936">
        <v>0</v>
      </c>
      <c r="Q936">
        <v>0</v>
      </c>
      <c r="R936">
        <v>0</v>
      </c>
      <c r="S936">
        <v>0</v>
      </c>
      <c r="T936" t="str">
        <f>IF(mental_health[Sleep_Hours]&lt;5,"Low",IF(mental_health[Sleep_Hours]&lt;7,"Medium","Good"))</f>
        <v>Medium</v>
      </c>
      <c r="U936" t="str">
        <f>IF(mental_health[Stress_Level]&lt;=3,"Low",IF(mental_health[Stress_Level]&lt;=7,"Medium","High"))</f>
        <v>Low</v>
      </c>
      <c r="V936" t="str">
        <f>IF(mental_health[Daily_Screen_Time]&lt;=4,"Low",IF(mental_health[Daily_Screen_Time]&lt;=8,"Medium","High"))</f>
        <v>High</v>
      </c>
    </row>
    <row r="937" spans="1:22" x14ac:dyDescent="0.3">
      <c r="A937">
        <v>936</v>
      </c>
      <c r="B937">
        <v>28</v>
      </c>
      <c r="C937" t="s">
        <v>18</v>
      </c>
      <c r="D937" t="s">
        <v>19</v>
      </c>
      <c r="E937">
        <v>7.1</v>
      </c>
      <c r="F937">
        <v>1.6</v>
      </c>
      <c r="G937">
        <v>0</v>
      </c>
      <c r="H937" t="str">
        <f t="shared" si="14"/>
        <v>No Night Usage</v>
      </c>
      <c r="I937">
        <v>7.6</v>
      </c>
      <c r="J937" s="3">
        <v>1</v>
      </c>
      <c r="K937">
        <v>6.6</v>
      </c>
      <c r="L937" t="s">
        <v>25</v>
      </c>
      <c r="M937">
        <v>7</v>
      </c>
      <c r="N937">
        <v>2</v>
      </c>
      <c r="O937">
        <v>1</v>
      </c>
      <c r="P937">
        <v>1</v>
      </c>
      <c r="Q937">
        <v>0</v>
      </c>
      <c r="R937">
        <v>1</v>
      </c>
      <c r="S937">
        <v>0</v>
      </c>
      <c r="T937" t="str">
        <f>IF(mental_health[Sleep_Hours]&lt;5,"Low",IF(mental_health[Sleep_Hours]&lt;7,"Medium","Good"))</f>
        <v>Good</v>
      </c>
      <c r="U937" t="str">
        <f>IF(mental_health[Stress_Level]&lt;=3,"Low",IF(mental_health[Stress_Level]&lt;=7,"Medium","High"))</f>
        <v>Low</v>
      </c>
      <c r="V937" t="str">
        <f>IF(mental_health[Daily_Screen_Time]&lt;=4,"Low",IF(mental_health[Daily_Screen_Time]&lt;=8,"Medium","High"))</f>
        <v>Medium</v>
      </c>
    </row>
    <row r="938" spans="1:22" x14ac:dyDescent="0.3">
      <c r="A938">
        <v>937</v>
      </c>
      <c r="B938">
        <v>55</v>
      </c>
      <c r="C938" t="s">
        <v>23</v>
      </c>
      <c r="D938" t="s">
        <v>24</v>
      </c>
      <c r="E938">
        <v>10.6</v>
      </c>
      <c r="F938">
        <v>1</v>
      </c>
      <c r="G938">
        <v>1</v>
      </c>
      <c r="H938" t="str">
        <f t="shared" si="14"/>
        <v>Night Usage</v>
      </c>
      <c r="I938">
        <v>4.3</v>
      </c>
      <c r="J938" s="3">
        <v>7</v>
      </c>
      <c r="K938">
        <v>8.8000000000000007</v>
      </c>
      <c r="L938" t="s">
        <v>21</v>
      </c>
      <c r="M938">
        <v>8</v>
      </c>
      <c r="N938">
        <v>1</v>
      </c>
      <c r="O938">
        <v>1</v>
      </c>
      <c r="P938">
        <v>0</v>
      </c>
      <c r="Q938">
        <v>0</v>
      </c>
      <c r="R938">
        <v>1</v>
      </c>
      <c r="S938">
        <v>0</v>
      </c>
      <c r="T938" t="str">
        <f>IF(mental_health[Sleep_Hours]&lt;5,"Low",IF(mental_health[Sleep_Hours]&lt;7,"Medium","Good"))</f>
        <v>Low</v>
      </c>
      <c r="U938" t="str">
        <f>IF(mental_health[Stress_Level]&lt;=3,"Low",IF(mental_health[Stress_Level]&lt;=7,"Medium","High"))</f>
        <v>Medium</v>
      </c>
      <c r="V938" t="str">
        <f>IF(mental_health[Daily_Screen_Time]&lt;=4,"Low",IF(mental_health[Daily_Screen_Time]&lt;=8,"Medium","High"))</f>
        <v>High</v>
      </c>
    </row>
    <row r="939" spans="1:22" x14ac:dyDescent="0.3">
      <c r="A939">
        <v>938</v>
      </c>
      <c r="B939">
        <v>17</v>
      </c>
      <c r="C939" t="s">
        <v>23</v>
      </c>
      <c r="D939" t="s">
        <v>24</v>
      </c>
      <c r="E939">
        <v>10.7</v>
      </c>
      <c r="F939">
        <v>4.0999999999999996</v>
      </c>
      <c r="G939">
        <v>0</v>
      </c>
      <c r="H939" t="str">
        <f t="shared" si="14"/>
        <v>No Night Usage</v>
      </c>
      <c r="I939">
        <v>4.5999999999999996</v>
      </c>
      <c r="J939" s="3">
        <v>5</v>
      </c>
      <c r="K939">
        <v>8.5</v>
      </c>
      <c r="L939" t="s">
        <v>20</v>
      </c>
      <c r="M939">
        <v>7</v>
      </c>
      <c r="N939">
        <v>3</v>
      </c>
      <c r="O939">
        <v>1</v>
      </c>
      <c r="P939">
        <v>0</v>
      </c>
      <c r="Q939">
        <v>0</v>
      </c>
      <c r="R939">
        <v>1</v>
      </c>
      <c r="S939">
        <v>0</v>
      </c>
      <c r="T939" t="str">
        <f>IF(mental_health[Sleep_Hours]&lt;5,"Low",IF(mental_health[Sleep_Hours]&lt;7,"Medium","Good"))</f>
        <v>Low</v>
      </c>
      <c r="U939" t="str">
        <f>IF(mental_health[Stress_Level]&lt;=3,"Low",IF(mental_health[Stress_Level]&lt;=7,"Medium","High"))</f>
        <v>Medium</v>
      </c>
      <c r="V939" t="str">
        <f>IF(mental_health[Daily_Screen_Time]&lt;=4,"Low",IF(mental_health[Daily_Screen_Time]&lt;=8,"Medium","High"))</f>
        <v>High</v>
      </c>
    </row>
    <row r="940" spans="1:22" x14ac:dyDescent="0.3">
      <c r="A940">
        <v>939</v>
      </c>
      <c r="B940">
        <v>35</v>
      </c>
      <c r="C940" t="s">
        <v>18</v>
      </c>
      <c r="D940" t="s">
        <v>19</v>
      </c>
      <c r="E940">
        <v>2.1</v>
      </c>
      <c r="F940">
        <v>6.9</v>
      </c>
      <c r="G940">
        <v>1</v>
      </c>
      <c r="H940" t="str">
        <f t="shared" si="14"/>
        <v>Night Usage</v>
      </c>
      <c r="I940">
        <v>4.5</v>
      </c>
      <c r="J940" s="3">
        <v>10</v>
      </c>
      <c r="K940">
        <v>2.4</v>
      </c>
      <c r="L940" t="s">
        <v>21</v>
      </c>
      <c r="M940">
        <v>2</v>
      </c>
      <c r="N940">
        <v>0</v>
      </c>
      <c r="O940">
        <v>0</v>
      </c>
      <c r="P940">
        <v>1</v>
      </c>
      <c r="Q940">
        <v>1</v>
      </c>
      <c r="R940">
        <v>0</v>
      </c>
      <c r="S940">
        <v>0</v>
      </c>
      <c r="T940" t="str">
        <f>IF(mental_health[Sleep_Hours]&lt;5,"Low",IF(mental_health[Sleep_Hours]&lt;7,"Medium","Good"))</f>
        <v>Low</v>
      </c>
      <c r="U940" t="str">
        <f>IF(mental_health[Stress_Level]&lt;=3,"Low",IF(mental_health[Stress_Level]&lt;=7,"Medium","High"))</f>
        <v>High</v>
      </c>
      <c r="V940" t="str">
        <f>IF(mental_health[Daily_Screen_Time]&lt;=4,"Low",IF(mental_health[Daily_Screen_Time]&lt;=8,"Medium","High"))</f>
        <v>Low</v>
      </c>
    </row>
    <row r="941" spans="1:22" x14ac:dyDescent="0.3">
      <c r="A941">
        <v>940</v>
      </c>
      <c r="B941">
        <v>16</v>
      </c>
      <c r="C941" t="s">
        <v>18</v>
      </c>
      <c r="D941" t="s">
        <v>24</v>
      </c>
      <c r="E941">
        <v>9.8000000000000007</v>
      </c>
      <c r="F941">
        <v>5</v>
      </c>
      <c r="G941">
        <v>1</v>
      </c>
      <c r="H941" t="str">
        <f t="shared" si="14"/>
        <v>Night Usage</v>
      </c>
      <c r="I941">
        <v>9</v>
      </c>
      <c r="J941" s="3">
        <v>7</v>
      </c>
      <c r="K941">
        <v>3.8</v>
      </c>
      <c r="L941" t="s">
        <v>25</v>
      </c>
      <c r="M941">
        <v>8</v>
      </c>
      <c r="N941">
        <v>2</v>
      </c>
      <c r="O941">
        <v>0</v>
      </c>
      <c r="P941">
        <v>1</v>
      </c>
      <c r="Q941">
        <v>1</v>
      </c>
      <c r="R941">
        <v>1</v>
      </c>
      <c r="S941">
        <v>0</v>
      </c>
      <c r="T941" t="str">
        <f>IF(mental_health[Sleep_Hours]&lt;5,"Low",IF(mental_health[Sleep_Hours]&lt;7,"Medium","Good"))</f>
        <v>Good</v>
      </c>
      <c r="U941" t="str">
        <f>IF(mental_health[Stress_Level]&lt;=3,"Low",IF(mental_health[Stress_Level]&lt;=7,"Medium","High"))</f>
        <v>Medium</v>
      </c>
      <c r="V941" t="str">
        <f>IF(mental_health[Daily_Screen_Time]&lt;=4,"Low",IF(mental_health[Daily_Screen_Time]&lt;=8,"Medium","High"))</f>
        <v>High</v>
      </c>
    </row>
    <row r="942" spans="1:22" x14ac:dyDescent="0.3">
      <c r="A942">
        <v>941</v>
      </c>
      <c r="B942">
        <v>52</v>
      </c>
      <c r="C942" t="s">
        <v>18</v>
      </c>
      <c r="D942" t="s">
        <v>19</v>
      </c>
      <c r="E942">
        <v>6.6</v>
      </c>
      <c r="F942">
        <v>8</v>
      </c>
      <c r="G942">
        <v>0</v>
      </c>
      <c r="H942" t="str">
        <f t="shared" si="14"/>
        <v>No Night Usage</v>
      </c>
      <c r="I942">
        <v>4.2</v>
      </c>
      <c r="J942" s="3">
        <v>1</v>
      </c>
      <c r="K942">
        <v>10.9</v>
      </c>
      <c r="L942" t="s">
        <v>20</v>
      </c>
      <c r="M942">
        <v>6</v>
      </c>
      <c r="N942">
        <v>4</v>
      </c>
      <c r="O942">
        <v>0</v>
      </c>
      <c r="P942">
        <v>1</v>
      </c>
      <c r="Q942">
        <v>1</v>
      </c>
      <c r="R942">
        <v>0</v>
      </c>
      <c r="S942">
        <v>0</v>
      </c>
      <c r="T942" t="str">
        <f>IF(mental_health[Sleep_Hours]&lt;5,"Low",IF(mental_health[Sleep_Hours]&lt;7,"Medium","Good"))</f>
        <v>Low</v>
      </c>
      <c r="U942" t="str">
        <f>IF(mental_health[Stress_Level]&lt;=3,"Low",IF(mental_health[Stress_Level]&lt;=7,"Medium","High"))</f>
        <v>Low</v>
      </c>
      <c r="V942" t="str">
        <f>IF(mental_health[Daily_Screen_Time]&lt;=4,"Low",IF(mental_health[Daily_Screen_Time]&lt;=8,"Medium","High"))</f>
        <v>Medium</v>
      </c>
    </row>
    <row r="943" spans="1:22" x14ac:dyDescent="0.3">
      <c r="A943">
        <v>942</v>
      </c>
      <c r="B943">
        <v>24</v>
      </c>
      <c r="C943" t="s">
        <v>18</v>
      </c>
      <c r="D943" t="s">
        <v>24</v>
      </c>
      <c r="E943">
        <v>11.9</v>
      </c>
      <c r="F943">
        <v>3</v>
      </c>
      <c r="G943">
        <v>1</v>
      </c>
      <c r="H943" t="str">
        <f t="shared" si="14"/>
        <v>Night Usage</v>
      </c>
      <c r="I943">
        <v>6.5</v>
      </c>
      <c r="J943" s="3">
        <v>8</v>
      </c>
      <c r="K943">
        <v>11.4</v>
      </c>
      <c r="L943" t="s">
        <v>21</v>
      </c>
      <c r="M943">
        <v>10</v>
      </c>
      <c r="N943">
        <v>1</v>
      </c>
      <c r="O943">
        <v>0</v>
      </c>
      <c r="P943">
        <v>0</v>
      </c>
      <c r="Q943">
        <v>0</v>
      </c>
      <c r="R943">
        <v>1</v>
      </c>
      <c r="S943">
        <v>1</v>
      </c>
      <c r="T943" t="str">
        <f>IF(mental_health[Sleep_Hours]&lt;5,"Low",IF(mental_health[Sleep_Hours]&lt;7,"Medium","Good"))</f>
        <v>Medium</v>
      </c>
      <c r="U943" t="str">
        <f>IF(mental_health[Stress_Level]&lt;=3,"Low",IF(mental_health[Stress_Level]&lt;=7,"Medium","High"))</f>
        <v>High</v>
      </c>
      <c r="V943" t="str">
        <f>IF(mental_health[Daily_Screen_Time]&lt;=4,"Low",IF(mental_health[Daily_Screen_Time]&lt;=8,"Medium","High"))</f>
        <v>High</v>
      </c>
    </row>
    <row r="944" spans="1:22" x14ac:dyDescent="0.3">
      <c r="A944">
        <v>943</v>
      </c>
      <c r="B944">
        <v>32</v>
      </c>
      <c r="C944" t="s">
        <v>23</v>
      </c>
      <c r="D944" t="s">
        <v>22</v>
      </c>
      <c r="E944">
        <v>6.8</v>
      </c>
      <c r="F944">
        <v>3</v>
      </c>
      <c r="G944">
        <v>0</v>
      </c>
      <c r="H944" t="str">
        <f t="shared" si="14"/>
        <v>No Night Usage</v>
      </c>
      <c r="I944">
        <v>8.6</v>
      </c>
      <c r="J944" s="3">
        <v>3</v>
      </c>
      <c r="K944">
        <v>9.8000000000000007</v>
      </c>
      <c r="L944" t="s">
        <v>20</v>
      </c>
      <c r="M944">
        <v>3</v>
      </c>
      <c r="N944">
        <v>2</v>
      </c>
      <c r="O944">
        <v>0</v>
      </c>
      <c r="P944">
        <v>1</v>
      </c>
      <c r="Q944">
        <v>0</v>
      </c>
      <c r="R944">
        <v>1</v>
      </c>
      <c r="S944">
        <v>1</v>
      </c>
      <c r="T944" t="str">
        <f>IF(mental_health[Sleep_Hours]&lt;5,"Low",IF(mental_health[Sleep_Hours]&lt;7,"Medium","Good"))</f>
        <v>Good</v>
      </c>
      <c r="U944" t="str">
        <f>IF(mental_health[Stress_Level]&lt;=3,"Low",IF(mental_health[Stress_Level]&lt;=7,"Medium","High"))</f>
        <v>Low</v>
      </c>
      <c r="V944" t="str">
        <f>IF(mental_health[Daily_Screen_Time]&lt;=4,"Low",IF(mental_health[Daily_Screen_Time]&lt;=8,"Medium","High"))</f>
        <v>Medium</v>
      </c>
    </row>
    <row r="945" spans="1:22" x14ac:dyDescent="0.3">
      <c r="A945">
        <v>944</v>
      </c>
      <c r="B945">
        <v>24</v>
      </c>
      <c r="C945" t="s">
        <v>18</v>
      </c>
      <c r="D945" t="s">
        <v>24</v>
      </c>
      <c r="E945">
        <v>11.9</v>
      </c>
      <c r="F945">
        <v>2.1</v>
      </c>
      <c r="G945">
        <v>0</v>
      </c>
      <c r="H945" t="str">
        <f t="shared" si="14"/>
        <v>No Night Usage</v>
      </c>
      <c r="I945">
        <v>3.9</v>
      </c>
      <c r="J945" s="3">
        <v>7</v>
      </c>
      <c r="K945">
        <v>11.2</v>
      </c>
      <c r="L945" t="s">
        <v>20</v>
      </c>
      <c r="M945">
        <v>4</v>
      </c>
      <c r="N945">
        <v>4</v>
      </c>
      <c r="O945">
        <v>1</v>
      </c>
      <c r="P945">
        <v>0</v>
      </c>
      <c r="Q945">
        <v>1</v>
      </c>
      <c r="R945">
        <v>1</v>
      </c>
      <c r="S945">
        <v>0</v>
      </c>
      <c r="T945" t="str">
        <f>IF(mental_health[Sleep_Hours]&lt;5,"Low",IF(mental_health[Sleep_Hours]&lt;7,"Medium","Good"))</f>
        <v>Low</v>
      </c>
      <c r="U945" t="str">
        <f>IF(mental_health[Stress_Level]&lt;=3,"Low",IF(mental_health[Stress_Level]&lt;=7,"Medium","High"))</f>
        <v>Medium</v>
      </c>
      <c r="V945" t="str">
        <f>IF(mental_health[Daily_Screen_Time]&lt;=4,"Low",IF(mental_health[Daily_Screen_Time]&lt;=8,"Medium","High"))</f>
        <v>High</v>
      </c>
    </row>
    <row r="946" spans="1:22" x14ac:dyDescent="0.3">
      <c r="A946">
        <v>945</v>
      </c>
      <c r="B946">
        <v>26</v>
      </c>
      <c r="C946" t="s">
        <v>23</v>
      </c>
      <c r="D946" t="s">
        <v>19</v>
      </c>
      <c r="E946">
        <v>9.5</v>
      </c>
      <c r="F946">
        <v>2.1</v>
      </c>
      <c r="G946">
        <v>1</v>
      </c>
      <c r="H946" t="str">
        <f t="shared" si="14"/>
        <v>Night Usage</v>
      </c>
      <c r="I946">
        <v>8.8000000000000007</v>
      </c>
      <c r="J946" s="3">
        <v>3</v>
      </c>
      <c r="K946">
        <v>5.0999999999999996</v>
      </c>
      <c r="L946" t="s">
        <v>21</v>
      </c>
      <c r="M946">
        <v>7</v>
      </c>
      <c r="N946">
        <v>0</v>
      </c>
      <c r="O946">
        <v>1</v>
      </c>
      <c r="P946">
        <v>1</v>
      </c>
      <c r="Q946">
        <v>1</v>
      </c>
      <c r="R946">
        <v>1</v>
      </c>
      <c r="S946">
        <v>1</v>
      </c>
      <c r="T946" t="str">
        <f>IF(mental_health[Sleep_Hours]&lt;5,"Low",IF(mental_health[Sleep_Hours]&lt;7,"Medium","Good"))</f>
        <v>Good</v>
      </c>
      <c r="U946" t="str">
        <f>IF(mental_health[Stress_Level]&lt;=3,"Low",IF(mental_health[Stress_Level]&lt;=7,"Medium","High"))</f>
        <v>Low</v>
      </c>
      <c r="V946" t="str">
        <f>IF(mental_health[Daily_Screen_Time]&lt;=4,"Low",IF(mental_health[Daily_Screen_Time]&lt;=8,"Medium","High"))</f>
        <v>High</v>
      </c>
    </row>
    <row r="947" spans="1:22" x14ac:dyDescent="0.3">
      <c r="A947">
        <v>946</v>
      </c>
      <c r="B947">
        <v>30</v>
      </c>
      <c r="C947" t="s">
        <v>18</v>
      </c>
      <c r="D947" t="s">
        <v>24</v>
      </c>
      <c r="E947">
        <v>4.5</v>
      </c>
      <c r="F947">
        <v>3</v>
      </c>
      <c r="G947">
        <v>1</v>
      </c>
      <c r="H947" t="str">
        <f t="shared" si="14"/>
        <v>Night Usage</v>
      </c>
      <c r="I947">
        <v>8.6999999999999993</v>
      </c>
      <c r="J947" s="3">
        <v>3</v>
      </c>
      <c r="K947">
        <v>4.5</v>
      </c>
      <c r="L947" t="s">
        <v>21</v>
      </c>
      <c r="M947">
        <v>3</v>
      </c>
      <c r="N947">
        <v>0</v>
      </c>
      <c r="O947">
        <v>1</v>
      </c>
      <c r="P947">
        <v>1</v>
      </c>
      <c r="Q947">
        <v>0</v>
      </c>
      <c r="R947">
        <v>1</v>
      </c>
      <c r="S947">
        <v>0</v>
      </c>
      <c r="T947" t="str">
        <f>IF(mental_health[Sleep_Hours]&lt;5,"Low",IF(mental_health[Sleep_Hours]&lt;7,"Medium","Good"))</f>
        <v>Good</v>
      </c>
      <c r="U947" t="str">
        <f>IF(mental_health[Stress_Level]&lt;=3,"Low",IF(mental_health[Stress_Level]&lt;=7,"Medium","High"))</f>
        <v>Low</v>
      </c>
      <c r="V947" t="str">
        <f>IF(mental_health[Daily_Screen_Time]&lt;=4,"Low",IF(mental_health[Daily_Screen_Time]&lt;=8,"Medium","High"))</f>
        <v>Medium</v>
      </c>
    </row>
    <row r="948" spans="1:22" x14ac:dyDescent="0.3">
      <c r="A948">
        <v>947</v>
      </c>
      <c r="B948">
        <v>39</v>
      </c>
      <c r="C948" t="s">
        <v>18</v>
      </c>
      <c r="D948" t="s">
        <v>19</v>
      </c>
      <c r="E948">
        <v>7.4</v>
      </c>
      <c r="F948">
        <v>6.5</v>
      </c>
      <c r="G948">
        <v>1</v>
      </c>
      <c r="H948" t="str">
        <f t="shared" si="14"/>
        <v>Night Usage</v>
      </c>
      <c r="I948">
        <v>8.3000000000000007</v>
      </c>
      <c r="J948" s="3">
        <v>10</v>
      </c>
      <c r="K948">
        <v>5.8</v>
      </c>
      <c r="L948" t="s">
        <v>25</v>
      </c>
      <c r="M948">
        <v>1</v>
      </c>
      <c r="N948">
        <v>1</v>
      </c>
      <c r="O948">
        <v>1</v>
      </c>
      <c r="P948">
        <v>1</v>
      </c>
      <c r="Q948">
        <v>0</v>
      </c>
      <c r="R948">
        <v>1</v>
      </c>
      <c r="S948">
        <v>0</v>
      </c>
      <c r="T948" t="str">
        <f>IF(mental_health[Sleep_Hours]&lt;5,"Low",IF(mental_health[Sleep_Hours]&lt;7,"Medium","Good"))</f>
        <v>Good</v>
      </c>
      <c r="U948" t="str">
        <f>IF(mental_health[Stress_Level]&lt;=3,"Low",IF(mental_health[Stress_Level]&lt;=7,"Medium","High"))</f>
        <v>High</v>
      </c>
      <c r="V948" t="str">
        <f>IF(mental_health[Daily_Screen_Time]&lt;=4,"Low",IF(mental_health[Daily_Screen_Time]&lt;=8,"Medium","High"))</f>
        <v>Medium</v>
      </c>
    </row>
    <row r="949" spans="1:22" x14ac:dyDescent="0.3">
      <c r="A949">
        <v>948</v>
      </c>
      <c r="B949">
        <v>53</v>
      </c>
      <c r="C949" t="s">
        <v>23</v>
      </c>
      <c r="D949" t="s">
        <v>19</v>
      </c>
      <c r="E949">
        <v>11.9</v>
      </c>
      <c r="F949">
        <v>7.3</v>
      </c>
      <c r="G949">
        <v>1</v>
      </c>
      <c r="H949" t="str">
        <f t="shared" si="14"/>
        <v>Night Usage</v>
      </c>
      <c r="I949">
        <v>4.3</v>
      </c>
      <c r="J949" s="3">
        <v>9</v>
      </c>
      <c r="K949">
        <v>2.6</v>
      </c>
      <c r="L949" t="s">
        <v>21</v>
      </c>
      <c r="M949">
        <v>6</v>
      </c>
      <c r="N949">
        <v>4</v>
      </c>
      <c r="O949">
        <v>1</v>
      </c>
      <c r="P949">
        <v>1</v>
      </c>
      <c r="Q949">
        <v>0</v>
      </c>
      <c r="R949">
        <v>1</v>
      </c>
      <c r="S949">
        <v>0</v>
      </c>
      <c r="T949" t="str">
        <f>IF(mental_health[Sleep_Hours]&lt;5,"Low",IF(mental_health[Sleep_Hours]&lt;7,"Medium","Good"))</f>
        <v>Low</v>
      </c>
      <c r="U949" t="str">
        <f>IF(mental_health[Stress_Level]&lt;=3,"Low",IF(mental_health[Stress_Level]&lt;=7,"Medium","High"))</f>
        <v>High</v>
      </c>
      <c r="V949" t="str">
        <f>IF(mental_health[Daily_Screen_Time]&lt;=4,"Low",IF(mental_health[Daily_Screen_Time]&lt;=8,"Medium","High"))</f>
        <v>High</v>
      </c>
    </row>
    <row r="950" spans="1:22" x14ac:dyDescent="0.3">
      <c r="A950">
        <v>949</v>
      </c>
      <c r="B950">
        <v>50</v>
      </c>
      <c r="C950" t="s">
        <v>18</v>
      </c>
      <c r="D950" t="s">
        <v>22</v>
      </c>
      <c r="E950">
        <v>10.6</v>
      </c>
      <c r="F950">
        <v>7.8</v>
      </c>
      <c r="G950">
        <v>1</v>
      </c>
      <c r="H950" t="str">
        <f t="shared" si="14"/>
        <v>Night Usage</v>
      </c>
      <c r="I950">
        <v>6.8</v>
      </c>
      <c r="J950" s="3">
        <v>2</v>
      </c>
      <c r="K950">
        <v>10.1</v>
      </c>
      <c r="L950" t="s">
        <v>21</v>
      </c>
      <c r="M950">
        <v>3</v>
      </c>
      <c r="N950">
        <v>3</v>
      </c>
      <c r="O950">
        <v>0</v>
      </c>
      <c r="P950">
        <v>0</v>
      </c>
      <c r="Q950">
        <v>1</v>
      </c>
      <c r="R950">
        <v>0</v>
      </c>
      <c r="S950">
        <v>1</v>
      </c>
      <c r="T950" t="str">
        <f>IF(mental_health[Sleep_Hours]&lt;5,"Low",IF(mental_health[Sleep_Hours]&lt;7,"Medium","Good"))</f>
        <v>Medium</v>
      </c>
      <c r="U950" t="str">
        <f>IF(mental_health[Stress_Level]&lt;=3,"Low",IF(mental_health[Stress_Level]&lt;=7,"Medium","High"))</f>
        <v>Low</v>
      </c>
      <c r="V950" t="str">
        <f>IF(mental_health[Daily_Screen_Time]&lt;=4,"Low",IF(mental_health[Daily_Screen_Time]&lt;=8,"Medium","High"))</f>
        <v>High</v>
      </c>
    </row>
    <row r="951" spans="1:22" x14ac:dyDescent="0.3">
      <c r="A951">
        <v>950</v>
      </c>
      <c r="B951">
        <v>45</v>
      </c>
      <c r="C951" t="s">
        <v>18</v>
      </c>
      <c r="D951" t="s">
        <v>22</v>
      </c>
      <c r="E951">
        <v>3</v>
      </c>
      <c r="F951">
        <v>2.6</v>
      </c>
      <c r="G951">
        <v>1</v>
      </c>
      <c r="H951" t="str">
        <f t="shared" si="14"/>
        <v>Night Usage</v>
      </c>
      <c r="I951">
        <v>7.6</v>
      </c>
      <c r="J951" s="3">
        <v>4</v>
      </c>
      <c r="K951">
        <v>11.8</v>
      </c>
      <c r="L951" t="s">
        <v>21</v>
      </c>
      <c r="M951">
        <v>10</v>
      </c>
      <c r="N951">
        <v>0</v>
      </c>
      <c r="O951">
        <v>0</v>
      </c>
      <c r="P951">
        <v>1</v>
      </c>
      <c r="Q951">
        <v>0</v>
      </c>
      <c r="R951">
        <v>1</v>
      </c>
      <c r="S951">
        <v>1</v>
      </c>
      <c r="T951" t="str">
        <f>IF(mental_health[Sleep_Hours]&lt;5,"Low",IF(mental_health[Sleep_Hours]&lt;7,"Medium","Good"))</f>
        <v>Good</v>
      </c>
      <c r="U951" t="str">
        <f>IF(mental_health[Stress_Level]&lt;=3,"Low",IF(mental_health[Stress_Level]&lt;=7,"Medium","High"))</f>
        <v>Medium</v>
      </c>
      <c r="V951" t="str">
        <f>IF(mental_health[Daily_Screen_Time]&lt;=4,"Low",IF(mental_health[Daily_Screen_Time]&lt;=8,"Medium","High"))</f>
        <v>Low</v>
      </c>
    </row>
    <row r="952" spans="1:22" x14ac:dyDescent="0.3">
      <c r="A952">
        <v>951</v>
      </c>
      <c r="B952">
        <v>46</v>
      </c>
      <c r="C952" t="s">
        <v>18</v>
      </c>
      <c r="D952" t="s">
        <v>19</v>
      </c>
      <c r="E952">
        <v>9.1</v>
      </c>
      <c r="F952">
        <v>7.2</v>
      </c>
      <c r="G952">
        <v>0</v>
      </c>
      <c r="H952" t="str">
        <f t="shared" si="14"/>
        <v>No Night Usage</v>
      </c>
      <c r="I952">
        <v>8.9</v>
      </c>
      <c r="J952" s="3">
        <v>6</v>
      </c>
      <c r="K952">
        <v>10.199999999999999</v>
      </c>
      <c r="L952" t="s">
        <v>20</v>
      </c>
      <c r="M952">
        <v>6</v>
      </c>
      <c r="N952">
        <v>3</v>
      </c>
      <c r="O952">
        <v>1</v>
      </c>
      <c r="P952">
        <v>1</v>
      </c>
      <c r="Q952">
        <v>1</v>
      </c>
      <c r="R952">
        <v>0</v>
      </c>
      <c r="S952">
        <v>1</v>
      </c>
      <c r="T952" t="str">
        <f>IF(mental_health[Sleep_Hours]&lt;5,"Low",IF(mental_health[Sleep_Hours]&lt;7,"Medium","Good"))</f>
        <v>Good</v>
      </c>
      <c r="U952" t="str">
        <f>IF(mental_health[Stress_Level]&lt;=3,"Low",IF(mental_health[Stress_Level]&lt;=7,"Medium","High"))</f>
        <v>Medium</v>
      </c>
      <c r="V952" t="str">
        <f>IF(mental_health[Daily_Screen_Time]&lt;=4,"Low",IF(mental_health[Daily_Screen_Time]&lt;=8,"Medium","High"))</f>
        <v>High</v>
      </c>
    </row>
    <row r="953" spans="1:22" x14ac:dyDescent="0.3">
      <c r="A953">
        <v>952</v>
      </c>
      <c r="B953">
        <v>20</v>
      </c>
      <c r="C953" t="s">
        <v>18</v>
      </c>
      <c r="D953" t="s">
        <v>24</v>
      </c>
      <c r="E953">
        <v>5.5</v>
      </c>
      <c r="F953">
        <v>3.3</v>
      </c>
      <c r="G953">
        <v>0</v>
      </c>
      <c r="H953" t="str">
        <f t="shared" si="14"/>
        <v>No Night Usage</v>
      </c>
      <c r="I953">
        <v>4.0999999999999996</v>
      </c>
      <c r="J953" s="3">
        <v>3</v>
      </c>
      <c r="K953">
        <v>7.5</v>
      </c>
      <c r="L953" t="s">
        <v>25</v>
      </c>
      <c r="M953">
        <v>10</v>
      </c>
      <c r="N953">
        <v>3</v>
      </c>
      <c r="O953">
        <v>1</v>
      </c>
      <c r="P953">
        <v>1</v>
      </c>
      <c r="Q953">
        <v>1</v>
      </c>
      <c r="R953">
        <v>1</v>
      </c>
      <c r="S953">
        <v>1</v>
      </c>
      <c r="T953" t="str">
        <f>IF(mental_health[Sleep_Hours]&lt;5,"Low",IF(mental_health[Sleep_Hours]&lt;7,"Medium","Good"))</f>
        <v>Low</v>
      </c>
      <c r="U953" t="str">
        <f>IF(mental_health[Stress_Level]&lt;=3,"Low",IF(mental_health[Stress_Level]&lt;=7,"Medium","High"))</f>
        <v>Low</v>
      </c>
      <c r="V953" t="str">
        <f>IF(mental_health[Daily_Screen_Time]&lt;=4,"Low",IF(mental_health[Daily_Screen_Time]&lt;=8,"Medium","High"))</f>
        <v>Medium</v>
      </c>
    </row>
    <row r="954" spans="1:22" x14ac:dyDescent="0.3">
      <c r="A954">
        <v>953</v>
      </c>
      <c r="B954">
        <v>59</v>
      </c>
      <c r="C954" t="s">
        <v>23</v>
      </c>
      <c r="D954" t="s">
        <v>19</v>
      </c>
      <c r="E954">
        <v>2.1</v>
      </c>
      <c r="F954">
        <v>1.8</v>
      </c>
      <c r="G954">
        <v>0</v>
      </c>
      <c r="H954" t="str">
        <f t="shared" si="14"/>
        <v>No Night Usage</v>
      </c>
      <c r="I954">
        <v>7.6</v>
      </c>
      <c r="J954" s="3">
        <v>10</v>
      </c>
      <c r="K954">
        <v>5</v>
      </c>
      <c r="L954" t="s">
        <v>20</v>
      </c>
      <c r="M954">
        <v>3</v>
      </c>
      <c r="N954">
        <v>2</v>
      </c>
      <c r="O954">
        <v>1</v>
      </c>
      <c r="P954">
        <v>1</v>
      </c>
      <c r="Q954">
        <v>1</v>
      </c>
      <c r="R954">
        <v>0</v>
      </c>
      <c r="S954">
        <v>0</v>
      </c>
      <c r="T954" t="str">
        <f>IF(mental_health[Sleep_Hours]&lt;5,"Low",IF(mental_health[Sleep_Hours]&lt;7,"Medium","Good"))</f>
        <v>Good</v>
      </c>
      <c r="U954" t="str">
        <f>IF(mental_health[Stress_Level]&lt;=3,"Low",IF(mental_health[Stress_Level]&lt;=7,"Medium","High"))</f>
        <v>High</v>
      </c>
      <c r="V954" t="str">
        <f>IF(mental_health[Daily_Screen_Time]&lt;=4,"Low",IF(mental_health[Daily_Screen_Time]&lt;=8,"Medium","High"))</f>
        <v>Low</v>
      </c>
    </row>
    <row r="955" spans="1:22" x14ac:dyDescent="0.3">
      <c r="A955">
        <v>954</v>
      </c>
      <c r="B955">
        <v>29</v>
      </c>
      <c r="C955" t="s">
        <v>23</v>
      </c>
      <c r="D955" t="s">
        <v>19</v>
      </c>
      <c r="E955">
        <v>6</v>
      </c>
      <c r="F955">
        <v>7.1</v>
      </c>
      <c r="G955">
        <v>1</v>
      </c>
      <c r="H955" t="str">
        <f t="shared" si="14"/>
        <v>Night Usage</v>
      </c>
      <c r="I955">
        <v>5</v>
      </c>
      <c r="J955" s="3">
        <v>10</v>
      </c>
      <c r="K955">
        <v>4</v>
      </c>
      <c r="L955" t="s">
        <v>21</v>
      </c>
      <c r="M955">
        <v>6</v>
      </c>
      <c r="N955">
        <v>2</v>
      </c>
      <c r="O955">
        <v>0</v>
      </c>
      <c r="P955">
        <v>0</v>
      </c>
      <c r="Q955">
        <v>1</v>
      </c>
      <c r="R955">
        <v>0</v>
      </c>
      <c r="S955">
        <v>1</v>
      </c>
      <c r="T955" t="str">
        <f>IF(mental_health[Sleep_Hours]&lt;5,"Low",IF(mental_health[Sleep_Hours]&lt;7,"Medium","Good"))</f>
        <v>Medium</v>
      </c>
      <c r="U955" t="str">
        <f>IF(mental_health[Stress_Level]&lt;=3,"Low",IF(mental_health[Stress_Level]&lt;=7,"Medium","High"))</f>
        <v>High</v>
      </c>
      <c r="V955" t="str">
        <f>IF(mental_health[Daily_Screen_Time]&lt;=4,"Low",IF(mental_health[Daily_Screen_Time]&lt;=8,"Medium","High"))</f>
        <v>Medium</v>
      </c>
    </row>
    <row r="956" spans="1:22" x14ac:dyDescent="0.3">
      <c r="A956">
        <v>955</v>
      </c>
      <c r="B956">
        <v>26</v>
      </c>
      <c r="C956" t="s">
        <v>18</v>
      </c>
      <c r="D956" t="s">
        <v>24</v>
      </c>
      <c r="E956">
        <v>4.3</v>
      </c>
      <c r="F956">
        <v>5.5</v>
      </c>
      <c r="G956">
        <v>1</v>
      </c>
      <c r="H956" t="str">
        <f t="shared" si="14"/>
        <v>Night Usage</v>
      </c>
      <c r="I956">
        <v>4.0999999999999996</v>
      </c>
      <c r="J956" s="3">
        <v>7</v>
      </c>
      <c r="K956">
        <v>5.6</v>
      </c>
      <c r="L956" t="s">
        <v>25</v>
      </c>
      <c r="M956">
        <v>4</v>
      </c>
      <c r="N956">
        <v>0</v>
      </c>
      <c r="O956">
        <v>1</v>
      </c>
      <c r="P956">
        <v>0</v>
      </c>
      <c r="Q956">
        <v>0</v>
      </c>
      <c r="R956">
        <v>0</v>
      </c>
      <c r="S956">
        <v>0</v>
      </c>
      <c r="T956" t="str">
        <f>IF(mental_health[Sleep_Hours]&lt;5,"Low",IF(mental_health[Sleep_Hours]&lt;7,"Medium","Good"))</f>
        <v>Low</v>
      </c>
      <c r="U956" t="str">
        <f>IF(mental_health[Stress_Level]&lt;=3,"Low",IF(mental_health[Stress_Level]&lt;=7,"Medium","High"))</f>
        <v>Medium</v>
      </c>
      <c r="V956" t="str">
        <f>IF(mental_health[Daily_Screen_Time]&lt;=4,"Low",IF(mental_health[Daily_Screen_Time]&lt;=8,"Medium","High"))</f>
        <v>Medium</v>
      </c>
    </row>
    <row r="957" spans="1:22" x14ac:dyDescent="0.3">
      <c r="A957">
        <v>956</v>
      </c>
      <c r="B957">
        <v>24</v>
      </c>
      <c r="C957" t="s">
        <v>18</v>
      </c>
      <c r="D957" t="s">
        <v>24</v>
      </c>
      <c r="E957">
        <v>10.199999999999999</v>
      </c>
      <c r="F957">
        <v>2.2000000000000002</v>
      </c>
      <c r="G957">
        <v>1</v>
      </c>
      <c r="H957" t="str">
        <f t="shared" si="14"/>
        <v>Night Usage</v>
      </c>
      <c r="I957">
        <v>5.5</v>
      </c>
      <c r="J957" s="3">
        <v>7</v>
      </c>
      <c r="K957">
        <v>8.6999999999999993</v>
      </c>
      <c r="L957" t="s">
        <v>21</v>
      </c>
      <c r="M957">
        <v>4</v>
      </c>
      <c r="N957">
        <v>3</v>
      </c>
      <c r="O957">
        <v>1</v>
      </c>
      <c r="P957">
        <v>1</v>
      </c>
      <c r="Q957">
        <v>0</v>
      </c>
      <c r="R957">
        <v>1</v>
      </c>
      <c r="S957">
        <v>1</v>
      </c>
      <c r="T957" t="str">
        <f>IF(mental_health[Sleep_Hours]&lt;5,"Low",IF(mental_health[Sleep_Hours]&lt;7,"Medium","Good"))</f>
        <v>Medium</v>
      </c>
      <c r="U957" t="str">
        <f>IF(mental_health[Stress_Level]&lt;=3,"Low",IF(mental_health[Stress_Level]&lt;=7,"Medium","High"))</f>
        <v>Medium</v>
      </c>
      <c r="V957" t="str">
        <f>IF(mental_health[Daily_Screen_Time]&lt;=4,"Low",IF(mental_health[Daily_Screen_Time]&lt;=8,"Medium","High"))</f>
        <v>High</v>
      </c>
    </row>
    <row r="958" spans="1:22" x14ac:dyDescent="0.3">
      <c r="A958">
        <v>957</v>
      </c>
      <c r="B958">
        <v>49</v>
      </c>
      <c r="C958" t="s">
        <v>18</v>
      </c>
      <c r="D958" t="s">
        <v>24</v>
      </c>
      <c r="E958">
        <v>5.4</v>
      </c>
      <c r="F958">
        <v>4</v>
      </c>
      <c r="G958">
        <v>0</v>
      </c>
      <c r="H958" t="str">
        <f t="shared" si="14"/>
        <v>No Night Usage</v>
      </c>
      <c r="I958">
        <v>7.8</v>
      </c>
      <c r="J958" s="3">
        <v>5</v>
      </c>
      <c r="K958">
        <v>6.5</v>
      </c>
      <c r="L958" t="s">
        <v>20</v>
      </c>
      <c r="M958">
        <v>10</v>
      </c>
      <c r="N958">
        <v>2</v>
      </c>
      <c r="O958">
        <v>1</v>
      </c>
      <c r="P958">
        <v>0</v>
      </c>
      <c r="Q958">
        <v>1</v>
      </c>
      <c r="R958">
        <v>0</v>
      </c>
      <c r="S958">
        <v>1</v>
      </c>
      <c r="T958" t="str">
        <f>IF(mental_health[Sleep_Hours]&lt;5,"Low",IF(mental_health[Sleep_Hours]&lt;7,"Medium","Good"))</f>
        <v>Good</v>
      </c>
      <c r="U958" t="str">
        <f>IF(mental_health[Stress_Level]&lt;=3,"Low",IF(mental_health[Stress_Level]&lt;=7,"Medium","High"))</f>
        <v>Medium</v>
      </c>
      <c r="V958" t="str">
        <f>IF(mental_health[Daily_Screen_Time]&lt;=4,"Low",IF(mental_health[Daily_Screen_Time]&lt;=8,"Medium","High"))</f>
        <v>Medium</v>
      </c>
    </row>
    <row r="959" spans="1:22" x14ac:dyDescent="0.3">
      <c r="A959">
        <v>958</v>
      </c>
      <c r="B959">
        <v>27</v>
      </c>
      <c r="C959" t="s">
        <v>23</v>
      </c>
      <c r="D959" t="s">
        <v>24</v>
      </c>
      <c r="E959">
        <v>10.3</v>
      </c>
      <c r="F959">
        <v>3</v>
      </c>
      <c r="G959">
        <v>0</v>
      </c>
      <c r="H959" t="str">
        <f t="shared" si="14"/>
        <v>No Night Usage</v>
      </c>
      <c r="I959">
        <v>5.8</v>
      </c>
      <c r="J959" s="3">
        <v>3</v>
      </c>
      <c r="K959">
        <v>11.3</v>
      </c>
      <c r="L959" t="s">
        <v>20</v>
      </c>
      <c r="M959">
        <v>10</v>
      </c>
      <c r="N959">
        <v>4</v>
      </c>
      <c r="O959">
        <v>0</v>
      </c>
      <c r="P959">
        <v>1</v>
      </c>
      <c r="Q959">
        <v>0</v>
      </c>
      <c r="R959">
        <v>0</v>
      </c>
      <c r="S959">
        <v>0</v>
      </c>
      <c r="T959" t="str">
        <f>IF(mental_health[Sleep_Hours]&lt;5,"Low",IF(mental_health[Sleep_Hours]&lt;7,"Medium","Good"))</f>
        <v>Medium</v>
      </c>
      <c r="U959" t="str">
        <f>IF(mental_health[Stress_Level]&lt;=3,"Low",IF(mental_health[Stress_Level]&lt;=7,"Medium","High"))</f>
        <v>Low</v>
      </c>
      <c r="V959" t="str">
        <f>IF(mental_health[Daily_Screen_Time]&lt;=4,"Low",IF(mental_health[Daily_Screen_Time]&lt;=8,"Medium","High"))</f>
        <v>High</v>
      </c>
    </row>
    <row r="960" spans="1:22" x14ac:dyDescent="0.3">
      <c r="A960">
        <v>959</v>
      </c>
      <c r="B960">
        <v>50</v>
      </c>
      <c r="C960" t="s">
        <v>23</v>
      </c>
      <c r="D960" t="s">
        <v>19</v>
      </c>
      <c r="E960">
        <v>2</v>
      </c>
      <c r="F960">
        <v>6.2</v>
      </c>
      <c r="G960">
        <v>1</v>
      </c>
      <c r="H960" t="str">
        <f t="shared" si="14"/>
        <v>Night Usage</v>
      </c>
      <c r="I960">
        <v>6.2</v>
      </c>
      <c r="J960" s="3">
        <v>2</v>
      </c>
      <c r="K960">
        <v>10.5</v>
      </c>
      <c r="L960" t="s">
        <v>21</v>
      </c>
      <c r="M960">
        <v>2</v>
      </c>
      <c r="N960">
        <v>4</v>
      </c>
      <c r="O960">
        <v>1</v>
      </c>
      <c r="P960">
        <v>0</v>
      </c>
      <c r="Q960">
        <v>0</v>
      </c>
      <c r="R960">
        <v>1</v>
      </c>
      <c r="S960">
        <v>1</v>
      </c>
      <c r="T960" t="str">
        <f>IF(mental_health[Sleep_Hours]&lt;5,"Low",IF(mental_health[Sleep_Hours]&lt;7,"Medium","Good"))</f>
        <v>Medium</v>
      </c>
      <c r="U960" t="str">
        <f>IF(mental_health[Stress_Level]&lt;=3,"Low",IF(mental_health[Stress_Level]&lt;=7,"Medium","High"))</f>
        <v>Low</v>
      </c>
      <c r="V960" t="str">
        <f>IF(mental_health[Daily_Screen_Time]&lt;=4,"Low",IF(mental_health[Daily_Screen_Time]&lt;=8,"Medium","High"))</f>
        <v>Low</v>
      </c>
    </row>
    <row r="961" spans="1:22" x14ac:dyDescent="0.3">
      <c r="A961">
        <v>960</v>
      </c>
      <c r="B961">
        <v>50</v>
      </c>
      <c r="C961" t="s">
        <v>23</v>
      </c>
      <c r="D961" t="s">
        <v>19</v>
      </c>
      <c r="E961">
        <v>5.0999999999999996</v>
      </c>
      <c r="F961">
        <v>4.2</v>
      </c>
      <c r="G961">
        <v>1</v>
      </c>
      <c r="H961" t="str">
        <f t="shared" si="14"/>
        <v>Night Usage</v>
      </c>
      <c r="I961">
        <v>9</v>
      </c>
      <c r="J961" s="3">
        <v>4</v>
      </c>
      <c r="K961">
        <v>3</v>
      </c>
      <c r="L961" t="s">
        <v>25</v>
      </c>
      <c r="M961">
        <v>4</v>
      </c>
      <c r="N961">
        <v>4</v>
      </c>
      <c r="O961">
        <v>0</v>
      </c>
      <c r="P961">
        <v>1</v>
      </c>
      <c r="Q961">
        <v>0</v>
      </c>
      <c r="R961">
        <v>0</v>
      </c>
      <c r="S961">
        <v>1</v>
      </c>
      <c r="T961" t="str">
        <f>IF(mental_health[Sleep_Hours]&lt;5,"Low",IF(mental_health[Sleep_Hours]&lt;7,"Medium","Good"))</f>
        <v>Good</v>
      </c>
      <c r="U961" t="str">
        <f>IF(mental_health[Stress_Level]&lt;=3,"Low",IF(mental_health[Stress_Level]&lt;=7,"Medium","High"))</f>
        <v>Medium</v>
      </c>
      <c r="V961" t="str">
        <f>IF(mental_health[Daily_Screen_Time]&lt;=4,"Low",IF(mental_health[Daily_Screen_Time]&lt;=8,"Medium","High"))</f>
        <v>Medium</v>
      </c>
    </row>
    <row r="962" spans="1:22" x14ac:dyDescent="0.3">
      <c r="A962">
        <v>961</v>
      </c>
      <c r="B962">
        <v>16</v>
      </c>
      <c r="C962" t="s">
        <v>23</v>
      </c>
      <c r="D962" t="s">
        <v>22</v>
      </c>
      <c r="E962">
        <v>4.4000000000000004</v>
      </c>
      <c r="F962">
        <v>7.9</v>
      </c>
      <c r="G962">
        <v>1</v>
      </c>
      <c r="H962" t="str">
        <f t="shared" ref="H962:H1025" si="15">IF(G962=1,"Night Usage","No Night Usage")</f>
        <v>Night Usage</v>
      </c>
      <c r="I962">
        <v>5.4</v>
      </c>
      <c r="J962" s="3">
        <v>4</v>
      </c>
      <c r="K962">
        <v>3.3</v>
      </c>
      <c r="L962" t="s">
        <v>20</v>
      </c>
      <c r="M962">
        <v>4</v>
      </c>
      <c r="N962">
        <v>4</v>
      </c>
      <c r="O962">
        <v>1</v>
      </c>
      <c r="P962">
        <v>0</v>
      </c>
      <c r="Q962">
        <v>1</v>
      </c>
      <c r="R962">
        <v>0</v>
      </c>
      <c r="S962">
        <v>0</v>
      </c>
      <c r="T962" t="str">
        <f>IF(mental_health[Sleep_Hours]&lt;5,"Low",IF(mental_health[Sleep_Hours]&lt;7,"Medium","Good"))</f>
        <v>Medium</v>
      </c>
      <c r="U962" t="str">
        <f>IF(mental_health[Stress_Level]&lt;=3,"Low",IF(mental_health[Stress_Level]&lt;=7,"Medium","High"))</f>
        <v>Medium</v>
      </c>
      <c r="V962" t="str">
        <f>IF(mental_health[Daily_Screen_Time]&lt;=4,"Low",IF(mental_health[Daily_Screen_Time]&lt;=8,"Medium","High"))</f>
        <v>Medium</v>
      </c>
    </row>
    <row r="963" spans="1:22" x14ac:dyDescent="0.3">
      <c r="A963">
        <v>962</v>
      </c>
      <c r="B963">
        <v>55</v>
      </c>
      <c r="C963" t="s">
        <v>18</v>
      </c>
      <c r="D963" t="s">
        <v>19</v>
      </c>
      <c r="E963">
        <v>4.3</v>
      </c>
      <c r="F963">
        <v>1.4</v>
      </c>
      <c r="G963">
        <v>1</v>
      </c>
      <c r="H963" t="str">
        <f t="shared" si="15"/>
        <v>Night Usage</v>
      </c>
      <c r="I963">
        <v>6.7</v>
      </c>
      <c r="J963" s="3">
        <v>8</v>
      </c>
      <c r="K963">
        <v>8.8000000000000007</v>
      </c>
      <c r="L963" t="s">
        <v>21</v>
      </c>
      <c r="M963">
        <v>7</v>
      </c>
      <c r="N963">
        <v>3</v>
      </c>
      <c r="O963">
        <v>1</v>
      </c>
      <c r="P963">
        <v>0</v>
      </c>
      <c r="Q963">
        <v>1</v>
      </c>
      <c r="R963">
        <v>1</v>
      </c>
      <c r="S963">
        <v>0</v>
      </c>
      <c r="T963" t="str">
        <f>IF(mental_health[Sleep_Hours]&lt;5,"Low",IF(mental_health[Sleep_Hours]&lt;7,"Medium","Good"))</f>
        <v>Medium</v>
      </c>
      <c r="U963" t="str">
        <f>IF(mental_health[Stress_Level]&lt;=3,"Low",IF(mental_health[Stress_Level]&lt;=7,"Medium","High"))</f>
        <v>High</v>
      </c>
      <c r="V963" t="str">
        <f>IF(mental_health[Daily_Screen_Time]&lt;=4,"Low",IF(mental_health[Daily_Screen_Time]&lt;=8,"Medium","High"))</f>
        <v>Medium</v>
      </c>
    </row>
    <row r="964" spans="1:22" x14ac:dyDescent="0.3">
      <c r="A964">
        <v>963</v>
      </c>
      <c r="B964">
        <v>37</v>
      </c>
      <c r="C964" t="s">
        <v>18</v>
      </c>
      <c r="D964" t="s">
        <v>24</v>
      </c>
      <c r="E964">
        <v>2.7</v>
      </c>
      <c r="F964">
        <v>3.5</v>
      </c>
      <c r="G964">
        <v>0</v>
      </c>
      <c r="H964" t="str">
        <f t="shared" si="15"/>
        <v>No Night Usage</v>
      </c>
      <c r="I964">
        <v>5.2</v>
      </c>
      <c r="J964" s="3">
        <v>8</v>
      </c>
      <c r="K964">
        <v>4.3</v>
      </c>
      <c r="L964" t="s">
        <v>21</v>
      </c>
      <c r="M964">
        <v>5</v>
      </c>
      <c r="N964">
        <v>4</v>
      </c>
      <c r="O964">
        <v>0</v>
      </c>
      <c r="P964">
        <v>0</v>
      </c>
      <c r="Q964">
        <v>1</v>
      </c>
      <c r="R964">
        <v>1</v>
      </c>
      <c r="S964">
        <v>0</v>
      </c>
      <c r="T964" t="str">
        <f>IF(mental_health[Sleep_Hours]&lt;5,"Low",IF(mental_health[Sleep_Hours]&lt;7,"Medium","Good"))</f>
        <v>Medium</v>
      </c>
      <c r="U964" t="str">
        <f>IF(mental_health[Stress_Level]&lt;=3,"Low",IF(mental_health[Stress_Level]&lt;=7,"Medium","High"))</f>
        <v>High</v>
      </c>
      <c r="V964" t="str">
        <f>IF(mental_health[Daily_Screen_Time]&lt;=4,"Low",IF(mental_health[Daily_Screen_Time]&lt;=8,"Medium","High"))</f>
        <v>Low</v>
      </c>
    </row>
    <row r="965" spans="1:22" x14ac:dyDescent="0.3">
      <c r="A965">
        <v>964</v>
      </c>
      <c r="B965">
        <v>44</v>
      </c>
      <c r="C965" t="s">
        <v>18</v>
      </c>
      <c r="D965" t="s">
        <v>22</v>
      </c>
      <c r="E965">
        <v>3.9</v>
      </c>
      <c r="F965">
        <v>4.4000000000000004</v>
      </c>
      <c r="G965">
        <v>0</v>
      </c>
      <c r="H965" t="str">
        <f t="shared" si="15"/>
        <v>No Night Usage</v>
      </c>
      <c r="I965">
        <v>5.4</v>
      </c>
      <c r="J965" s="3">
        <v>5</v>
      </c>
      <c r="K965">
        <v>9.9</v>
      </c>
      <c r="L965" t="s">
        <v>21</v>
      </c>
      <c r="M965">
        <v>8</v>
      </c>
      <c r="N965">
        <v>3</v>
      </c>
      <c r="O965">
        <v>0</v>
      </c>
      <c r="P965">
        <v>0</v>
      </c>
      <c r="Q965">
        <v>0</v>
      </c>
      <c r="R965">
        <v>0</v>
      </c>
      <c r="S965">
        <v>0</v>
      </c>
      <c r="T965" t="str">
        <f>IF(mental_health[Sleep_Hours]&lt;5,"Low",IF(mental_health[Sleep_Hours]&lt;7,"Medium","Good"))</f>
        <v>Medium</v>
      </c>
      <c r="U965" t="str">
        <f>IF(mental_health[Stress_Level]&lt;=3,"Low",IF(mental_health[Stress_Level]&lt;=7,"Medium","High"))</f>
        <v>Medium</v>
      </c>
      <c r="V965" t="str">
        <f>IF(mental_health[Daily_Screen_Time]&lt;=4,"Low",IF(mental_health[Daily_Screen_Time]&lt;=8,"Medium","High"))</f>
        <v>Low</v>
      </c>
    </row>
    <row r="966" spans="1:22" x14ac:dyDescent="0.3">
      <c r="A966">
        <v>965</v>
      </c>
      <c r="B966">
        <v>23</v>
      </c>
      <c r="C966" t="s">
        <v>23</v>
      </c>
      <c r="D966" t="s">
        <v>24</v>
      </c>
      <c r="E966">
        <v>7.6</v>
      </c>
      <c r="F966">
        <v>4.5</v>
      </c>
      <c r="G966">
        <v>0</v>
      </c>
      <c r="H966" t="str">
        <f t="shared" si="15"/>
        <v>No Night Usage</v>
      </c>
      <c r="I966">
        <v>7.2</v>
      </c>
      <c r="J966" s="3">
        <v>6</v>
      </c>
      <c r="K966">
        <v>7.9</v>
      </c>
      <c r="L966" t="s">
        <v>25</v>
      </c>
      <c r="M966">
        <v>7</v>
      </c>
      <c r="N966">
        <v>0</v>
      </c>
      <c r="O966">
        <v>1</v>
      </c>
      <c r="P966">
        <v>0</v>
      </c>
      <c r="Q966">
        <v>0</v>
      </c>
      <c r="R966">
        <v>1</v>
      </c>
      <c r="S966">
        <v>1</v>
      </c>
      <c r="T966" t="str">
        <f>IF(mental_health[Sleep_Hours]&lt;5,"Low",IF(mental_health[Sleep_Hours]&lt;7,"Medium","Good"))</f>
        <v>Good</v>
      </c>
      <c r="U966" t="str">
        <f>IF(mental_health[Stress_Level]&lt;=3,"Low",IF(mental_health[Stress_Level]&lt;=7,"Medium","High"))</f>
        <v>Medium</v>
      </c>
      <c r="V966" t="str">
        <f>IF(mental_health[Daily_Screen_Time]&lt;=4,"Low",IF(mental_health[Daily_Screen_Time]&lt;=8,"Medium","High"))</f>
        <v>Medium</v>
      </c>
    </row>
    <row r="967" spans="1:22" x14ac:dyDescent="0.3">
      <c r="A967">
        <v>966</v>
      </c>
      <c r="B967">
        <v>26</v>
      </c>
      <c r="C967" t="s">
        <v>18</v>
      </c>
      <c r="D967" t="s">
        <v>19</v>
      </c>
      <c r="E967">
        <v>4.9000000000000004</v>
      </c>
      <c r="F967">
        <v>3.2</v>
      </c>
      <c r="G967">
        <v>1</v>
      </c>
      <c r="H967" t="str">
        <f t="shared" si="15"/>
        <v>Night Usage</v>
      </c>
      <c r="I967">
        <v>8.6</v>
      </c>
      <c r="J967" s="3">
        <v>8</v>
      </c>
      <c r="K967">
        <v>4.3</v>
      </c>
      <c r="L967" t="s">
        <v>21</v>
      </c>
      <c r="M967">
        <v>10</v>
      </c>
      <c r="N967">
        <v>0</v>
      </c>
      <c r="O967">
        <v>1</v>
      </c>
      <c r="P967">
        <v>1</v>
      </c>
      <c r="Q967">
        <v>0</v>
      </c>
      <c r="R967">
        <v>1</v>
      </c>
      <c r="S967">
        <v>0</v>
      </c>
      <c r="T967" t="str">
        <f>IF(mental_health[Sleep_Hours]&lt;5,"Low",IF(mental_health[Sleep_Hours]&lt;7,"Medium","Good"))</f>
        <v>Good</v>
      </c>
      <c r="U967" t="str">
        <f>IF(mental_health[Stress_Level]&lt;=3,"Low",IF(mental_health[Stress_Level]&lt;=7,"Medium","High"))</f>
        <v>High</v>
      </c>
      <c r="V967" t="str">
        <f>IF(mental_health[Daily_Screen_Time]&lt;=4,"Low",IF(mental_health[Daily_Screen_Time]&lt;=8,"Medium","High"))</f>
        <v>Medium</v>
      </c>
    </row>
    <row r="968" spans="1:22" x14ac:dyDescent="0.3">
      <c r="A968">
        <v>967</v>
      </c>
      <c r="B968">
        <v>56</v>
      </c>
      <c r="C968" t="s">
        <v>23</v>
      </c>
      <c r="D968" t="s">
        <v>22</v>
      </c>
      <c r="E968">
        <v>6.2</v>
      </c>
      <c r="F968">
        <v>6.1</v>
      </c>
      <c r="G968">
        <v>0</v>
      </c>
      <c r="H968" t="str">
        <f t="shared" si="15"/>
        <v>No Night Usage</v>
      </c>
      <c r="I968">
        <v>6.3</v>
      </c>
      <c r="J968" s="3">
        <v>1</v>
      </c>
      <c r="K968">
        <v>6.8</v>
      </c>
      <c r="L968" t="s">
        <v>21</v>
      </c>
      <c r="M968">
        <v>9</v>
      </c>
      <c r="N968">
        <v>4</v>
      </c>
      <c r="O968">
        <v>0</v>
      </c>
      <c r="P968">
        <v>0</v>
      </c>
      <c r="Q968">
        <v>0</v>
      </c>
      <c r="R968">
        <v>1</v>
      </c>
      <c r="S968">
        <v>0</v>
      </c>
      <c r="T968" t="str">
        <f>IF(mental_health[Sleep_Hours]&lt;5,"Low",IF(mental_health[Sleep_Hours]&lt;7,"Medium","Good"))</f>
        <v>Medium</v>
      </c>
      <c r="U968" t="str">
        <f>IF(mental_health[Stress_Level]&lt;=3,"Low",IF(mental_health[Stress_Level]&lt;=7,"Medium","High"))</f>
        <v>Low</v>
      </c>
      <c r="V968" t="str">
        <f>IF(mental_health[Daily_Screen_Time]&lt;=4,"Low",IF(mental_health[Daily_Screen_Time]&lt;=8,"Medium","High"))</f>
        <v>Medium</v>
      </c>
    </row>
    <row r="969" spans="1:22" x14ac:dyDescent="0.3">
      <c r="A969">
        <v>968</v>
      </c>
      <c r="B969">
        <v>52</v>
      </c>
      <c r="C969" t="s">
        <v>23</v>
      </c>
      <c r="D969" t="s">
        <v>24</v>
      </c>
      <c r="E969">
        <v>5.8</v>
      </c>
      <c r="F969">
        <v>7.1</v>
      </c>
      <c r="G969">
        <v>1</v>
      </c>
      <c r="H969" t="str">
        <f t="shared" si="15"/>
        <v>Night Usage</v>
      </c>
      <c r="I969">
        <v>7.6</v>
      </c>
      <c r="J969" s="3">
        <v>5</v>
      </c>
      <c r="K969">
        <v>6.1</v>
      </c>
      <c r="L969" t="s">
        <v>20</v>
      </c>
      <c r="M969">
        <v>8</v>
      </c>
      <c r="N969">
        <v>4</v>
      </c>
      <c r="O969">
        <v>0</v>
      </c>
      <c r="P969">
        <v>1</v>
      </c>
      <c r="Q969">
        <v>0</v>
      </c>
      <c r="R969">
        <v>1</v>
      </c>
      <c r="S969">
        <v>1</v>
      </c>
      <c r="T969" t="str">
        <f>IF(mental_health[Sleep_Hours]&lt;5,"Low",IF(mental_health[Sleep_Hours]&lt;7,"Medium","Good"))</f>
        <v>Good</v>
      </c>
      <c r="U969" t="str">
        <f>IF(mental_health[Stress_Level]&lt;=3,"Low",IF(mental_health[Stress_Level]&lt;=7,"Medium","High"))</f>
        <v>Medium</v>
      </c>
      <c r="V969" t="str">
        <f>IF(mental_health[Daily_Screen_Time]&lt;=4,"Low",IF(mental_health[Daily_Screen_Time]&lt;=8,"Medium","High"))</f>
        <v>Medium</v>
      </c>
    </row>
    <row r="970" spans="1:22" x14ac:dyDescent="0.3">
      <c r="A970">
        <v>969</v>
      </c>
      <c r="B970">
        <v>29</v>
      </c>
      <c r="C970" t="s">
        <v>18</v>
      </c>
      <c r="D970" t="s">
        <v>22</v>
      </c>
      <c r="E970">
        <v>10.8</v>
      </c>
      <c r="F970">
        <v>7.6</v>
      </c>
      <c r="G970">
        <v>1</v>
      </c>
      <c r="H970" t="str">
        <f t="shared" si="15"/>
        <v>Night Usage</v>
      </c>
      <c r="I970">
        <v>3.5</v>
      </c>
      <c r="J970" s="3">
        <v>4</v>
      </c>
      <c r="K970">
        <v>10.7</v>
      </c>
      <c r="L970" t="s">
        <v>21</v>
      </c>
      <c r="M970">
        <v>9</v>
      </c>
      <c r="N970">
        <v>4</v>
      </c>
      <c r="O970">
        <v>1</v>
      </c>
      <c r="P970">
        <v>1</v>
      </c>
      <c r="Q970">
        <v>0</v>
      </c>
      <c r="R970">
        <v>1</v>
      </c>
      <c r="S970">
        <v>1</v>
      </c>
      <c r="T970" t="str">
        <f>IF(mental_health[Sleep_Hours]&lt;5,"Low",IF(mental_health[Sleep_Hours]&lt;7,"Medium","Good"))</f>
        <v>Low</v>
      </c>
      <c r="U970" t="str">
        <f>IF(mental_health[Stress_Level]&lt;=3,"Low",IF(mental_health[Stress_Level]&lt;=7,"Medium","High"))</f>
        <v>Medium</v>
      </c>
      <c r="V970" t="str">
        <f>IF(mental_health[Daily_Screen_Time]&lt;=4,"Low",IF(mental_health[Daily_Screen_Time]&lt;=8,"Medium","High"))</f>
        <v>High</v>
      </c>
    </row>
    <row r="971" spans="1:22" x14ac:dyDescent="0.3">
      <c r="A971">
        <v>970</v>
      </c>
      <c r="B971">
        <v>45</v>
      </c>
      <c r="C971" t="s">
        <v>18</v>
      </c>
      <c r="D971" t="s">
        <v>22</v>
      </c>
      <c r="E971">
        <v>11.1</v>
      </c>
      <c r="F971">
        <v>6.6</v>
      </c>
      <c r="G971">
        <v>1</v>
      </c>
      <c r="H971" t="str">
        <f t="shared" si="15"/>
        <v>Night Usage</v>
      </c>
      <c r="I971">
        <v>4.3</v>
      </c>
      <c r="J971" s="3">
        <v>4</v>
      </c>
      <c r="K971">
        <v>2.2999999999999998</v>
      </c>
      <c r="L971" t="s">
        <v>25</v>
      </c>
      <c r="M971">
        <v>1</v>
      </c>
      <c r="N971">
        <v>0</v>
      </c>
      <c r="O971">
        <v>0</v>
      </c>
      <c r="P971">
        <v>1</v>
      </c>
      <c r="Q971">
        <v>0</v>
      </c>
      <c r="R971">
        <v>1</v>
      </c>
      <c r="S971">
        <v>0</v>
      </c>
      <c r="T971" t="str">
        <f>IF(mental_health[Sleep_Hours]&lt;5,"Low",IF(mental_health[Sleep_Hours]&lt;7,"Medium","Good"))</f>
        <v>Low</v>
      </c>
      <c r="U971" t="str">
        <f>IF(mental_health[Stress_Level]&lt;=3,"Low",IF(mental_health[Stress_Level]&lt;=7,"Medium","High"))</f>
        <v>Medium</v>
      </c>
      <c r="V971" t="str">
        <f>IF(mental_health[Daily_Screen_Time]&lt;=4,"Low",IF(mental_health[Daily_Screen_Time]&lt;=8,"Medium","High"))</f>
        <v>High</v>
      </c>
    </row>
    <row r="972" spans="1:22" x14ac:dyDescent="0.3">
      <c r="A972">
        <v>971</v>
      </c>
      <c r="B972">
        <v>50</v>
      </c>
      <c r="C972" t="s">
        <v>18</v>
      </c>
      <c r="D972" t="s">
        <v>19</v>
      </c>
      <c r="E972">
        <v>6.9</v>
      </c>
      <c r="F972">
        <v>7</v>
      </c>
      <c r="G972">
        <v>0</v>
      </c>
      <c r="H972" t="str">
        <f t="shared" si="15"/>
        <v>No Night Usage</v>
      </c>
      <c r="I972">
        <v>6</v>
      </c>
      <c r="J972" s="3">
        <v>2</v>
      </c>
      <c r="K972">
        <v>11</v>
      </c>
      <c r="L972" t="s">
        <v>21</v>
      </c>
      <c r="M972">
        <v>10</v>
      </c>
      <c r="N972">
        <v>2</v>
      </c>
      <c r="O972">
        <v>0</v>
      </c>
      <c r="P972">
        <v>1</v>
      </c>
      <c r="Q972">
        <v>0</v>
      </c>
      <c r="R972">
        <v>1</v>
      </c>
      <c r="S972">
        <v>1</v>
      </c>
      <c r="T972" t="str">
        <f>IF(mental_health[Sleep_Hours]&lt;5,"Low",IF(mental_health[Sleep_Hours]&lt;7,"Medium","Good"))</f>
        <v>Medium</v>
      </c>
      <c r="U972" t="str">
        <f>IF(mental_health[Stress_Level]&lt;=3,"Low",IF(mental_health[Stress_Level]&lt;=7,"Medium","High"))</f>
        <v>Low</v>
      </c>
      <c r="V972" t="str">
        <f>IF(mental_health[Daily_Screen_Time]&lt;=4,"Low",IF(mental_health[Daily_Screen_Time]&lt;=8,"Medium","High"))</f>
        <v>Medium</v>
      </c>
    </row>
    <row r="973" spans="1:22" x14ac:dyDescent="0.3">
      <c r="A973">
        <v>972</v>
      </c>
      <c r="B973">
        <v>36</v>
      </c>
      <c r="C973" t="s">
        <v>23</v>
      </c>
      <c r="D973" t="s">
        <v>24</v>
      </c>
      <c r="E973">
        <v>5.3</v>
      </c>
      <c r="F973">
        <v>4.9000000000000004</v>
      </c>
      <c r="G973">
        <v>0</v>
      </c>
      <c r="H973" t="str">
        <f t="shared" si="15"/>
        <v>No Night Usage</v>
      </c>
      <c r="I973">
        <v>3.1</v>
      </c>
      <c r="J973" s="3">
        <v>10</v>
      </c>
      <c r="K973">
        <v>8.5</v>
      </c>
      <c r="L973" t="s">
        <v>25</v>
      </c>
      <c r="M973">
        <v>3</v>
      </c>
      <c r="N973">
        <v>0</v>
      </c>
      <c r="O973">
        <v>1</v>
      </c>
      <c r="P973">
        <v>1</v>
      </c>
      <c r="Q973">
        <v>0</v>
      </c>
      <c r="R973">
        <v>0</v>
      </c>
      <c r="S973">
        <v>0</v>
      </c>
      <c r="T973" t="str">
        <f>IF(mental_health[Sleep_Hours]&lt;5,"Low",IF(mental_health[Sleep_Hours]&lt;7,"Medium","Good"))</f>
        <v>Low</v>
      </c>
      <c r="U973" t="str">
        <f>IF(mental_health[Stress_Level]&lt;=3,"Low",IF(mental_health[Stress_Level]&lt;=7,"Medium","High"))</f>
        <v>High</v>
      </c>
      <c r="V973" t="str">
        <f>IF(mental_health[Daily_Screen_Time]&lt;=4,"Low",IF(mental_health[Daily_Screen_Time]&lt;=8,"Medium","High"))</f>
        <v>Medium</v>
      </c>
    </row>
    <row r="974" spans="1:22" x14ac:dyDescent="0.3">
      <c r="A974">
        <v>973</v>
      </c>
      <c r="B974">
        <v>52</v>
      </c>
      <c r="C974" t="s">
        <v>23</v>
      </c>
      <c r="D974" t="s">
        <v>22</v>
      </c>
      <c r="E974">
        <v>3.1</v>
      </c>
      <c r="F974">
        <v>6.8</v>
      </c>
      <c r="G974">
        <v>1</v>
      </c>
      <c r="H974" t="str">
        <f t="shared" si="15"/>
        <v>Night Usage</v>
      </c>
      <c r="I974">
        <v>4.5</v>
      </c>
      <c r="J974" s="3">
        <v>1</v>
      </c>
      <c r="K974">
        <v>9.4</v>
      </c>
      <c r="L974" t="s">
        <v>21</v>
      </c>
      <c r="M974">
        <v>5</v>
      </c>
      <c r="N974">
        <v>4</v>
      </c>
      <c r="O974">
        <v>1</v>
      </c>
      <c r="P974">
        <v>1</v>
      </c>
      <c r="Q974">
        <v>0</v>
      </c>
      <c r="R974">
        <v>0</v>
      </c>
      <c r="S974">
        <v>0</v>
      </c>
      <c r="T974" t="str">
        <f>IF(mental_health[Sleep_Hours]&lt;5,"Low",IF(mental_health[Sleep_Hours]&lt;7,"Medium","Good"))</f>
        <v>Low</v>
      </c>
      <c r="U974" t="str">
        <f>IF(mental_health[Stress_Level]&lt;=3,"Low",IF(mental_health[Stress_Level]&lt;=7,"Medium","High"))</f>
        <v>Low</v>
      </c>
      <c r="V974" t="str">
        <f>IF(mental_health[Daily_Screen_Time]&lt;=4,"Low",IF(mental_health[Daily_Screen_Time]&lt;=8,"Medium","High"))</f>
        <v>Low</v>
      </c>
    </row>
    <row r="975" spans="1:22" x14ac:dyDescent="0.3">
      <c r="A975">
        <v>974</v>
      </c>
      <c r="B975">
        <v>20</v>
      </c>
      <c r="C975" t="s">
        <v>18</v>
      </c>
      <c r="D975" t="s">
        <v>22</v>
      </c>
      <c r="E975">
        <v>11.5</v>
      </c>
      <c r="F975">
        <v>3.1</v>
      </c>
      <c r="G975">
        <v>0</v>
      </c>
      <c r="H975" t="str">
        <f t="shared" si="15"/>
        <v>No Night Usage</v>
      </c>
      <c r="I975">
        <v>6.1</v>
      </c>
      <c r="J975" s="3">
        <v>6</v>
      </c>
      <c r="K975">
        <v>2</v>
      </c>
      <c r="L975" t="s">
        <v>21</v>
      </c>
      <c r="M975">
        <v>9</v>
      </c>
      <c r="N975">
        <v>2</v>
      </c>
      <c r="O975">
        <v>1</v>
      </c>
      <c r="P975">
        <v>1</v>
      </c>
      <c r="Q975">
        <v>0</v>
      </c>
      <c r="R975">
        <v>1</v>
      </c>
      <c r="S975">
        <v>0</v>
      </c>
      <c r="T975" t="str">
        <f>IF(mental_health[Sleep_Hours]&lt;5,"Low",IF(mental_health[Sleep_Hours]&lt;7,"Medium","Good"))</f>
        <v>Medium</v>
      </c>
      <c r="U975" t="str">
        <f>IF(mental_health[Stress_Level]&lt;=3,"Low",IF(mental_health[Stress_Level]&lt;=7,"Medium","High"))</f>
        <v>Medium</v>
      </c>
      <c r="V975" t="str">
        <f>IF(mental_health[Daily_Screen_Time]&lt;=4,"Low",IF(mental_health[Daily_Screen_Time]&lt;=8,"Medium","High"))</f>
        <v>High</v>
      </c>
    </row>
    <row r="976" spans="1:22" x14ac:dyDescent="0.3">
      <c r="A976">
        <v>975</v>
      </c>
      <c r="B976">
        <v>34</v>
      </c>
      <c r="C976" t="s">
        <v>18</v>
      </c>
      <c r="D976" t="s">
        <v>24</v>
      </c>
      <c r="E976">
        <v>2.6</v>
      </c>
      <c r="F976">
        <v>3.8</v>
      </c>
      <c r="G976">
        <v>1</v>
      </c>
      <c r="H976" t="str">
        <f t="shared" si="15"/>
        <v>Night Usage</v>
      </c>
      <c r="I976">
        <v>3.1</v>
      </c>
      <c r="J976" s="3">
        <v>7</v>
      </c>
      <c r="K976">
        <v>8.3000000000000007</v>
      </c>
      <c r="L976" t="s">
        <v>21</v>
      </c>
      <c r="M976">
        <v>8</v>
      </c>
      <c r="N976">
        <v>2</v>
      </c>
      <c r="O976">
        <v>0</v>
      </c>
      <c r="P976">
        <v>1</v>
      </c>
      <c r="Q976">
        <v>1</v>
      </c>
      <c r="R976">
        <v>1</v>
      </c>
      <c r="S976">
        <v>0</v>
      </c>
      <c r="T976" t="str">
        <f>IF(mental_health[Sleep_Hours]&lt;5,"Low",IF(mental_health[Sleep_Hours]&lt;7,"Medium","Good"))</f>
        <v>Low</v>
      </c>
      <c r="U976" t="str">
        <f>IF(mental_health[Stress_Level]&lt;=3,"Low",IF(mental_health[Stress_Level]&lt;=7,"Medium","High"))</f>
        <v>Medium</v>
      </c>
      <c r="V976" t="str">
        <f>IF(mental_health[Daily_Screen_Time]&lt;=4,"Low",IF(mental_health[Daily_Screen_Time]&lt;=8,"Medium","High"))</f>
        <v>Low</v>
      </c>
    </row>
    <row r="977" spans="1:22" x14ac:dyDescent="0.3">
      <c r="A977">
        <v>976</v>
      </c>
      <c r="B977">
        <v>29</v>
      </c>
      <c r="C977" t="s">
        <v>23</v>
      </c>
      <c r="D977" t="s">
        <v>22</v>
      </c>
      <c r="E977">
        <v>5</v>
      </c>
      <c r="F977">
        <v>3.2</v>
      </c>
      <c r="G977">
        <v>1</v>
      </c>
      <c r="H977" t="str">
        <f t="shared" si="15"/>
        <v>Night Usage</v>
      </c>
      <c r="I977">
        <v>4.5999999999999996</v>
      </c>
      <c r="J977" s="3">
        <v>5</v>
      </c>
      <c r="K977">
        <v>7.9</v>
      </c>
      <c r="L977" t="s">
        <v>25</v>
      </c>
      <c r="M977">
        <v>10</v>
      </c>
      <c r="N977">
        <v>1</v>
      </c>
      <c r="O977">
        <v>1</v>
      </c>
      <c r="P977">
        <v>1</v>
      </c>
      <c r="Q977">
        <v>0</v>
      </c>
      <c r="R977">
        <v>1</v>
      </c>
      <c r="S977">
        <v>1</v>
      </c>
      <c r="T977" t="str">
        <f>IF(mental_health[Sleep_Hours]&lt;5,"Low",IF(mental_health[Sleep_Hours]&lt;7,"Medium","Good"))</f>
        <v>Low</v>
      </c>
      <c r="U977" t="str">
        <f>IF(mental_health[Stress_Level]&lt;=3,"Low",IF(mental_health[Stress_Level]&lt;=7,"Medium","High"))</f>
        <v>Medium</v>
      </c>
      <c r="V977" t="str">
        <f>IF(mental_health[Daily_Screen_Time]&lt;=4,"Low",IF(mental_health[Daily_Screen_Time]&lt;=8,"Medium","High"))</f>
        <v>Medium</v>
      </c>
    </row>
    <row r="978" spans="1:22" x14ac:dyDescent="0.3">
      <c r="A978">
        <v>977</v>
      </c>
      <c r="B978">
        <v>41</v>
      </c>
      <c r="C978" t="s">
        <v>18</v>
      </c>
      <c r="D978" t="s">
        <v>22</v>
      </c>
      <c r="E978">
        <v>5</v>
      </c>
      <c r="F978">
        <v>4.3</v>
      </c>
      <c r="G978">
        <v>1</v>
      </c>
      <c r="H978" t="str">
        <f t="shared" si="15"/>
        <v>Night Usage</v>
      </c>
      <c r="I978">
        <v>6.1</v>
      </c>
      <c r="J978" s="3">
        <v>8</v>
      </c>
      <c r="K978">
        <v>7.4</v>
      </c>
      <c r="L978" t="s">
        <v>20</v>
      </c>
      <c r="M978">
        <v>7</v>
      </c>
      <c r="N978">
        <v>3</v>
      </c>
      <c r="O978">
        <v>1</v>
      </c>
      <c r="P978">
        <v>1</v>
      </c>
      <c r="Q978">
        <v>1</v>
      </c>
      <c r="R978">
        <v>1</v>
      </c>
      <c r="S978">
        <v>1</v>
      </c>
      <c r="T978" t="str">
        <f>IF(mental_health[Sleep_Hours]&lt;5,"Low",IF(mental_health[Sleep_Hours]&lt;7,"Medium","Good"))</f>
        <v>Medium</v>
      </c>
      <c r="U978" t="str">
        <f>IF(mental_health[Stress_Level]&lt;=3,"Low",IF(mental_health[Stress_Level]&lt;=7,"Medium","High"))</f>
        <v>High</v>
      </c>
      <c r="V978" t="str">
        <f>IF(mental_health[Daily_Screen_Time]&lt;=4,"Low",IF(mental_health[Daily_Screen_Time]&lt;=8,"Medium","High"))</f>
        <v>Medium</v>
      </c>
    </row>
    <row r="979" spans="1:22" x14ac:dyDescent="0.3">
      <c r="A979">
        <v>978</v>
      </c>
      <c r="B979">
        <v>19</v>
      </c>
      <c r="C979" t="s">
        <v>23</v>
      </c>
      <c r="D979" t="s">
        <v>22</v>
      </c>
      <c r="E979">
        <v>5.2</v>
      </c>
      <c r="F979">
        <v>3</v>
      </c>
      <c r="G979">
        <v>0</v>
      </c>
      <c r="H979" t="str">
        <f t="shared" si="15"/>
        <v>No Night Usage</v>
      </c>
      <c r="I979">
        <v>6.4</v>
      </c>
      <c r="J979" s="3">
        <v>9</v>
      </c>
      <c r="K979">
        <v>9.9</v>
      </c>
      <c r="L979" t="s">
        <v>25</v>
      </c>
      <c r="M979">
        <v>2</v>
      </c>
      <c r="N979">
        <v>4</v>
      </c>
      <c r="O979">
        <v>0</v>
      </c>
      <c r="P979">
        <v>1</v>
      </c>
      <c r="Q979">
        <v>1</v>
      </c>
      <c r="R979">
        <v>1</v>
      </c>
      <c r="S979">
        <v>0</v>
      </c>
      <c r="T979" t="str">
        <f>IF(mental_health[Sleep_Hours]&lt;5,"Low",IF(mental_health[Sleep_Hours]&lt;7,"Medium","Good"))</f>
        <v>Medium</v>
      </c>
      <c r="U979" t="str">
        <f>IF(mental_health[Stress_Level]&lt;=3,"Low",IF(mental_health[Stress_Level]&lt;=7,"Medium","High"))</f>
        <v>High</v>
      </c>
      <c r="V979" t="str">
        <f>IF(mental_health[Daily_Screen_Time]&lt;=4,"Low",IF(mental_health[Daily_Screen_Time]&lt;=8,"Medium","High"))</f>
        <v>Medium</v>
      </c>
    </row>
    <row r="980" spans="1:22" x14ac:dyDescent="0.3">
      <c r="A980">
        <v>979</v>
      </c>
      <c r="B980">
        <v>40</v>
      </c>
      <c r="C980" t="s">
        <v>23</v>
      </c>
      <c r="D980" t="s">
        <v>24</v>
      </c>
      <c r="E980">
        <v>3.6</v>
      </c>
      <c r="F980">
        <v>7.7</v>
      </c>
      <c r="G980">
        <v>0</v>
      </c>
      <c r="H980" t="str">
        <f t="shared" si="15"/>
        <v>No Night Usage</v>
      </c>
      <c r="I980">
        <v>8.6</v>
      </c>
      <c r="J980" s="3">
        <v>2</v>
      </c>
      <c r="K980">
        <v>7.6</v>
      </c>
      <c r="L980" t="s">
        <v>20</v>
      </c>
      <c r="M980">
        <v>6</v>
      </c>
      <c r="N980">
        <v>3</v>
      </c>
      <c r="O980">
        <v>1</v>
      </c>
      <c r="P980">
        <v>0</v>
      </c>
      <c r="Q980">
        <v>0</v>
      </c>
      <c r="R980">
        <v>0</v>
      </c>
      <c r="S980">
        <v>0</v>
      </c>
      <c r="T980" t="str">
        <f>IF(mental_health[Sleep_Hours]&lt;5,"Low",IF(mental_health[Sleep_Hours]&lt;7,"Medium","Good"))</f>
        <v>Good</v>
      </c>
      <c r="U980" t="str">
        <f>IF(mental_health[Stress_Level]&lt;=3,"Low",IF(mental_health[Stress_Level]&lt;=7,"Medium","High"))</f>
        <v>Low</v>
      </c>
      <c r="V980" t="str">
        <f>IF(mental_health[Daily_Screen_Time]&lt;=4,"Low",IF(mental_health[Daily_Screen_Time]&lt;=8,"Medium","High"))</f>
        <v>Low</v>
      </c>
    </row>
    <row r="981" spans="1:22" x14ac:dyDescent="0.3">
      <c r="A981">
        <v>980</v>
      </c>
      <c r="B981">
        <v>57</v>
      </c>
      <c r="C981" t="s">
        <v>18</v>
      </c>
      <c r="D981" t="s">
        <v>24</v>
      </c>
      <c r="E981">
        <v>9.8000000000000007</v>
      </c>
      <c r="F981">
        <v>3.2</v>
      </c>
      <c r="G981">
        <v>1</v>
      </c>
      <c r="H981" t="str">
        <f t="shared" si="15"/>
        <v>Night Usage</v>
      </c>
      <c r="I981">
        <v>6.9</v>
      </c>
      <c r="J981" s="3">
        <v>4</v>
      </c>
      <c r="K981">
        <v>10.6</v>
      </c>
      <c r="L981" t="s">
        <v>25</v>
      </c>
      <c r="M981">
        <v>4</v>
      </c>
      <c r="N981">
        <v>1</v>
      </c>
      <c r="O981">
        <v>0</v>
      </c>
      <c r="P981">
        <v>1</v>
      </c>
      <c r="Q981">
        <v>0</v>
      </c>
      <c r="R981">
        <v>1</v>
      </c>
      <c r="S981">
        <v>1</v>
      </c>
      <c r="T981" t="str">
        <f>IF(mental_health[Sleep_Hours]&lt;5,"Low",IF(mental_health[Sleep_Hours]&lt;7,"Medium","Good"))</f>
        <v>Medium</v>
      </c>
      <c r="U981" t="str">
        <f>IF(mental_health[Stress_Level]&lt;=3,"Low",IF(mental_health[Stress_Level]&lt;=7,"Medium","High"))</f>
        <v>Medium</v>
      </c>
      <c r="V981" t="str">
        <f>IF(mental_health[Daily_Screen_Time]&lt;=4,"Low",IF(mental_health[Daily_Screen_Time]&lt;=8,"Medium","High"))</f>
        <v>High</v>
      </c>
    </row>
    <row r="982" spans="1:22" x14ac:dyDescent="0.3">
      <c r="A982">
        <v>981</v>
      </c>
      <c r="B982">
        <v>40</v>
      </c>
      <c r="C982" t="s">
        <v>18</v>
      </c>
      <c r="D982" t="s">
        <v>24</v>
      </c>
      <c r="E982">
        <v>3.2</v>
      </c>
      <c r="F982">
        <v>1.7</v>
      </c>
      <c r="G982">
        <v>0</v>
      </c>
      <c r="H982" t="str">
        <f t="shared" si="15"/>
        <v>No Night Usage</v>
      </c>
      <c r="I982">
        <v>5.5</v>
      </c>
      <c r="J982" s="3">
        <v>9</v>
      </c>
      <c r="K982">
        <v>4.3</v>
      </c>
      <c r="L982" t="s">
        <v>21</v>
      </c>
      <c r="M982">
        <v>5</v>
      </c>
      <c r="N982">
        <v>3</v>
      </c>
      <c r="O982">
        <v>0</v>
      </c>
      <c r="P982">
        <v>1</v>
      </c>
      <c r="Q982">
        <v>1</v>
      </c>
      <c r="R982">
        <v>1</v>
      </c>
      <c r="S982">
        <v>1</v>
      </c>
      <c r="T982" t="str">
        <f>IF(mental_health[Sleep_Hours]&lt;5,"Low",IF(mental_health[Sleep_Hours]&lt;7,"Medium","Good"))</f>
        <v>Medium</v>
      </c>
      <c r="U982" t="str">
        <f>IF(mental_health[Stress_Level]&lt;=3,"Low",IF(mental_health[Stress_Level]&lt;=7,"Medium","High"))</f>
        <v>High</v>
      </c>
      <c r="V982" t="str">
        <f>IF(mental_health[Daily_Screen_Time]&lt;=4,"Low",IF(mental_health[Daily_Screen_Time]&lt;=8,"Medium","High"))</f>
        <v>Low</v>
      </c>
    </row>
    <row r="983" spans="1:22" x14ac:dyDescent="0.3">
      <c r="A983">
        <v>982</v>
      </c>
      <c r="B983">
        <v>33</v>
      </c>
      <c r="C983" t="s">
        <v>18</v>
      </c>
      <c r="D983" t="s">
        <v>24</v>
      </c>
      <c r="E983">
        <v>8.3000000000000007</v>
      </c>
      <c r="F983">
        <v>4.7</v>
      </c>
      <c r="G983">
        <v>0</v>
      </c>
      <c r="H983" t="str">
        <f t="shared" si="15"/>
        <v>No Night Usage</v>
      </c>
      <c r="I983">
        <v>8.6</v>
      </c>
      <c r="J983" s="3">
        <v>5</v>
      </c>
      <c r="K983">
        <v>10.1</v>
      </c>
      <c r="L983" t="s">
        <v>21</v>
      </c>
      <c r="M983">
        <v>5</v>
      </c>
      <c r="N983">
        <v>4</v>
      </c>
      <c r="O983">
        <v>1</v>
      </c>
      <c r="P983">
        <v>1</v>
      </c>
      <c r="Q983">
        <v>1</v>
      </c>
      <c r="R983">
        <v>0</v>
      </c>
      <c r="S983">
        <v>1</v>
      </c>
      <c r="T983" t="str">
        <f>IF(mental_health[Sleep_Hours]&lt;5,"Low",IF(mental_health[Sleep_Hours]&lt;7,"Medium","Good"))</f>
        <v>Good</v>
      </c>
      <c r="U983" t="str">
        <f>IF(mental_health[Stress_Level]&lt;=3,"Low",IF(mental_health[Stress_Level]&lt;=7,"Medium","High"))</f>
        <v>Medium</v>
      </c>
      <c r="V983" t="str">
        <f>IF(mental_health[Daily_Screen_Time]&lt;=4,"Low",IF(mental_health[Daily_Screen_Time]&lt;=8,"Medium","High"))</f>
        <v>High</v>
      </c>
    </row>
    <row r="984" spans="1:22" x14ac:dyDescent="0.3">
      <c r="A984">
        <v>983</v>
      </c>
      <c r="B984">
        <v>55</v>
      </c>
      <c r="C984" t="s">
        <v>18</v>
      </c>
      <c r="D984" t="s">
        <v>19</v>
      </c>
      <c r="E984">
        <v>3.2</v>
      </c>
      <c r="F984">
        <v>1.4</v>
      </c>
      <c r="G984">
        <v>0</v>
      </c>
      <c r="H984" t="str">
        <f t="shared" si="15"/>
        <v>No Night Usage</v>
      </c>
      <c r="I984">
        <v>7.7</v>
      </c>
      <c r="J984" s="3">
        <v>3</v>
      </c>
      <c r="K984">
        <v>3.8</v>
      </c>
      <c r="L984" t="s">
        <v>20</v>
      </c>
      <c r="M984">
        <v>4</v>
      </c>
      <c r="N984">
        <v>1</v>
      </c>
      <c r="O984">
        <v>1</v>
      </c>
      <c r="P984">
        <v>0</v>
      </c>
      <c r="Q984">
        <v>0</v>
      </c>
      <c r="R984">
        <v>0</v>
      </c>
      <c r="S984">
        <v>0</v>
      </c>
      <c r="T984" t="str">
        <f>IF(mental_health[Sleep_Hours]&lt;5,"Low",IF(mental_health[Sleep_Hours]&lt;7,"Medium","Good"))</f>
        <v>Good</v>
      </c>
      <c r="U984" t="str">
        <f>IF(mental_health[Stress_Level]&lt;=3,"Low",IF(mental_health[Stress_Level]&lt;=7,"Medium","High"))</f>
        <v>Low</v>
      </c>
      <c r="V984" t="str">
        <f>IF(mental_health[Daily_Screen_Time]&lt;=4,"Low",IF(mental_health[Daily_Screen_Time]&lt;=8,"Medium","High"))</f>
        <v>Low</v>
      </c>
    </row>
    <row r="985" spans="1:22" x14ac:dyDescent="0.3">
      <c r="A985">
        <v>984</v>
      </c>
      <c r="B985">
        <v>23</v>
      </c>
      <c r="C985" t="s">
        <v>23</v>
      </c>
      <c r="D985" t="s">
        <v>22</v>
      </c>
      <c r="E985">
        <v>2.7</v>
      </c>
      <c r="F985">
        <v>1.8</v>
      </c>
      <c r="G985">
        <v>0</v>
      </c>
      <c r="H985" t="str">
        <f t="shared" si="15"/>
        <v>No Night Usage</v>
      </c>
      <c r="I985">
        <v>4.2</v>
      </c>
      <c r="J985" s="3">
        <v>6</v>
      </c>
      <c r="K985">
        <v>10.1</v>
      </c>
      <c r="L985" t="s">
        <v>20</v>
      </c>
      <c r="M985">
        <v>4</v>
      </c>
      <c r="N985">
        <v>3</v>
      </c>
      <c r="O985">
        <v>0</v>
      </c>
      <c r="P985">
        <v>0</v>
      </c>
      <c r="Q985">
        <v>1</v>
      </c>
      <c r="R985">
        <v>0</v>
      </c>
      <c r="S985">
        <v>0</v>
      </c>
      <c r="T985" t="str">
        <f>IF(mental_health[Sleep_Hours]&lt;5,"Low",IF(mental_health[Sleep_Hours]&lt;7,"Medium","Good"))</f>
        <v>Low</v>
      </c>
      <c r="U985" t="str">
        <f>IF(mental_health[Stress_Level]&lt;=3,"Low",IF(mental_health[Stress_Level]&lt;=7,"Medium","High"))</f>
        <v>Medium</v>
      </c>
      <c r="V985" t="str">
        <f>IF(mental_health[Daily_Screen_Time]&lt;=4,"Low",IF(mental_health[Daily_Screen_Time]&lt;=8,"Medium","High"))</f>
        <v>Low</v>
      </c>
    </row>
    <row r="986" spans="1:22" x14ac:dyDescent="0.3">
      <c r="A986">
        <v>985</v>
      </c>
      <c r="B986">
        <v>54</v>
      </c>
      <c r="C986" t="s">
        <v>23</v>
      </c>
      <c r="D986" t="s">
        <v>24</v>
      </c>
      <c r="E986">
        <v>11.1</v>
      </c>
      <c r="F986">
        <v>2.5</v>
      </c>
      <c r="G986">
        <v>1</v>
      </c>
      <c r="H986" t="str">
        <f t="shared" si="15"/>
        <v>Night Usage</v>
      </c>
      <c r="I986">
        <v>3.8</v>
      </c>
      <c r="J986" s="3">
        <v>3</v>
      </c>
      <c r="K986">
        <v>11.4</v>
      </c>
      <c r="L986" t="s">
        <v>25</v>
      </c>
      <c r="M986">
        <v>4</v>
      </c>
      <c r="N986">
        <v>0</v>
      </c>
      <c r="O986">
        <v>1</v>
      </c>
      <c r="P986">
        <v>1</v>
      </c>
      <c r="Q986">
        <v>1</v>
      </c>
      <c r="R986">
        <v>0</v>
      </c>
      <c r="S986">
        <v>1</v>
      </c>
      <c r="T986" t="str">
        <f>IF(mental_health[Sleep_Hours]&lt;5,"Low",IF(mental_health[Sleep_Hours]&lt;7,"Medium","Good"))</f>
        <v>Low</v>
      </c>
      <c r="U986" t="str">
        <f>IF(mental_health[Stress_Level]&lt;=3,"Low",IF(mental_health[Stress_Level]&lt;=7,"Medium","High"))</f>
        <v>Low</v>
      </c>
      <c r="V986" t="str">
        <f>IF(mental_health[Daily_Screen_Time]&lt;=4,"Low",IF(mental_health[Daily_Screen_Time]&lt;=8,"Medium","High"))</f>
        <v>High</v>
      </c>
    </row>
    <row r="987" spans="1:22" x14ac:dyDescent="0.3">
      <c r="A987">
        <v>986</v>
      </c>
      <c r="B987">
        <v>55</v>
      </c>
      <c r="C987" t="s">
        <v>23</v>
      </c>
      <c r="D987" t="s">
        <v>22</v>
      </c>
      <c r="E987">
        <v>3.9</v>
      </c>
      <c r="F987">
        <v>4.3</v>
      </c>
      <c r="G987">
        <v>0</v>
      </c>
      <c r="H987" t="str">
        <f t="shared" si="15"/>
        <v>No Night Usage</v>
      </c>
      <c r="I987">
        <v>7.1</v>
      </c>
      <c r="J987" s="3">
        <v>5</v>
      </c>
      <c r="K987">
        <v>5.4</v>
      </c>
      <c r="L987" t="s">
        <v>25</v>
      </c>
      <c r="M987">
        <v>2</v>
      </c>
      <c r="N987">
        <v>2</v>
      </c>
      <c r="O987">
        <v>0</v>
      </c>
      <c r="P987">
        <v>0</v>
      </c>
      <c r="Q987">
        <v>0</v>
      </c>
      <c r="R987">
        <v>1</v>
      </c>
      <c r="S987">
        <v>1</v>
      </c>
      <c r="T987" t="str">
        <f>IF(mental_health[Sleep_Hours]&lt;5,"Low",IF(mental_health[Sleep_Hours]&lt;7,"Medium","Good"))</f>
        <v>Good</v>
      </c>
      <c r="U987" t="str">
        <f>IF(mental_health[Stress_Level]&lt;=3,"Low",IF(mental_health[Stress_Level]&lt;=7,"Medium","High"))</f>
        <v>Medium</v>
      </c>
      <c r="V987" t="str">
        <f>IF(mental_health[Daily_Screen_Time]&lt;=4,"Low",IF(mental_health[Daily_Screen_Time]&lt;=8,"Medium","High"))</f>
        <v>Low</v>
      </c>
    </row>
    <row r="988" spans="1:22" x14ac:dyDescent="0.3">
      <c r="A988">
        <v>987</v>
      </c>
      <c r="B988">
        <v>29</v>
      </c>
      <c r="C988" t="s">
        <v>18</v>
      </c>
      <c r="D988" t="s">
        <v>22</v>
      </c>
      <c r="E988">
        <v>10.199999999999999</v>
      </c>
      <c r="F988">
        <v>4</v>
      </c>
      <c r="G988">
        <v>1</v>
      </c>
      <c r="H988" t="str">
        <f t="shared" si="15"/>
        <v>Night Usage</v>
      </c>
      <c r="I988">
        <v>6.4</v>
      </c>
      <c r="J988" s="3">
        <v>3</v>
      </c>
      <c r="K988">
        <v>7.3</v>
      </c>
      <c r="L988" t="s">
        <v>20</v>
      </c>
      <c r="M988">
        <v>1</v>
      </c>
      <c r="N988">
        <v>1</v>
      </c>
      <c r="O988">
        <v>0</v>
      </c>
      <c r="P988">
        <v>0</v>
      </c>
      <c r="Q988">
        <v>1</v>
      </c>
      <c r="R988">
        <v>0</v>
      </c>
      <c r="S988">
        <v>1</v>
      </c>
      <c r="T988" t="str">
        <f>IF(mental_health[Sleep_Hours]&lt;5,"Low",IF(mental_health[Sleep_Hours]&lt;7,"Medium","Good"))</f>
        <v>Medium</v>
      </c>
      <c r="U988" t="str">
        <f>IF(mental_health[Stress_Level]&lt;=3,"Low",IF(mental_health[Stress_Level]&lt;=7,"Medium","High"))</f>
        <v>Low</v>
      </c>
      <c r="V988" t="str">
        <f>IF(mental_health[Daily_Screen_Time]&lt;=4,"Low",IF(mental_health[Daily_Screen_Time]&lt;=8,"Medium","High"))</f>
        <v>High</v>
      </c>
    </row>
    <row r="989" spans="1:22" x14ac:dyDescent="0.3">
      <c r="A989">
        <v>988</v>
      </c>
      <c r="B989">
        <v>47</v>
      </c>
      <c r="C989" t="s">
        <v>23</v>
      </c>
      <c r="D989" t="s">
        <v>19</v>
      </c>
      <c r="E989">
        <v>7.4</v>
      </c>
      <c r="F989">
        <v>6.6</v>
      </c>
      <c r="G989">
        <v>1</v>
      </c>
      <c r="H989" t="str">
        <f t="shared" si="15"/>
        <v>Night Usage</v>
      </c>
      <c r="I989">
        <v>7.7</v>
      </c>
      <c r="J989" s="3">
        <v>6</v>
      </c>
      <c r="K989">
        <v>8.6</v>
      </c>
      <c r="L989" t="s">
        <v>20</v>
      </c>
      <c r="M989">
        <v>2</v>
      </c>
      <c r="N989">
        <v>0</v>
      </c>
      <c r="O989">
        <v>1</v>
      </c>
      <c r="P989">
        <v>1</v>
      </c>
      <c r="Q989">
        <v>0</v>
      </c>
      <c r="R989">
        <v>0</v>
      </c>
      <c r="S989">
        <v>1</v>
      </c>
      <c r="T989" t="str">
        <f>IF(mental_health[Sleep_Hours]&lt;5,"Low",IF(mental_health[Sleep_Hours]&lt;7,"Medium","Good"))</f>
        <v>Good</v>
      </c>
      <c r="U989" t="str">
        <f>IF(mental_health[Stress_Level]&lt;=3,"Low",IF(mental_health[Stress_Level]&lt;=7,"Medium","High"))</f>
        <v>Medium</v>
      </c>
      <c r="V989" t="str">
        <f>IF(mental_health[Daily_Screen_Time]&lt;=4,"Low",IF(mental_health[Daily_Screen_Time]&lt;=8,"Medium","High"))</f>
        <v>Medium</v>
      </c>
    </row>
    <row r="990" spans="1:22" x14ac:dyDescent="0.3">
      <c r="A990">
        <v>989</v>
      </c>
      <c r="B990">
        <v>53</v>
      </c>
      <c r="C990" t="s">
        <v>18</v>
      </c>
      <c r="D990" t="s">
        <v>24</v>
      </c>
      <c r="E990">
        <v>2.8</v>
      </c>
      <c r="F990">
        <v>6.2</v>
      </c>
      <c r="G990">
        <v>0</v>
      </c>
      <c r="H990" t="str">
        <f t="shared" si="15"/>
        <v>No Night Usage</v>
      </c>
      <c r="I990">
        <v>7.4</v>
      </c>
      <c r="J990" s="3">
        <v>10</v>
      </c>
      <c r="K990">
        <v>2.8</v>
      </c>
      <c r="L990" t="s">
        <v>25</v>
      </c>
      <c r="M990">
        <v>7</v>
      </c>
      <c r="N990">
        <v>4</v>
      </c>
      <c r="O990">
        <v>1</v>
      </c>
      <c r="P990">
        <v>1</v>
      </c>
      <c r="Q990">
        <v>1</v>
      </c>
      <c r="R990">
        <v>1</v>
      </c>
      <c r="S990">
        <v>0</v>
      </c>
      <c r="T990" t="str">
        <f>IF(mental_health[Sleep_Hours]&lt;5,"Low",IF(mental_health[Sleep_Hours]&lt;7,"Medium","Good"))</f>
        <v>Good</v>
      </c>
      <c r="U990" t="str">
        <f>IF(mental_health[Stress_Level]&lt;=3,"Low",IF(mental_health[Stress_Level]&lt;=7,"Medium","High"))</f>
        <v>High</v>
      </c>
      <c r="V990" t="str">
        <f>IF(mental_health[Daily_Screen_Time]&lt;=4,"Low",IF(mental_health[Daily_Screen_Time]&lt;=8,"Medium","High"))</f>
        <v>Low</v>
      </c>
    </row>
    <row r="991" spans="1:22" x14ac:dyDescent="0.3">
      <c r="A991">
        <v>990</v>
      </c>
      <c r="B991">
        <v>48</v>
      </c>
      <c r="C991" t="s">
        <v>18</v>
      </c>
      <c r="D991" t="s">
        <v>24</v>
      </c>
      <c r="E991">
        <v>11.6</v>
      </c>
      <c r="F991">
        <v>4</v>
      </c>
      <c r="G991">
        <v>1</v>
      </c>
      <c r="H991" t="str">
        <f t="shared" si="15"/>
        <v>Night Usage</v>
      </c>
      <c r="I991">
        <v>6.8</v>
      </c>
      <c r="J991" s="3">
        <v>5</v>
      </c>
      <c r="K991">
        <v>6.9</v>
      </c>
      <c r="L991" t="s">
        <v>20</v>
      </c>
      <c r="M991">
        <v>1</v>
      </c>
      <c r="N991">
        <v>2</v>
      </c>
      <c r="O991">
        <v>0</v>
      </c>
      <c r="P991">
        <v>0</v>
      </c>
      <c r="Q991">
        <v>0</v>
      </c>
      <c r="R991">
        <v>0</v>
      </c>
      <c r="S991">
        <v>0</v>
      </c>
      <c r="T991" t="str">
        <f>IF(mental_health[Sleep_Hours]&lt;5,"Low",IF(mental_health[Sleep_Hours]&lt;7,"Medium","Good"))</f>
        <v>Medium</v>
      </c>
      <c r="U991" t="str">
        <f>IF(mental_health[Stress_Level]&lt;=3,"Low",IF(mental_health[Stress_Level]&lt;=7,"Medium","High"))</f>
        <v>Medium</v>
      </c>
      <c r="V991" t="str">
        <f>IF(mental_health[Daily_Screen_Time]&lt;=4,"Low",IF(mental_health[Daily_Screen_Time]&lt;=8,"Medium","High"))</f>
        <v>High</v>
      </c>
    </row>
    <row r="992" spans="1:22" x14ac:dyDescent="0.3">
      <c r="A992">
        <v>991</v>
      </c>
      <c r="B992">
        <v>38</v>
      </c>
      <c r="C992" t="s">
        <v>18</v>
      </c>
      <c r="D992" t="s">
        <v>22</v>
      </c>
      <c r="E992">
        <v>4.5</v>
      </c>
      <c r="F992">
        <v>3.3</v>
      </c>
      <c r="G992">
        <v>1</v>
      </c>
      <c r="H992" t="str">
        <f t="shared" si="15"/>
        <v>Night Usage</v>
      </c>
      <c r="I992">
        <v>8.9</v>
      </c>
      <c r="J992" s="3">
        <v>9</v>
      </c>
      <c r="K992">
        <v>5.6</v>
      </c>
      <c r="L992" t="s">
        <v>20</v>
      </c>
      <c r="M992">
        <v>6</v>
      </c>
      <c r="N992">
        <v>1</v>
      </c>
      <c r="O992">
        <v>0</v>
      </c>
      <c r="P992">
        <v>0</v>
      </c>
      <c r="Q992">
        <v>0</v>
      </c>
      <c r="R992">
        <v>0</v>
      </c>
      <c r="S992">
        <v>1</v>
      </c>
      <c r="T992" t="str">
        <f>IF(mental_health[Sleep_Hours]&lt;5,"Low",IF(mental_health[Sleep_Hours]&lt;7,"Medium","Good"))</f>
        <v>Good</v>
      </c>
      <c r="U992" t="str">
        <f>IF(mental_health[Stress_Level]&lt;=3,"Low",IF(mental_health[Stress_Level]&lt;=7,"Medium","High"))</f>
        <v>High</v>
      </c>
      <c r="V992" t="str">
        <f>IF(mental_health[Daily_Screen_Time]&lt;=4,"Low",IF(mental_health[Daily_Screen_Time]&lt;=8,"Medium","High"))</f>
        <v>Medium</v>
      </c>
    </row>
    <row r="993" spans="1:22" x14ac:dyDescent="0.3">
      <c r="A993">
        <v>992</v>
      </c>
      <c r="B993">
        <v>30</v>
      </c>
      <c r="C993" t="s">
        <v>18</v>
      </c>
      <c r="D993" t="s">
        <v>24</v>
      </c>
      <c r="E993">
        <v>10.6</v>
      </c>
      <c r="F993">
        <v>3.2</v>
      </c>
      <c r="G993">
        <v>0</v>
      </c>
      <c r="H993" t="str">
        <f t="shared" si="15"/>
        <v>No Night Usage</v>
      </c>
      <c r="I993">
        <v>6.2</v>
      </c>
      <c r="J993" s="3">
        <v>3</v>
      </c>
      <c r="K993">
        <v>10.7</v>
      </c>
      <c r="L993" t="s">
        <v>20</v>
      </c>
      <c r="M993">
        <v>4</v>
      </c>
      <c r="N993">
        <v>2</v>
      </c>
      <c r="O993">
        <v>1</v>
      </c>
      <c r="P993">
        <v>1</v>
      </c>
      <c r="Q993">
        <v>1</v>
      </c>
      <c r="R993">
        <v>0</v>
      </c>
      <c r="S993">
        <v>1</v>
      </c>
      <c r="T993" t="str">
        <f>IF(mental_health[Sleep_Hours]&lt;5,"Low",IF(mental_health[Sleep_Hours]&lt;7,"Medium","Good"))</f>
        <v>Medium</v>
      </c>
      <c r="U993" t="str">
        <f>IF(mental_health[Stress_Level]&lt;=3,"Low",IF(mental_health[Stress_Level]&lt;=7,"Medium","High"))</f>
        <v>Low</v>
      </c>
      <c r="V993" t="str">
        <f>IF(mental_health[Daily_Screen_Time]&lt;=4,"Low",IF(mental_health[Daily_Screen_Time]&lt;=8,"Medium","High"))</f>
        <v>High</v>
      </c>
    </row>
    <row r="994" spans="1:22" x14ac:dyDescent="0.3">
      <c r="A994">
        <v>993</v>
      </c>
      <c r="B994">
        <v>48</v>
      </c>
      <c r="C994" t="s">
        <v>18</v>
      </c>
      <c r="D994" t="s">
        <v>22</v>
      </c>
      <c r="E994">
        <v>3.7</v>
      </c>
      <c r="F994">
        <v>6.4</v>
      </c>
      <c r="G994">
        <v>1</v>
      </c>
      <c r="H994" t="str">
        <f t="shared" si="15"/>
        <v>Night Usage</v>
      </c>
      <c r="I994">
        <v>3.7</v>
      </c>
      <c r="J994" s="3">
        <v>6</v>
      </c>
      <c r="K994">
        <v>10.8</v>
      </c>
      <c r="L994" t="s">
        <v>20</v>
      </c>
      <c r="M994">
        <v>2</v>
      </c>
      <c r="N994">
        <v>1</v>
      </c>
      <c r="O994">
        <v>0</v>
      </c>
      <c r="P994">
        <v>1</v>
      </c>
      <c r="Q994">
        <v>0</v>
      </c>
      <c r="R994">
        <v>0</v>
      </c>
      <c r="S994">
        <v>0</v>
      </c>
      <c r="T994" t="str">
        <f>IF(mental_health[Sleep_Hours]&lt;5,"Low",IF(mental_health[Sleep_Hours]&lt;7,"Medium","Good"))</f>
        <v>Low</v>
      </c>
      <c r="U994" t="str">
        <f>IF(mental_health[Stress_Level]&lt;=3,"Low",IF(mental_health[Stress_Level]&lt;=7,"Medium","High"))</f>
        <v>Medium</v>
      </c>
      <c r="V994" t="str">
        <f>IF(mental_health[Daily_Screen_Time]&lt;=4,"Low",IF(mental_health[Daily_Screen_Time]&lt;=8,"Medium","High"))</f>
        <v>Low</v>
      </c>
    </row>
    <row r="995" spans="1:22" x14ac:dyDescent="0.3">
      <c r="A995">
        <v>994</v>
      </c>
      <c r="B995">
        <v>40</v>
      </c>
      <c r="C995" t="s">
        <v>18</v>
      </c>
      <c r="D995" t="s">
        <v>22</v>
      </c>
      <c r="E995">
        <v>10.5</v>
      </c>
      <c r="F995">
        <v>1.4</v>
      </c>
      <c r="G995">
        <v>1</v>
      </c>
      <c r="H995" t="str">
        <f t="shared" si="15"/>
        <v>Night Usage</v>
      </c>
      <c r="I995">
        <v>8</v>
      </c>
      <c r="J995" s="3">
        <v>8</v>
      </c>
      <c r="K995">
        <v>9</v>
      </c>
      <c r="L995" t="s">
        <v>21</v>
      </c>
      <c r="M995">
        <v>3</v>
      </c>
      <c r="N995">
        <v>1</v>
      </c>
      <c r="O995">
        <v>0</v>
      </c>
      <c r="P995">
        <v>1</v>
      </c>
      <c r="Q995">
        <v>1</v>
      </c>
      <c r="R995">
        <v>1</v>
      </c>
      <c r="S995">
        <v>1</v>
      </c>
      <c r="T995" t="str">
        <f>IF(mental_health[Sleep_Hours]&lt;5,"Low",IF(mental_health[Sleep_Hours]&lt;7,"Medium","Good"))</f>
        <v>Good</v>
      </c>
      <c r="U995" t="str">
        <f>IF(mental_health[Stress_Level]&lt;=3,"Low",IF(mental_health[Stress_Level]&lt;=7,"Medium","High"))</f>
        <v>High</v>
      </c>
      <c r="V995" t="str">
        <f>IF(mental_health[Daily_Screen_Time]&lt;=4,"Low",IF(mental_health[Daily_Screen_Time]&lt;=8,"Medium","High"))</f>
        <v>High</v>
      </c>
    </row>
    <row r="996" spans="1:22" x14ac:dyDescent="0.3">
      <c r="A996">
        <v>995</v>
      </c>
      <c r="B996">
        <v>32</v>
      </c>
      <c r="C996" t="s">
        <v>23</v>
      </c>
      <c r="D996" t="s">
        <v>19</v>
      </c>
      <c r="E996">
        <v>2.1</v>
      </c>
      <c r="F996">
        <v>1.1000000000000001</v>
      </c>
      <c r="G996">
        <v>0</v>
      </c>
      <c r="H996" t="str">
        <f t="shared" si="15"/>
        <v>No Night Usage</v>
      </c>
      <c r="I996">
        <v>4.5</v>
      </c>
      <c r="J996" s="3">
        <v>7</v>
      </c>
      <c r="K996">
        <v>8.6</v>
      </c>
      <c r="L996" t="s">
        <v>21</v>
      </c>
      <c r="M996">
        <v>7</v>
      </c>
      <c r="N996">
        <v>3</v>
      </c>
      <c r="O996">
        <v>0</v>
      </c>
      <c r="P996">
        <v>1</v>
      </c>
      <c r="Q996">
        <v>1</v>
      </c>
      <c r="R996">
        <v>1</v>
      </c>
      <c r="S996">
        <v>1</v>
      </c>
      <c r="T996" t="str">
        <f>IF(mental_health[Sleep_Hours]&lt;5,"Low",IF(mental_health[Sleep_Hours]&lt;7,"Medium","Good"))</f>
        <v>Low</v>
      </c>
      <c r="U996" t="str">
        <f>IF(mental_health[Stress_Level]&lt;=3,"Low",IF(mental_health[Stress_Level]&lt;=7,"Medium","High"))</f>
        <v>Medium</v>
      </c>
      <c r="V996" t="str">
        <f>IF(mental_health[Daily_Screen_Time]&lt;=4,"Low",IF(mental_health[Daily_Screen_Time]&lt;=8,"Medium","High"))</f>
        <v>Low</v>
      </c>
    </row>
    <row r="997" spans="1:22" x14ac:dyDescent="0.3">
      <c r="A997">
        <v>996</v>
      </c>
      <c r="B997">
        <v>48</v>
      </c>
      <c r="C997" t="s">
        <v>18</v>
      </c>
      <c r="D997" t="s">
        <v>19</v>
      </c>
      <c r="E997">
        <v>7.1</v>
      </c>
      <c r="F997">
        <v>6.6</v>
      </c>
      <c r="G997">
        <v>0</v>
      </c>
      <c r="H997" t="str">
        <f t="shared" si="15"/>
        <v>No Night Usage</v>
      </c>
      <c r="I997">
        <v>7.7</v>
      </c>
      <c r="J997" s="3">
        <v>6</v>
      </c>
      <c r="K997">
        <v>9.3000000000000007</v>
      </c>
      <c r="L997" t="s">
        <v>20</v>
      </c>
      <c r="M997">
        <v>6</v>
      </c>
      <c r="N997">
        <v>2</v>
      </c>
      <c r="O997">
        <v>1</v>
      </c>
      <c r="P997">
        <v>1</v>
      </c>
      <c r="Q997">
        <v>1</v>
      </c>
      <c r="R997">
        <v>1</v>
      </c>
      <c r="S997">
        <v>1</v>
      </c>
      <c r="T997" t="str">
        <f>IF(mental_health[Sleep_Hours]&lt;5,"Low",IF(mental_health[Sleep_Hours]&lt;7,"Medium","Good"))</f>
        <v>Good</v>
      </c>
      <c r="U997" t="str">
        <f>IF(mental_health[Stress_Level]&lt;=3,"Low",IF(mental_health[Stress_Level]&lt;=7,"Medium","High"))</f>
        <v>Medium</v>
      </c>
      <c r="V997" t="str">
        <f>IF(mental_health[Daily_Screen_Time]&lt;=4,"Low",IF(mental_health[Daily_Screen_Time]&lt;=8,"Medium","High"))</f>
        <v>Medium</v>
      </c>
    </row>
    <row r="998" spans="1:22" x14ac:dyDescent="0.3">
      <c r="A998">
        <v>997</v>
      </c>
      <c r="B998">
        <v>17</v>
      </c>
      <c r="C998" t="s">
        <v>23</v>
      </c>
      <c r="D998" t="s">
        <v>19</v>
      </c>
      <c r="E998">
        <v>9.6999999999999993</v>
      </c>
      <c r="F998">
        <v>4.3</v>
      </c>
      <c r="G998">
        <v>0</v>
      </c>
      <c r="H998" t="str">
        <f t="shared" si="15"/>
        <v>No Night Usage</v>
      </c>
      <c r="I998">
        <v>8.6999999999999993</v>
      </c>
      <c r="J998" s="3">
        <v>2</v>
      </c>
      <c r="K998">
        <v>5.7</v>
      </c>
      <c r="L998" t="s">
        <v>25</v>
      </c>
      <c r="M998">
        <v>6</v>
      </c>
      <c r="N998">
        <v>2</v>
      </c>
      <c r="O998">
        <v>0</v>
      </c>
      <c r="P998">
        <v>1</v>
      </c>
      <c r="Q998">
        <v>0</v>
      </c>
      <c r="R998">
        <v>1</v>
      </c>
      <c r="S998">
        <v>0</v>
      </c>
      <c r="T998" t="str">
        <f>IF(mental_health[Sleep_Hours]&lt;5,"Low",IF(mental_health[Sleep_Hours]&lt;7,"Medium","Good"))</f>
        <v>Good</v>
      </c>
      <c r="U998" t="str">
        <f>IF(mental_health[Stress_Level]&lt;=3,"Low",IF(mental_health[Stress_Level]&lt;=7,"Medium","High"))</f>
        <v>Low</v>
      </c>
      <c r="V998" t="str">
        <f>IF(mental_health[Daily_Screen_Time]&lt;=4,"Low",IF(mental_health[Daily_Screen_Time]&lt;=8,"Medium","High"))</f>
        <v>High</v>
      </c>
    </row>
    <row r="999" spans="1:22" x14ac:dyDescent="0.3">
      <c r="A999">
        <v>998</v>
      </c>
      <c r="B999">
        <v>29</v>
      </c>
      <c r="C999" t="s">
        <v>23</v>
      </c>
      <c r="D999" t="s">
        <v>22</v>
      </c>
      <c r="E999">
        <v>11.3</v>
      </c>
      <c r="F999">
        <v>1.9</v>
      </c>
      <c r="G999">
        <v>0</v>
      </c>
      <c r="H999" t="str">
        <f t="shared" si="15"/>
        <v>No Night Usage</v>
      </c>
      <c r="I999">
        <v>7.2</v>
      </c>
      <c r="J999" s="3">
        <v>7</v>
      </c>
      <c r="K999">
        <v>6</v>
      </c>
      <c r="L999" t="s">
        <v>21</v>
      </c>
      <c r="M999">
        <v>8</v>
      </c>
      <c r="N999">
        <v>0</v>
      </c>
      <c r="O999">
        <v>0</v>
      </c>
      <c r="P999">
        <v>0</v>
      </c>
      <c r="Q999">
        <v>0</v>
      </c>
      <c r="R999">
        <v>1</v>
      </c>
      <c r="S999">
        <v>1</v>
      </c>
      <c r="T999" t="str">
        <f>IF(mental_health[Sleep_Hours]&lt;5,"Low",IF(mental_health[Sleep_Hours]&lt;7,"Medium","Good"))</f>
        <v>Good</v>
      </c>
      <c r="U999" t="str">
        <f>IF(mental_health[Stress_Level]&lt;=3,"Low",IF(mental_health[Stress_Level]&lt;=7,"Medium","High"))</f>
        <v>Medium</v>
      </c>
      <c r="V999" t="str">
        <f>IF(mental_health[Daily_Screen_Time]&lt;=4,"Low",IF(mental_health[Daily_Screen_Time]&lt;=8,"Medium","High"))</f>
        <v>High</v>
      </c>
    </row>
    <row r="1000" spans="1:22" x14ac:dyDescent="0.3">
      <c r="A1000">
        <v>999</v>
      </c>
      <c r="B1000">
        <v>55</v>
      </c>
      <c r="C1000" t="s">
        <v>18</v>
      </c>
      <c r="D1000" t="s">
        <v>24</v>
      </c>
      <c r="E1000">
        <v>11.1</v>
      </c>
      <c r="F1000">
        <v>2.6</v>
      </c>
      <c r="G1000">
        <v>0</v>
      </c>
      <c r="H1000" t="str">
        <f t="shared" si="15"/>
        <v>No Night Usage</v>
      </c>
      <c r="I1000">
        <v>6.6</v>
      </c>
      <c r="J1000" s="3">
        <v>8</v>
      </c>
      <c r="K1000">
        <v>7.5</v>
      </c>
      <c r="L1000" t="s">
        <v>25</v>
      </c>
      <c r="M1000">
        <v>8</v>
      </c>
      <c r="N1000">
        <v>4</v>
      </c>
      <c r="O1000">
        <v>1</v>
      </c>
      <c r="P1000">
        <v>1</v>
      </c>
      <c r="Q1000">
        <v>1</v>
      </c>
      <c r="R1000">
        <v>0</v>
      </c>
      <c r="S1000">
        <v>0</v>
      </c>
      <c r="T1000" t="str">
        <f>IF(mental_health[Sleep_Hours]&lt;5,"Low",IF(mental_health[Sleep_Hours]&lt;7,"Medium","Good"))</f>
        <v>Medium</v>
      </c>
      <c r="U1000" t="str">
        <f>IF(mental_health[Stress_Level]&lt;=3,"Low",IF(mental_health[Stress_Level]&lt;=7,"Medium","High"))</f>
        <v>High</v>
      </c>
      <c r="V1000" t="str">
        <f>IF(mental_health[Daily_Screen_Time]&lt;=4,"Low",IF(mental_health[Daily_Screen_Time]&lt;=8,"Medium","High"))</f>
        <v>High</v>
      </c>
    </row>
    <row r="1001" spans="1:22" x14ac:dyDescent="0.3">
      <c r="A1001">
        <v>1000</v>
      </c>
      <c r="B1001">
        <v>55</v>
      </c>
      <c r="C1001" t="s">
        <v>18</v>
      </c>
      <c r="D1001" t="s">
        <v>19</v>
      </c>
      <c r="E1001">
        <v>10.199999999999999</v>
      </c>
      <c r="F1001">
        <v>7.5</v>
      </c>
      <c r="G1001">
        <v>1</v>
      </c>
      <c r="H1001" t="str">
        <f t="shared" si="15"/>
        <v>Night Usage</v>
      </c>
      <c r="I1001">
        <v>5.8</v>
      </c>
      <c r="J1001" s="3">
        <v>1</v>
      </c>
      <c r="K1001">
        <v>11.4</v>
      </c>
      <c r="L1001" t="s">
        <v>25</v>
      </c>
      <c r="M1001">
        <v>6</v>
      </c>
      <c r="N1001">
        <v>0</v>
      </c>
      <c r="O1001">
        <v>0</v>
      </c>
      <c r="P1001">
        <v>1</v>
      </c>
      <c r="Q1001">
        <v>1</v>
      </c>
      <c r="R1001">
        <v>1</v>
      </c>
      <c r="S1001">
        <v>1</v>
      </c>
      <c r="T1001" t="str">
        <f>IF(mental_health[Sleep_Hours]&lt;5,"Low",IF(mental_health[Sleep_Hours]&lt;7,"Medium","Good"))</f>
        <v>Medium</v>
      </c>
      <c r="U1001" t="str">
        <f>IF(mental_health[Stress_Level]&lt;=3,"Low",IF(mental_health[Stress_Level]&lt;=7,"Medium","High"))</f>
        <v>Low</v>
      </c>
      <c r="V1001" t="str">
        <f>IF(mental_health[Daily_Screen_Time]&lt;=4,"Low",IF(mental_health[Daily_Screen_Time]&lt;=8,"Medium","High"))</f>
        <v>High</v>
      </c>
    </row>
    <row r="1002" spans="1:22" x14ac:dyDescent="0.3">
      <c r="A1002">
        <v>1001</v>
      </c>
      <c r="B1002">
        <v>54</v>
      </c>
      <c r="C1002" t="s">
        <v>18</v>
      </c>
      <c r="D1002" t="s">
        <v>24</v>
      </c>
      <c r="E1002">
        <v>10.9</v>
      </c>
      <c r="F1002">
        <v>7</v>
      </c>
      <c r="G1002">
        <v>1</v>
      </c>
      <c r="H1002" t="str">
        <f t="shared" si="15"/>
        <v>Night Usage</v>
      </c>
      <c r="I1002">
        <v>5.2</v>
      </c>
      <c r="J1002" s="3">
        <v>9</v>
      </c>
      <c r="K1002">
        <v>9.1999999999999993</v>
      </c>
      <c r="L1002" t="s">
        <v>21</v>
      </c>
      <c r="M1002">
        <v>1</v>
      </c>
      <c r="N1002">
        <v>3</v>
      </c>
      <c r="O1002">
        <v>0</v>
      </c>
      <c r="P1002">
        <v>0</v>
      </c>
      <c r="Q1002">
        <v>1</v>
      </c>
      <c r="R1002">
        <v>1</v>
      </c>
      <c r="S1002">
        <v>0</v>
      </c>
      <c r="T1002" t="str">
        <f>IF(mental_health[Sleep_Hours]&lt;5,"Low",IF(mental_health[Sleep_Hours]&lt;7,"Medium","Good"))</f>
        <v>Medium</v>
      </c>
      <c r="U1002" t="str">
        <f>IF(mental_health[Stress_Level]&lt;=3,"Low",IF(mental_health[Stress_Level]&lt;=7,"Medium","High"))</f>
        <v>High</v>
      </c>
      <c r="V1002" t="str">
        <f>IF(mental_health[Daily_Screen_Time]&lt;=4,"Low",IF(mental_health[Daily_Screen_Time]&lt;=8,"Medium","High"))</f>
        <v>High</v>
      </c>
    </row>
    <row r="1003" spans="1:22" x14ac:dyDescent="0.3">
      <c r="A1003">
        <v>1002</v>
      </c>
      <c r="B1003">
        <v>21</v>
      </c>
      <c r="C1003" t="s">
        <v>23</v>
      </c>
      <c r="D1003" t="s">
        <v>19</v>
      </c>
      <c r="E1003">
        <v>4</v>
      </c>
      <c r="F1003">
        <v>6</v>
      </c>
      <c r="G1003">
        <v>0</v>
      </c>
      <c r="H1003" t="str">
        <f t="shared" si="15"/>
        <v>No Night Usage</v>
      </c>
      <c r="I1003">
        <v>5.0999999999999996</v>
      </c>
      <c r="J1003" s="3">
        <v>4</v>
      </c>
      <c r="K1003">
        <v>7.5</v>
      </c>
      <c r="L1003" t="s">
        <v>25</v>
      </c>
      <c r="M1003">
        <v>10</v>
      </c>
      <c r="N1003">
        <v>1</v>
      </c>
      <c r="O1003">
        <v>1</v>
      </c>
      <c r="P1003">
        <v>1</v>
      </c>
      <c r="Q1003">
        <v>0</v>
      </c>
      <c r="R1003">
        <v>1</v>
      </c>
      <c r="S1003">
        <v>0</v>
      </c>
      <c r="T1003" t="str">
        <f>IF(mental_health[Sleep_Hours]&lt;5,"Low",IF(mental_health[Sleep_Hours]&lt;7,"Medium","Good"))</f>
        <v>Medium</v>
      </c>
      <c r="U1003" t="str">
        <f>IF(mental_health[Stress_Level]&lt;=3,"Low",IF(mental_health[Stress_Level]&lt;=7,"Medium","High"))</f>
        <v>Medium</v>
      </c>
      <c r="V1003" t="str">
        <f>IF(mental_health[Daily_Screen_Time]&lt;=4,"Low",IF(mental_health[Daily_Screen_Time]&lt;=8,"Medium","High"))</f>
        <v>Low</v>
      </c>
    </row>
    <row r="1004" spans="1:22" x14ac:dyDescent="0.3">
      <c r="A1004">
        <v>1003</v>
      </c>
      <c r="B1004">
        <v>21</v>
      </c>
      <c r="C1004" t="s">
        <v>18</v>
      </c>
      <c r="D1004" t="s">
        <v>19</v>
      </c>
      <c r="E1004">
        <v>4.8</v>
      </c>
      <c r="F1004">
        <v>4.4000000000000004</v>
      </c>
      <c r="G1004">
        <v>0</v>
      </c>
      <c r="H1004" t="str">
        <f t="shared" si="15"/>
        <v>No Night Usage</v>
      </c>
      <c r="I1004">
        <v>6.8</v>
      </c>
      <c r="J1004" s="3">
        <v>8</v>
      </c>
      <c r="K1004">
        <v>9.6999999999999993</v>
      </c>
      <c r="L1004" t="s">
        <v>25</v>
      </c>
      <c r="M1004">
        <v>7</v>
      </c>
      <c r="N1004">
        <v>3</v>
      </c>
      <c r="O1004">
        <v>1</v>
      </c>
      <c r="P1004">
        <v>1</v>
      </c>
      <c r="Q1004">
        <v>0</v>
      </c>
      <c r="R1004">
        <v>1</v>
      </c>
      <c r="S1004">
        <v>1</v>
      </c>
      <c r="T1004" t="str">
        <f>IF(mental_health[Sleep_Hours]&lt;5,"Low",IF(mental_health[Sleep_Hours]&lt;7,"Medium","Good"))</f>
        <v>Medium</v>
      </c>
      <c r="U1004" t="str">
        <f>IF(mental_health[Stress_Level]&lt;=3,"Low",IF(mental_health[Stress_Level]&lt;=7,"Medium","High"))</f>
        <v>High</v>
      </c>
      <c r="V1004" t="str">
        <f>IF(mental_health[Daily_Screen_Time]&lt;=4,"Low",IF(mental_health[Daily_Screen_Time]&lt;=8,"Medium","High"))</f>
        <v>Medium</v>
      </c>
    </row>
    <row r="1005" spans="1:22" x14ac:dyDescent="0.3">
      <c r="A1005">
        <v>1004</v>
      </c>
      <c r="B1005">
        <v>18</v>
      </c>
      <c r="C1005" t="s">
        <v>23</v>
      </c>
      <c r="D1005" t="s">
        <v>22</v>
      </c>
      <c r="E1005">
        <v>4.9000000000000004</v>
      </c>
      <c r="F1005">
        <v>4.5999999999999996</v>
      </c>
      <c r="G1005">
        <v>1</v>
      </c>
      <c r="H1005" t="str">
        <f t="shared" si="15"/>
        <v>Night Usage</v>
      </c>
      <c r="I1005">
        <v>7.5</v>
      </c>
      <c r="J1005" s="3">
        <v>10</v>
      </c>
      <c r="K1005">
        <v>5.7</v>
      </c>
      <c r="L1005" t="s">
        <v>20</v>
      </c>
      <c r="M1005">
        <v>8</v>
      </c>
      <c r="N1005">
        <v>3</v>
      </c>
      <c r="O1005">
        <v>1</v>
      </c>
      <c r="P1005">
        <v>0</v>
      </c>
      <c r="Q1005">
        <v>1</v>
      </c>
      <c r="R1005">
        <v>1</v>
      </c>
      <c r="S1005">
        <v>0</v>
      </c>
      <c r="T1005" t="str">
        <f>IF(mental_health[Sleep_Hours]&lt;5,"Low",IF(mental_health[Sleep_Hours]&lt;7,"Medium","Good"))</f>
        <v>Good</v>
      </c>
      <c r="U1005" t="str">
        <f>IF(mental_health[Stress_Level]&lt;=3,"Low",IF(mental_health[Stress_Level]&lt;=7,"Medium","High"))</f>
        <v>High</v>
      </c>
      <c r="V1005" t="str">
        <f>IF(mental_health[Daily_Screen_Time]&lt;=4,"Low",IF(mental_health[Daily_Screen_Time]&lt;=8,"Medium","High"))</f>
        <v>Medium</v>
      </c>
    </row>
    <row r="1006" spans="1:22" x14ac:dyDescent="0.3">
      <c r="A1006">
        <v>1005</v>
      </c>
      <c r="B1006">
        <v>22</v>
      </c>
      <c r="C1006" t="s">
        <v>18</v>
      </c>
      <c r="D1006" t="s">
        <v>19</v>
      </c>
      <c r="E1006">
        <v>5.8</v>
      </c>
      <c r="F1006">
        <v>7.8</v>
      </c>
      <c r="G1006">
        <v>0</v>
      </c>
      <c r="H1006" t="str">
        <f t="shared" si="15"/>
        <v>No Night Usage</v>
      </c>
      <c r="I1006">
        <v>7.1</v>
      </c>
      <c r="J1006" s="3">
        <v>7</v>
      </c>
      <c r="K1006">
        <v>9.3000000000000007</v>
      </c>
      <c r="L1006" t="s">
        <v>20</v>
      </c>
      <c r="M1006">
        <v>5</v>
      </c>
      <c r="N1006">
        <v>0</v>
      </c>
      <c r="O1006">
        <v>1</v>
      </c>
      <c r="P1006">
        <v>0</v>
      </c>
      <c r="Q1006">
        <v>1</v>
      </c>
      <c r="R1006">
        <v>1</v>
      </c>
      <c r="S1006">
        <v>1</v>
      </c>
      <c r="T1006" t="str">
        <f>IF(mental_health[Sleep_Hours]&lt;5,"Low",IF(mental_health[Sleep_Hours]&lt;7,"Medium","Good"))</f>
        <v>Good</v>
      </c>
      <c r="U1006" t="str">
        <f>IF(mental_health[Stress_Level]&lt;=3,"Low",IF(mental_health[Stress_Level]&lt;=7,"Medium","High"))</f>
        <v>Medium</v>
      </c>
      <c r="V1006" t="str">
        <f>IF(mental_health[Daily_Screen_Time]&lt;=4,"Low",IF(mental_health[Daily_Screen_Time]&lt;=8,"Medium","High"))</f>
        <v>Medium</v>
      </c>
    </row>
    <row r="1007" spans="1:22" x14ac:dyDescent="0.3">
      <c r="A1007">
        <v>1006</v>
      </c>
      <c r="B1007">
        <v>23</v>
      </c>
      <c r="C1007" t="s">
        <v>18</v>
      </c>
      <c r="D1007" t="s">
        <v>19</v>
      </c>
      <c r="E1007">
        <v>5.9</v>
      </c>
      <c r="F1007">
        <v>7.8</v>
      </c>
      <c r="G1007">
        <v>0</v>
      </c>
      <c r="H1007" t="str">
        <f t="shared" si="15"/>
        <v>No Night Usage</v>
      </c>
      <c r="I1007">
        <v>4.2</v>
      </c>
      <c r="J1007" s="3">
        <v>10</v>
      </c>
      <c r="K1007">
        <v>6.1</v>
      </c>
      <c r="L1007" t="s">
        <v>20</v>
      </c>
      <c r="M1007">
        <v>4</v>
      </c>
      <c r="N1007">
        <v>1</v>
      </c>
      <c r="O1007">
        <v>1</v>
      </c>
      <c r="P1007">
        <v>1</v>
      </c>
      <c r="Q1007">
        <v>1</v>
      </c>
      <c r="R1007">
        <v>0</v>
      </c>
      <c r="S1007">
        <v>0</v>
      </c>
      <c r="T1007" t="str">
        <f>IF(mental_health[Sleep_Hours]&lt;5,"Low",IF(mental_health[Sleep_Hours]&lt;7,"Medium","Good"))</f>
        <v>Low</v>
      </c>
      <c r="U1007" t="str">
        <f>IF(mental_health[Stress_Level]&lt;=3,"Low",IF(mental_health[Stress_Level]&lt;=7,"Medium","High"))</f>
        <v>High</v>
      </c>
      <c r="V1007" t="str">
        <f>IF(mental_health[Daily_Screen_Time]&lt;=4,"Low",IF(mental_health[Daily_Screen_Time]&lt;=8,"Medium","High"))</f>
        <v>Medium</v>
      </c>
    </row>
    <row r="1008" spans="1:22" x14ac:dyDescent="0.3">
      <c r="A1008">
        <v>1007</v>
      </c>
      <c r="B1008">
        <v>57</v>
      </c>
      <c r="C1008" t="s">
        <v>23</v>
      </c>
      <c r="D1008" t="s">
        <v>22</v>
      </c>
      <c r="E1008">
        <v>7.4</v>
      </c>
      <c r="F1008">
        <v>2.5</v>
      </c>
      <c r="G1008">
        <v>1</v>
      </c>
      <c r="H1008" t="str">
        <f t="shared" si="15"/>
        <v>Night Usage</v>
      </c>
      <c r="I1008">
        <v>6</v>
      </c>
      <c r="J1008" s="3">
        <v>7</v>
      </c>
      <c r="K1008">
        <v>4.8</v>
      </c>
      <c r="L1008" t="s">
        <v>21</v>
      </c>
      <c r="M1008">
        <v>7</v>
      </c>
      <c r="N1008">
        <v>4</v>
      </c>
      <c r="O1008">
        <v>0</v>
      </c>
      <c r="P1008">
        <v>0</v>
      </c>
      <c r="Q1008">
        <v>1</v>
      </c>
      <c r="R1008">
        <v>1</v>
      </c>
      <c r="S1008">
        <v>0</v>
      </c>
      <c r="T1008" t="str">
        <f>IF(mental_health[Sleep_Hours]&lt;5,"Low",IF(mental_health[Sleep_Hours]&lt;7,"Medium","Good"))</f>
        <v>Medium</v>
      </c>
      <c r="U1008" t="str">
        <f>IF(mental_health[Stress_Level]&lt;=3,"Low",IF(mental_health[Stress_Level]&lt;=7,"Medium","High"))</f>
        <v>Medium</v>
      </c>
      <c r="V1008" t="str">
        <f>IF(mental_health[Daily_Screen_Time]&lt;=4,"Low",IF(mental_health[Daily_Screen_Time]&lt;=8,"Medium","High"))</f>
        <v>Medium</v>
      </c>
    </row>
    <row r="1009" spans="1:22" x14ac:dyDescent="0.3">
      <c r="A1009">
        <v>1008</v>
      </c>
      <c r="B1009">
        <v>30</v>
      </c>
      <c r="C1009" t="s">
        <v>23</v>
      </c>
      <c r="D1009" t="s">
        <v>24</v>
      </c>
      <c r="E1009">
        <v>3.6</v>
      </c>
      <c r="F1009">
        <v>6.7</v>
      </c>
      <c r="G1009">
        <v>1</v>
      </c>
      <c r="H1009" t="str">
        <f t="shared" si="15"/>
        <v>Night Usage</v>
      </c>
      <c r="I1009">
        <v>7.7</v>
      </c>
      <c r="J1009" s="3">
        <v>2</v>
      </c>
      <c r="K1009">
        <v>8.1</v>
      </c>
      <c r="L1009" t="s">
        <v>20</v>
      </c>
      <c r="M1009">
        <v>6</v>
      </c>
      <c r="N1009">
        <v>3</v>
      </c>
      <c r="O1009">
        <v>0</v>
      </c>
      <c r="P1009">
        <v>1</v>
      </c>
      <c r="Q1009">
        <v>1</v>
      </c>
      <c r="R1009">
        <v>1</v>
      </c>
      <c r="S1009">
        <v>0</v>
      </c>
      <c r="T1009" t="str">
        <f>IF(mental_health[Sleep_Hours]&lt;5,"Low",IF(mental_health[Sleep_Hours]&lt;7,"Medium","Good"))</f>
        <v>Good</v>
      </c>
      <c r="U1009" t="str">
        <f>IF(mental_health[Stress_Level]&lt;=3,"Low",IF(mental_health[Stress_Level]&lt;=7,"Medium","High"))</f>
        <v>Low</v>
      </c>
      <c r="V1009" t="str">
        <f>IF(mental_health[Daily_Screen_Time]&lt;=4,"Low",IF(mental_health[Daily_Screen_Time]&lt;=8,"Medium","High"))</f>
        <v>Low</v>
      </c>
    </row>
    <row r="1010" spans="1:22" x14ac:dyDescent="0.3">
      <c r="A1010">
        <v>1009</v>
      </c>
      <c r="B1010">
        <v>44</v>
      </c>
      <c r="C1010" t="s">
        <v>18</v>
      </c>
      <c r="D1010" t="s">
        <v>19</v>
      </c>
      <c r="E1010">
        <v>8.9</v>
      </c>
      <c r="F1010">
        <v>2.4</v>
      </c>
      <c r="G1010">
        <v>1</v>
      </c>
      <c r="H1010" t="str">
        <f t="shared" si="15"/>
        <v>Night Usage</v>
      </c>
      <c r="I1010">
        <v>5.9</v>
      </c>
      <c r="J1010" s="3">
        <v>1</v>
      </c>
      <c r="K1010">
        <v>8.9</v>
      </c>
      <c r="L1010" t="s">
        <v>25</v>
      </c>
      <c r="M1010">
        <v>6</v>
      </c>
      <c r="N1010">
        <v>4</v>
      </c>
      <c r="O1010">
        <v>1</v>
      </c>
      <c r="P1010">
        <v>1</v>
      </c>
      <c r="Q1010">
        <v>0</v>
      </c>
      <c r="R1010">
        <v>1</v>
      </c>
      <c r="S1010">
        <v>1</v>
      </c>
      <c r="T1010" t="str">
        <f>IF(mental_health[Sleep_Hours]&lt;5,"Low",IF(mental_health[Sleep_Hours]&lt;7,"Medium","Good"))</f>
        <v>Medium</v>
      </c>
      <c r="U1010" t="str">
        <f>IF(mental_health[Stress_Level]&lt;=3,"Low",IF(mental_health[Stress_Level]&lt;=7,"Medium","High"))</f>
        <v>Low</v>
      </c>
      <c r="V1010" t="str">
        <f>IF(mental_health[Daily_Screen_Time]&lt;=4,"Low",IF(mental_health[Daily_Screen_Time]&lt;=8,"Medium","High"))</f>
        <v>High</v>
      </c>
    </row>
    <row r="1011" spans="1:22" x14ac:dyDescent="0.3">
      <c r="A1011">
        <v>1010</v>
      </c>
      <c r="B1011">
        <v>48</v>
      </c>
      <c r="C1011" t="s">
        <v>23</v>
      </c>
      <c r="D1011" t="s">
        <v>22</v>
      </c>
      <c r="E1011">
        <v>3.7</v>
      </c>
      <c r="F1011">
        <v>2.5</v>
      </c>
      <c r="G1011">
        <v>0</v>
      </c>
      <c r="H1011" t="str">
        <f t="shared" si="15"/>
        <v>No Night Usage</v>
      </c>
      <c r="I1011">
        <v>6.2</v>
      </c>
      <c r="J1011" s="3">
        <v>4</v>
      </c>
      <c r="K1011">
        <v>6.6</v>
      </c>
      <c r="L1011" t="s">
        <v>25</v>
      </c>
      <c r="M1011">
        <v>3</v>
      </c>
      <c r="N1011">
        <v>1</v>
      </c>
      <c r="O1011">
        <v>0</v>
      </c>
      <c r="P1011">
        <v>0</v>
      </c>
      <c r="Q1011">
        <v>1</v>
      </c>
      <c r="R1011">
        <v>0</v>
      </c>
      <c r="S1011">
        <v>1</v>
      </c>
      <c r="T1011" t="str">
        <f>IF(mental_health[Sleep_Hours]&lt;5,"Low",IF(mental_health[Sleep_Hours]&lt;7,"Medium","Good"))</f>
        <v>Medium</v>
      </c>
      <c r="U1011" t="str">
        <f>IF(mental_health[Stress_Level]&lt;=3,"Low",IF(mental_health[Stress_Level]&lt;=7,"Medium","High"))</f>
        <v>Medium</v>
      </c>
      <c r="V1011" t="str">
        <f>IF(mental_health[Daily_Screen_Time]&lt;=4,"Low",IF(mental_health[Daily_Screen_Time]&lt;=8,"Medium","High"))</f>
        <v>Low</v>
      </c>
    </row>
    <row r="1012" spans="1:22" x14ac:dyDescent="0.3">
      <c r="A1012">
        <v>1011</v>
      </c>
      <c r="B1012">
        <v>45</v>
      </c>
      <c r="C1012" t="s">
        <v>23</v>
      </c>
      <c r="D1012" t="s">
        <v>19</v>
      </c>
      <c r="E1012">
        <v>5.0999999999999996</v>
      </c>
      <c r="F1012">
        <v>5.7</v>
      </c>
      <c r="G1012">
        <v>1</v>
      </c>
      <c r="H1012" t="str">
        <f t="shared" si="15"/>
        <v>Night Usage</v>
      </c>
      <c r="I1012">
        <v>7.6</v>
      </c>
      <c r="J1012" s="3">
        <v>2</v>
      </c>
      <c r="K1012">
        <v>7.7</v>
      </c>
      <c r="L1012" t="s">
        <v>25</v>
      </c>
      <c r="M1012">
        <v>10</v>
      </c>
      <c r="N1012">
        <v>1</v>
      </c>
      <c r="O1012">
        <v>1</v>
      </c>
      <c r="P1012">
        <v>1</v>
      </c>
      <c r="Q1012">
        <v>0</v>
      </c>
      <c r="R1012">
        <v>1</v>
      </c>
      <c r="S1012">
        <v>0</v>
      </c>
      <c r="T1012" t="str">
        <f>IF(mental_health[Sleep_Hours]&lt;5,"Low",IF(mental_health[Sleep_Hours]&lt;7,"Medium","Good"))</f>
        <v>Good</v>
      </c>
      <c r="U1012" t="str">
        <f>IF(mental_health[Stress_Level]&lt;=3,"Low",IF(mental_health[Stress_Level]&lt;=7,"Medium","High"))</f>
        <v>Low</v>
      </c>
      <c r="V1012" t="str">
        <f>IF(mental_health[Daily_Screen_Time]&lt;=4,"Low",IF(mental_health[Daily_Screen_Time]&lt;=8,"Medium","High"))</f>
        <v>Medium</v>
      </c>
    </row>
    <row r="1013" spans="1:22" x14ac:dyDescent="0.3">
      <c r="A1013">
        <v>1012</v>
      </c>
      <c r="B1013">
        <v>54</v>
      </c>
      <c r="C1013" t="s">
        <v>23</v>
      </c>
      <c r="D1013" t="s">
        <v>22</v>
      </c>
      <c r="E1013">
        <v>7</v>
      </c>
      <c r="F1013">
        <v>3.8</v>
      </c>
      <c r="G1013">
        <v>0</v>
      </c>
      <c r="H1013" t="str">
        <f t="shared" si="15"/>
        <v>No Night Usage</v>
      </c>
      <c r="I1013">
        <v>7</v>
      </c>
      <c r="J1013" s="3">
        <v>8</v>
      </c>
      <c r="K1013">
        <v>8.9</v>
      </c>
      <c r="L1013" t="s">
        <v>25</v>
      </c>
      <c r="M1013">
        <v>4</v>
      </c>
      <c r="N1013">
        <v>0</v>
      </c>
      <c r="O1013">
        <v>0</v>
      </c>
      <c r="P1013">
        <v>1</v>
      </c>
      <c r="Q1013">
        <v>1</v>
      </c>
      <c r="R1013">
        <v>1</v>
      </c>
      <c r="S1013">
        <v>1</v>
      </c>
      <c r="T1013" t="str">
        <f>IF(mental_health[Sleep_Hours]&lt;5,"Low",IF(mental_health[Sleep_Hours]&lt;7,"Medium","Good"))</f>
        <v>Good</v>
      </c>
      <c r="U1013" t="str">
        <f>IF(mental_health[Stress_Level]&lt;=3,"Low",IF(mental_health[Stress_Level]&lt;=7,"Medium","High"))</f>
        <v>High</v>
      </c>
      <c r="V1013" t="str">
        <f>IF(mental_health[Daily_Screen_Time]&lt;=4,"Low",IF(mental_health[Daily_Screen_Time]&lt;=8,"Medium","High"))</f>
        <v>Medium</v>
      </c>
    </row>
    <row r="1014" spans="1:22" x14ac:dyDescent="0.3">
      <c r="A1014">
        <v>1013</v>
      </c>
      <c r="B1014">
        <v>42</v>
      </c>
      <c r="C1014" t="s">
        <v>23</v>
      </c>
      <c r="D1014" t="s">
        <v>24</v>
      </c>
      <c r="E1014">
        <v>10</v>
      </c>
      <c r="F1014">
        <v>7.5</v>
      </c>
      <c r="G1014">
        <v>1</v>
      </c>
      <c r="H1014" t="str">
        <f t="shared" si="15"/>
        <v>Night Usage</v>
      </c>
      <c r="I1014">
        <v>5.5</v>
      </c>
      <c r="J1014" s="3">
        <v>10</v>
      </c>
      <c r="K1014">
        <v>9.6999999999999993</v>
      </c>
      <c r="L1014" t="s">
        <v>25</v>
      </c>
      <c r="M1014">
        <v>5</v>
      </c>
      <c r="N1014">
        <v>2</v>
      </c>
      <c r="O1014">
        <v>0</v>
      </c>
      <c r="P1014">
        <v>1</v>
      </c>
      <c r="Q1014">
        <v>0</v>
      </c>
      <c r="R1014">
        <v>1</v>
      </c>
      <c r="S1014">
        <v>1</v>
      </c>
      <c r="T1014" t="str">
        <f>IF(mental_health[Sleep_Hours]&lt;5,"Low",IF(mental_health[Sleep_Hours]&lt;7,"Medium","Good"))</f>
        <v>Medium</v>
      </c>
      <c r="U1014" t="str">
        <f>IF(mental_health[Stress_Level]&lt;=3,"Low",IF(mental_health[Stress_Level]&lt;=7,"Medium","High"))</f>
        <v>High</v>
      </c>
      <c r="V1014" t="str">
        <f>IF(mental_health[Daily_Screen_Time]&lt;=4,"Low",IF(mental_health[Daily_Screen_Time]&lt;=8,"Medium","High"))</f>
        <v>High</v>
      </c>
    </row>
    <row r="1015" spans="1:22" x14ac:dyDescent="0.3">
      <c r="A1015">
        <v>1014</v>
      </c>
      <c r="B1015">
        <v>51</v>
      </c>
      <c r="C1015" t="s">
        <v>23</v>
      </c>
      <c r="D1015" t="s">
        <v>24</v>
      </c>
      <c r="E1015">
        <v>9.4</v>
      </c>
      <c r="F1015">
        <v>1.6</v>
      </c>
      <c r="G1015">
        <v>0</v>
      </c>
      <c r="H1015" t="str">
        <f t="shared" si="15"/>
        <v>No Night Usage</v>
      </c>
      <c r="I1015">
        <v>8.4</v>
      </c>
      <c r="J1015" s="3">
        <v>7</v>
      </c>
      <c r="K1015">
        <v>11</v>
      </c>
      <c r="L1015" t="s">
        <v>21</v>
      </c>
      <c r="M1015">
        <v>9</v>
      </c>
      <c r="N1015">
        <v>0</v>
      </c>
      <c r="O1015">
        <v>0</v>
      </c>
      <c r="P1015">
        <v>1</v>
      </c>
      <c r="Q1015">
        <v>0</v>
      </c>
      <c r="R1015">
        <v>1</v>
      </c>
      <c r="S1015">
        <v>1</v>
      </c>
      <c r="T1015" t="str">
        <f>IF(mental_health[Sleep_Hours]&lt;5,"Low",IF(mental_health[Sleep_Hours]&lt;7,"Medium","Good"))</f>
        <v>Good</v>
      </c>
      <c r="U1015" t="str">
        <f>IF(mental_health[Stress_Level]&lt;=3,"Low",IF(mental_health[Stress_Level]&lt;=7,"Medium","High"))</f>
        <v>Medium</v>
      </c>
      <c r="V1015" t="str">
        <f>IF(mental_health[Daily_Screen_Time]&lt;=4,"Low",IF(mental_health[Daily_Screen_Time]&lt;=8,"Medium","High"))</f>
        <v>High</v>
      </c>
    </row>
    <row r="1016" spans="1:22" x14ac:dyDescent="0.3">
      <c r="A1016">
        <v>1015</v>
      </c>
      <c r="B1016">
        <v>44</v>
      </c>
      <c r="C1016" t="s">
        <v>18</v>
      </c>
      <c r="D1016" t="s">
        <v>22</v>
      </c>
      <c r="E1016">
        <v>8.5</v>
      </c>
      <c r="F1016">
        <v>4.5999999999999996</v>
      </c>
      <c r="G1016">
        <v>0</v>
      </c>
      <c r="H1016" t="str">
        <f t="shared" si="15"/>
        <v>No Night Usage</v>
      </c>
      <c r="I1016">
        <v>4</v>
      </c>
      <c r="J1016" s="3">
        <v>8</v>
      </c>
      <c r="K1016">
        <v>5.5</v>
      </c>
      <c r="L1016" t="s">
        <v>25</v>
      </c>
      <c r="M1016">
        <v>8</v>
      </c>
      <c r="N1016">
        <v>4</v>
      </c>
      <c r="O1016">
        <v>1</v>
      </c>
      <c r="P1016">
        <v>0</v>
      </c>
      <c r="Q1016">
        <v>0</v>
      </c>
      <c r="R1016">
        <v>1</v>
      </c>
      <c r="S1016">
        <v>1</v>
      </c>
      <c r="T1016" t="str">
        <f>IF(mental_health[Sleep_Hours]&lt;5,"Low",IF(mental_health[Sleep_Hours]&lt;7,"Medium","Good"))</f>
        <v>Low</v>
      </c>
      <c r="U1016" t="str">
        <f>IF(mental_health[Stress_Level]&lt;=3,"Low",IF(mental_health[Stress_Level]&lt;=7,"Medium","High"))</f>
        <v>High</v>
      </c>
      <c r="V1016" t="str">
        <f>IF(mental_health[Daily_Screen_Time]&lt;=4,"Low",IF(mental_health[Daily_Screen_Time]&lt;=8,"Medium","High"))</f>
        <v>High</v>
      </c>
    </row>
    <row r="1017" spans="1:22" x14ac:dyDescent="0.3">
      <c r="A1017">
        <v>1016</v>
      </c>
      <c r="B1017">
        <v>53</v>
      </c>
      <c r="C1017" t="s">
        <v>18</v>
      </c>
      <c r="D1017" t="s">
        <v>22</v>
      </c>
      <c r="E1017">
        <v>3.6</v>
      </c>
      <c r="F1017">
        <v>7.4</v>
      </c>
      <c r="G1017">
        <v>0</v>
      </c>
      <c r="H1017" t="str">
        <f t="shared" si="15"/>
        <v>No Night Usage</v>
      </c>
      <c r="I1017">
        <v>9</v>
      </c>
      <c r="J1017" s="3">
        <v>6</v>
      </c>
      <c r="K1017">
        <v>11.5</v>
      </c>
      <c r="L1017" t="s">
        <v>21</v>
      </c>
      <c r="M1017">
        <v>3</v>
      </c>
      <c r="N1017">
        <v>0</v>
      </c>
      <c r="O1017">
        <v>1</v>
      </c>
      <c r="P1017">
        <v>0</v>
      </c>
      <c r="Q1017">
        <v>1</v>
      </c>
      <c r="R1017">
        <v>0</v>
      </c>
      <c r="S1017">
        <v>1</v>
      </c>
      <c r="T1017" t="str">
        <f>IF(mental_health[Sleep_Hours]&lt;5,"Low",IF(mental_health[Sleep_Hours]&lt;7,"Medium","Good"))</f>
        <v>Good</v>
      </c>
      <c r="U1017" t="str">
        <f>IF(mental_health[Stress_Level]&lt;=3,"Low",IF(mental_health[Stress_Level]&lt;=7,"Medium","High"))</f>
        <v>Medium</v>
      </c>
      <c r="V1017" t="str">
        <f>IF(mental_health[Daily_Screen_Time]&lt;=4,"Low",IF(mental_health[Daily_Screen_Time]&lt;=8,"Medium","High"))</f>
        <v>Low</v>
      </c>
    </row>
    <row r="1018" spans="1:22" x14ac:dyDescent="0.3">
      <c r="A1018">
        <v>1017</v>
      </c>
      <c r="B1018">
        <v>48</v>
      </c>
      <c r="C1018" t="s">
        <v>23</v>
      </c>
      <c r="D1018" t="s">
        <v>22</v>
      </c>
      <c r="E1018">
        <v>7.5</v>
      </c>
      <c r="F1018">
        <v>7.3</v>
      </c>
      <c r="G1018">
        <v>1</v>
      </c>
      <c r="H1018" t="str">
        <f t="shared" si="15"/>
        <v>Night Usage</v>
      </c>
      <c r="I1018">
        <v>3.7</v>
      </c>
      <c r="J1018" s="3">
        <v>1</v>
      </c>
      <c r="K1018">
        <v>8.4</v>
      </c>
      <c r="L1018" t="s">
        <v>25</v>
      </c>
      <c r="M1018">
        <v>6</v>
      </c>
      <c r="N1018">
        <v>1</v>
      </c>
      <c r="O1018">
        <v>1</v>
      </c>
      <c r="P1018">
        <v>1</v>
      </c>
      <c r="Q1018">
        <v>0</v>
      </c>
      <c r="R1018">
        <v>0</v>
      </c>
      <c r="S1018">
        <v>0</v>
      </c>
      <c r="T1018" t="str">
        <f>IF(mental_health[Sleep_Hours]&lt;5,"Low",IF(mental_health[Sleep_Hours]&lt;7,"Medium","Good"))</f>
        <v>Low</v>
      </c>
      <c r="U1018" t="str">
        <f>IF(mental_health[Stress_Level]&lt;=3,"Low",IF(mental_health[Stress_Level]&lt;=7,"Medium","High"))</f>
        <v>Low</v>
      </c>
      <c r="V1018" t="str">
        <f>IF(mental_health[Daily_Screen_Time]&lt;=4,"Low",IF(mental_health[Daily_Screen_Time]&lt;=8,"Medium","High"))</f>
        <v>Medium</v>
      </c>
    </row>
    <row r="1019" spans="1:22" x14ac:dyDescent="0.3">
      <c r="A1019">
        <v>1018</v>
      </c>
      <c r="B1019">
        <v>52</v>
      </c>
      <c r="C1019" t="s">
        <v>18</v>
      </c>
      <c r="D1019" t="s">
        <v>24</v>
      </c>
      <c r="E1019">
        <v>2.9</v>
      </c>
      <c r="F1019">
        <v>2.1</v>
      </c>
      <c r="G1019">
        <v>1</v>
      </c>
      <c r="H1019" t="str">
        <f t="shared" si="15"/>
        <v>Night Usage</v>
      </c>
      <c r="I1019">
        <v>3.1</v>
      </c>
      <c r="J1019" s="3">
        <v>9</v>
      </c>
      <c r="K1019">
        <v>9.9</v>
      </c>
      <c r="L1019" t="s">
        <v>21</v>
      </c>
      <c r="M1019">
        <v>10</v>
      </c>
      <c r="N1019">
        <v>3</v>
      </c>
      <c r="O1019">
        <v>0</v>
      </c>
      <c r="P1019">
        <v>1</v>
      </c>
      <c r="Q1019">
        <v>0</v>
      </c>
      <c r="R1019">
        <v>1</v>
      </c>
      <c r="S1019">
        <v>1</v>
      </c>
      <c r="T1019" t="str">
        <f>IF(mental_health[Sleep_Hours]&lt;5,"Low",IF(mental_health[Sleep_Hours]&lt;7,"Medium","Good"))</f>
        <v>Low</v>
      </c>
      <c r="U1019" t="str">
        <f>IF(mental_health[Stress_Level]&lt;=3,"Low",IF(mental_health[Stress_Level]&lt;=7,"Medium","High"))</f>
        <v>High</v>
      </c>
      <c r="V1019" t="str">
        <f>IF(mental_health[Daily_Screen_Time]&lt;=4,"Low",IF(mental_health[Daily_Screen_Time]&lt;=8,"Medium","High"))</f>
        <v>Low</v>
      </c>
    </row>
    <row r="1020" spans="1:22" x14ac:dyDescent="0.3">
      <c r="A1020">
        <v>1019</v>
      </c>
      <c r="B1020">
        <v>42</v>
      </c>
      <c r="C1020" t="s">
        <v>18</v>
      </c>
      <c r="D1020" t="s">
        <v>19</v>
      </c>
      <c r="E1020">
        <v>5.8</v>
      </c>
      <c r="F1020">
        <v>3.6</v>
      </c>
      <c r="G1020">
        <v>1</v>
      </c>
      <c r="H1020" t="str">
        <f t="shared" si="15"/>
        <v>Night Usage</v>
      </c>
      <c r="I1020">
        <v>8.3000000000000007</v>
      </c>
      <c r="J1020" s="3">
        <v>6</v>
      </c>
      <c r="K1020">
        <v>9</v>
      </c>
      <c r="L1020" t="s">
        <v>21</v>
      </c>
      <c r="M1020">
        <v>1</v>
      </c>
      <c r="N1020">
        <v>2</v>
      </c>
      <c r="O1020">
        <v>1</v>
      </c>
      <c r="P1020">
        <v>1</v>
      </c>
      <c r="Q1020">
        <v>0</v>
      </c>
      <c r="R1020">
        <v>0</v>
      </c>
      <c r="S1020">
        <v>1</v>
      </c>
      <c r="T1020" t="str">
        <f>IF(mental_health[Sleep_Hours]&lt;5,"Low",IF(mental_health[Sleep_Hours]&lt;7,"Medium","Good"))</f>
        <v>Good</v>
      </c>
      <c r="U1020" t="str">
        <f>IF(mental_health[Stress_Level]&lt;=3,"Low",IF(mental_health[Stress_Level]&lt;=7,"Medium","High"))</f>
        <v>Medium</v>
      </c>
      <c r="V1020" t="str">
        <f>IF(mental_health[Daily_Screen_Time]&lt;=4,"Low",IF(mental_health[Daily_Screen_Time]&lt;=8,"Medium","High"))</f>
        <v>Medium</v>
      </c>
    </row>
    <row r="1021" spans="1:22" x14ac:dyDescent="0.3">
      <c r="A1021">
        <v>1020</v>
      </c>
      <c r="B1021">
        <v>48</v>
      </c>
      <c r="C1021" t="s">
        <v>23</v>
      </c>
      <c r="D1021" t="s">
        <v>24</v>
      </c>
      <c r="E1021">
        <v>6.1</v>
      </c>
      <c r="F1021">
        <v>5.3</v>
      </c>
      <c r="G1021">
        <v>0</v>
      </c>
      <c r="H1021" t="str">
        <f t="shared" si="15"/>
        <v>No Night Usage</v>
      </c>
      <c r="I1021">
        <v>4.5</v>
      </c>
      <c r="J1021" s="3">
        <v>10</v>
      </c>
      <c r="K1021">
        <v>4.0999999999999996</v>
      </c>
      <c r="L1021" t="s">
        <v>25</v>
      </c>
      <c r="M1021">
        <v>3</v>
      </c>
      <c r="N1021">
        <v>1</v>
      </c>
      <c r="O1021">
        <v>0</v>
      </c>
      <c r="P1021">
        <v>1</v>
      </c>
      <c r="Q1021">
        <v>1</v>
      </c>
      <c r="R1021">
        <v>0</v>
      </c>
      <c r="S1021">
        <v>0</v>
      </c>
      <c r="T1021" t="str">
        <f>IF(mental_health[Sleep_Hours]&lt;5,"Low",IF(mental_health[Sleep_Hours]&lt;7,"Medium","Good"))</f>
        <v>Low</v>
      </c>
      <c r="U1021" t="str">
        <f>IF(mental_health[Stress_Level]&lt;=3,"Low",IF(mental_health[Stress_Level]&lt;=7,"Medium","High"))</f>
        <v>High</v>
      </c>
      <c r="V1021" t="str">
        <f>IF(mental_health[Daily_Screen_Time]&lt;=4,"Low",IF(mental_health[Daily_Screen_Time]&lt;=8,"Medium","High"))</f>
        <v>Medium</v>
      </c>
    </row>
    <row r="1022" spans="1:22" x14ac:dyDescent="0.3">
      <c r="A1022">
        <v>1021</v>
      </c>
      <c r="B1022">
        <v>19</v>
      </c>
      <c r="C1022" t="s">
        <v>18</v>
      </c>
      <c r="D1022" t="s">
        <v>22</v>
      </c>
      <c r="E1022">
        <v>2.4</v>
      </c>
      <c r="F1022">
        <v>2.1</v>
      </c>
      <c r="G1022">
        <v>1</v>
      </c>
      <c r="H1022" t="str">
        <f t="shared" si="15"/>
        <v>Night Usage</v>
      </c>
      <c r="I1022">
        <v>7.4</v>
      </c>
      <c r="J1022" s="3">
        <v>1</v>
      </c>
      <c r="K1022">
        <v>2.7</v>
      </c>
      <c r="L1022" t="s">
        <v>25</v>
      </c>
      <c r="M1022">
        <v>10</v>
      </c>
      <c r="N1022">
        <v>3</v>
      </c>
      <c r="O1022">
        <v>0</v>
      </c>
      <c r="P1022">
        <v>1</v>
      </c>
      <c r="Q1022">
        <v>0</v>
      </c>
      <c r="R1022">
        <v>0</v>
      </c>
      <c r="S1022">
        <v>0</v>
      </c>
      <c r="T1022" t="str">
        <f>IF(mental_health[Sleep_Hours]&lt;5,"Low",IF(mental_health[Sleep_Hours]&lt;7,"Medium","Good"))</f>
        <v>Good</v>
      </c>
      <c r="U1022" t="str">
        <f>IF(mental_health[Stress_Level]&lt;=3,"Low",IF(mental_health[Stress_Level]&lt;=7,"Medium","High"))</f>
        <v>Low</v>
      </c>
      <c r="V1022" t="str">
        <f>IF(mental_health[Daily_Screen_Time]&lt;=4,"Low",IF(mental_health[Daily_Screen_Time]&lt;=8,"Medium","High"))</f>
        <v>Low</v>
      </c>
    </row>
    <row r="1023" spans="1:22" x14ac:dyDescent="0.3">
      <c r="A1023">
        <v>1022</v>
      </c>
      <c r="B1023">
        <v>37</v>
      </c>
      <c r="C1023" t="s">
        <v>23</v>
      </c>
      <c r="D1023" t="s">
        <v>22</v>
      </c>
      <c r="E1023">
        <v>4.7</v>
      </c>
      <c r="F1023">
        <v>7.8</v>
      </c>
      <c r="G1023">
        <v>1</v>
      </c>
      <c r="H1023" t="str">
        <f t="shared" si="15"/>
        <v>Night Usage</v>
      </c>
      <c r="I1023">
        <v>7.9</v>
      </c>
      <c r="J1023" s="3">
        <v>1</v>
      </c>
      <c r="K1023">
        <v>9.3000000000000007</v>
      </c>
      <c r="L1023" t="s">
        <v>25</v>
      </c>
      <c r="M1023">
        <v>7</v>
      </c>
      <c r="N1023">
        <v>4</v>
      </c>
      <c r="O1023">
        <v>1</v>
      </c>
      <c r="P1023">
        <v>0</v>
      </c>
      <c r="Q1023">
        <v>0</v>
      </c>
      <c r="R1023">
        <v>0</v>
      </c>
      <c r="S1023">
        <v>1</v>
      </c>
      <c r="T1023" t="str">
        <f>IF(mental_health[Sleep_Hours]&lt;5,"Low",IF(mental_health[Sleep_Hours]&lt;7,"Medium","Good"))</f>
        <v>Good</v>
      </c>
      <c r="U1023" t="str">
        <f>IF(mental_health[Stress_Level]&lt;=3,"Low",IF(mental_health[Stress_Level]&lt;=7,"Medium","High"))</f>
        <v>Low</v>
      </c>
      <c r="V1023" t="str">
        <f>IF(mental_health[Daily_Screen_Time]&lt;=4,"Low",IF(mental_health[Daily_Screen_Time]&lt;=8,"Medium","High"))</f>
        <v>Medium</v>
      </c>
    </row>
    <row r="1024" spans="1:22" x14ac:dyDescent="0.3">
      <c r="A1024">
        <v>1023</v>
      </c>
      <c r="B1024">
        <v>17</v>
      </c>
      <c r="C1024" t="s">
        <v>23</v>
      </c>
      <c r="D1024" t="s">
        <v>24</v>
      </c>
      <c r="E1024">
        <v>11.6</v>
      </c>
      <c r="F1024">
        <v>7.4</v>
      </c>
      <c r="G1024">
        <v>0</v>
      </c>
      <c r="H1024" t="str">
        <f t="shared" si="15"/>
        <v>No Night Usage</v>
      </c>
      <c r="I1024">
        <v>8.1999999999999993</v>
      </c>
      <c r="J1024" s="3">
        <v>8</v>
      </c>
      <c r="K1024">
        <v>7.1</v>
      </c>
      <c r="L1024" t="s">
        <v>25</v>
      </c>
      <c r="M1024">
        <v>7</v>
      </c>
      <c r="N1024">
        <v>4</v>
      </c>
      <c r="O1024">
        <v>0</v>
      </c>
      <c r="P1024">
        <v>0</v>
      </c>
      <c r="Q1024">
        <v>1</v>
      </c>
      <c r="R1024">
        <v>1</v>
      </c>
      <c r="S1024">
        <v>1</v>
      </c>
      <c r="T1024" t="str">
        <f>IF(mental_health[Sleep_Hours]&lt;5,"Low",IF(mental_health[Sleep_Hours]&lt;7,"Medium","Good"))</f>
        <v>Good</v>
      </c>
      <c r="U1024" t="str">
        <f>IF(mental_health[Stress_Level]&lt;=3,"Low",IF(mental_health[Stress_Level]&lt;=7,"Medium","High"))</f>
        <v>High</v>
      </c>
      <c r="V1024" t="str">
        <f>IF(mental_health[Daily_Screen_Time]&lt;=4,"Low",IF(mental_health[Daily_Screen_Time]&lt;=8,"Medium","High"))</f>
        <v>High</v>
      </c>
    </row>
    <row r="1025" spans="1:22" x14ac:dyDescent="0.3">
      <c r="A1025">
        <v>1024</v>
      </c>
      <c r="B1025">
        <v>25</v>
      </c>
      <c r="C1025" t="s">
        <v>18</v>
      </c>
      <c r="D1025" t="s">
        <v>22</v>
      </c>
      <c r="E1025">
        <v>11.5</v>
      </c>
      <c r="F1025">
        <v>2.2000000000000002</v>
      </c>
      <c r="G1025">
        <v>0</v>
      </c>
      <c r="H1025" t="str">
        <f t="shared" si="15"/>
        <v>No Night Usage</v>
      </c>
      <c r="I1025">
        <v>8.9</v>
      </c>
      <c r="J1025" s="3">
        <v>6</v>
      </c>
      <c r="K1025">
        <v>9</v>
      </c>
      <c r="L1025" t="s">
        <v>20</v>
      </c>
      <c r="M1025">
        <v>2</v>
      </c>
      <c r="N1025">
        <v>4</v>
      </c>
      <c r="O1025">
        <v>0</v>
      </c>
      <c r="P1025">
        <v>0</v>
      </c>
      <c r="Q1025">
        <v>1</v>
      </c>
      <c r="R1025">
        <v>1</v>
      </c>
      <c r="S1025">
        <v>0</v>
      </c>
      <c r="T1025" t="str">
        <f>IF(mental_health[Sleep_Hours]&lt;5,"Low",IF(mental_health[Sleep_Hours]&lt;7,"Medium","Good"))</f>
        <v>Good</v>
      </c>
      <c r="U1025" t="str">
        <f>IF(mental_health[Stress_Level]&lt;=3,"Low",IF(mental_health[Stress_Level]&lt;=7,"Medium","High"))</f>
        <v>Medium</v>
      </c>
      <c r="V1025" t="str">
        <f>IF(mental_health[Daily_Screen_Time]&lt;=4,"Low",IF(mental_health[Daily_Screen_Time]&lt;=8,"Medium","High"))</f>
        <v>High</v>
      </c>
    </row>
    <row r="1026" spans="1:22" x14ac:dyDescent="0.3">
      <c r="A1026">
        <v>1025</v>
      </c>
      <c r="B1026">
        <v>20</v>
      </c>
      <c r="C1026" t="s">
        <v>23</v>
      </c>
      <c r="D1026" t="s">
        <v>24</v>
      </c>
      <c r="E1026">
        <v>5.5</v>
      </c>
      <c r="F1026">
        <v>1.8</v>
      </c>
      <c r="G1026">
        <v>1</v>
      </c>
      <c r="H1026" t="str">
        <f t="shared" ref="H1026:H1089" si="16">IF(G1026=1,"Night Usage","No Night Usage")</f>
        <v>Night Usage</v>
      </c>
      <c r="I1026">
        <v>4.8</v>
      </c>
      <c r="J1026" s="3">
        <v>8</v>
      </c>
      <c r="K1026">
        <v>6.8</v>
      </c>
      <c r="L1026" t="s">
        <v>20</v>
      </c>
      <c r="M1026">
        <v>3</v>
      </c>
      <c r="N1026">
        <v>0</v>
      </c>
      <c r="O1026">
        <v>0</v>
      </c>
      <c r="P1026">
        <v>1</v>
      </c>
      <c r="Q1026">
        <v>1</v>
      </c>
      <c r="R1026">
        <v>1</v>
      </c>
      <c r="S1026">
        <v>1</v>
      </c>
      <c r="T1026" t="str">
        <f>IF(mental_health[Sleep_Hours]&lt;5,"Low",IF(mental_health[Sleep_Hours]&lt;7,"Medium","Good"))</f>
        <v>Low</v>
      </c>
      <c r="U1026" t="str">
        <f>IF(mental_health[Stress_Level]&lt;=3,"Low",IF(mental_health[Stress_Level]&lt;=7,"Medium","High"))</f>
        <v>High</v>
      </c>
      <c r="V1026" t="str">
        <f>IF(mental_health[Daily_Screen_Time]&lt;=4,"Low",IF(mental_health[Daily_Screen_Time]&lt;=8,"Medium","High"))</f>
        <v>Medium</v>
      </c>
    </row>
    <row r="1027" spans="1:22" x14ac:dyDescent="0.3">
      <c r="A1027">
        <v>1026</v>
      </c>
      <c r="B1027">
        <v>25</v>
      </c>
      <c r="C1027" t="s">
        <v>23</v>
      </c>
      <c r="D1027" t="s">
        <v>22</v>
      </c>
      <c r="E1027">
        <v>2.4</v>
      </c>
      <c r="F1027">
        <v>1.6</v>
      </c>
      <c r="G1027">
        <v>1</v>
      </c>
      <c r="H1027" t="str">
        <f t="shared" si="16"/>
        <v>Night Usage</v>
      </c>
      <c r="I1027">
        <v>7.3</v>
      </c>
      <c r="J1027" s="3">
        <v>8</v>
      </c>
      <c r="K1027">
        <v>5.0999999999999996</v>
      </c>
      <c r="L1027" t="s">
        <v>21</v>
      </c>
      <c r="M1027">
        <v>7</v>
      </c>
      <c r="N1027">
        <v>4</v>
      </c>
      <c r="O1027">
        <v>1</v>
      </c>
      <c r="P1027">
        <v>1</v>
      </c>
      <c r="Q1027">
        <v>0</v>
      </c>
      <c r="R1027">
        <v>0</v>
      </c>
      <c r="S1027">
        <v>1</v>
      </c>
      <c r="T1027" t="str">
        <f>IF(mental_health[Sleep_Hours]&lt;5,"Low",IF(mental_health[Sleep_Hours]&lt;7,"Medium","Good"))</f>
        <v>Good</v>
      </c>
      <c r="U1027" t="str">
        <f>IF(mental_health[Stress_Level]&lt;=3,"Low",IF(mental_health[Stress_Level]&lt;=7,"Medium","High"))</f>
        <v>High</v>
      </c>
      <c r="V1027" t="str">
        <f>IF(mental_health[Daily_Screen_Time]&lt;=4,"Low",IF(mental_health[Daily_Screen_Time]&lt;=8,"Medium","High"))</f>
        <v>Low</v>
      </c>
    </row>
    <row r="1028" spans="1:22" x14ac:dyDescent="0.3">
      <c r="A1028">
        <v>1027</v>
      </c>
      <c r="B1028">
        <v>48</v>
      </c>
      <c r="C1028" t="s">
        <v>23</v>
      </c>
      <c r="D1028" t="s">
        <v>19</v>
      </c>
      <c r="E1028">
        <v>3.8</v>
      </c>
      <c r="F1028">
        <v>7.4</v>
      </c>
      <c r="G1028">
        <v>1</v>
      </c>
      <c r="H1028" t="str">
        <f t="shared" si="16"/>
        <v>Night Usage</v>
      </c>
      <c r="I1028">
        <v>3.7</v>
      </c>
      <c r="J1028" s="3">
        <v>8</v>
      </c>
      <c r="K1028">
        <v>4.9000000000000004</v>
      </c>
      <c r="L1028" t="s">
        <v>21</v>
      </c>
      <c r="M1028">
        <v>6</v>
      </c>
      <c r="N1028">
        <v>4</v>
      </c>
      <c r="O1028">
        <v>1</v>
      </c>
      <c r="P1028">
        <v>1</v>
      </c>
      <c r="Q1028">
        <v>1</v>
      </c>
      <c r="R1028">
        <v>1</v>
      </c>
      <c r="S1028">
        <v>0</v>
      </c>
      <c r="T1028" t="str">
        <f>IF(mental_health[Sleep_Hours]&lt;5,"Low",IF(mental_health[Sleep_Hours]&lt;7,"Medium","Good"))</f>
        <v>Low</v>
      </c>
      <c r="U1028" t="str">
        <f>IF(mental_health[Stress_Level]&lt;=3,"Low",IF(mental_health[Stress_Level]&lt;=7,"Medium","High"))</f>
        <v>High</v>
      </c>
      <c r="V1028" t="str">
        <f>IF(mental_health[Daily_Screen_Time]&lt;=4,"Low",IF(mental_health[Daily_Screen_Time]&lt;=8,"Medium","High"))</f>
        <v>Low</v>
      </c>
    </row>
    <row r="1029" spans="1:22" x14ac:dyDescent="0.3">
      <c r="A1029">
        <v>1028</v>
      </c>
      <c r="B1029">
        <v>53</v>
      </c>
      <c r="C1029" t="s">
        <v>23</v>
      </c>
      <c r="D1029" t="s">
        <v>19</v>
      </c>
      <c r="E1029">
        <v>5.9</v>
      </c>
      <c r="F1029">
        <v>2.4</v>
      </c>
      <c r="G1029">
        <v>0</v>
      </c>
      <c r="H1029" t="str">
        <f t="shared" si="16"/>
        <v>No Night Usage</v>
      </c>
      <c r="I1029">
        <v>5.4</v>
      </c>
      <c r="J1029" s="3">
        <v>10</v>
      </c>
      <c r="K1029">
        <v>9.3000000000000007</v>
      </c>
      <c r="L1029" t="s">
        <v>20</v>
      </c>
      <c r="M1029">
        <v>7</v>
      </c>
      <c r="N1029">
        <v>0</v>
      </c>
      <c r="O1029">
        <v>1</v>
      </c>
      <c r="P1029">
        <v>0</v>
      </c>
      <c r="Q1029">
        <v>0</v>
      </c>
      <c r="R1029">
        <v>1</v>
      </c>
      <c r="S1029">
        <v>1</v>
      </c>
      <c r="T1029" t="str">
        <f>IF(mental_health[Sleep_Hours]&lt;5,"Low",IF(mental_health[Sleep_Hours]&lt;7,"Medium","Good"))</f>
        <v>Medium</v>
      </c>
      <c r="U1029" t="str">
        <f>IF(mental_health[Stress_Level]&lt;=3,"Low",IF(mental_health[Stress_Level]&lt;=7,"Medium","High"))</f>
        <v>High</v>
      </c>
      <c r="V1029" t="str">
        <f>IF(mental_health[Daily_Screen_Time]&lt;=4,"Low",IF(mental_health[Daily_Screen_Time]&lt;=8,"Medium","High"))</f>
        <v>Medium</v>
      </c>
    </row>
    <row r="1030" spans="1:22" x14ac:dyDescent="0.3">
      <c r="A1030">
        <v>1029</v>
      </c>
      <c r="B1030">
        <v>28</v>
      </c>
      <c r="C1030" t="s">
        <v>23</v>
      </c>
      <c r="D1030" t="s">
        <v>22</v>
      </c>
      <c r="E1030">
        <v>11.5</v>
      </c>
      <c r="F1030">
        <v>3.9</v>
      </c>
      <c r="G1030">
        <v>1</v>
      </c>
      <c r="H1030" t="str">
        <f t="shared" si="16"/>
        <v>Night Usage</v>
      </c>
      <c r="I1030">
        <v>8.1</v>
      </c>
      <c r="J1030" s="3">
        <v>7</v>
      </c>
      <c r="K1030">
        <v>4.8</v>
      </c>
      <c r="L1030" t="s">
        <v>21</v>
      </c>
      <c r="M1030">
        <v>10</v>
      </c>
      <c r="N1030">
        <v>3</v>
      </c>
      <c r="O1030">
        <v>0</v>
      </c>
      <c r="P1030">
        <v>1</v>
      </c>
      <c r="Q1030">
        <v>1</v>
      </c>
      <c r="R1030">
        <v>1</v>
      </c>
      <c r="S1030">
        <v>0</v>
      </c>
      <c r="T1030" t="str">
        <f>IF(mental_health[Sleep_Hours]&lt;5,"Low",IF(mental_health[Sleep_Hours]&lt;7,"Medium","Good"))</f>
        <v>Good</v>
      </c>
      <c r="U1030" t="str">
        <f>IF(mental_health[Stress_Level]&lt;=3,"Low",IF(mental_health[Stress_Level]&lt;=7,"Medium","High"))</f>
        <v>Medium</v>
      </c>
      <c r="V1030" t="str">
        <f>IF(mental_health[Daily_Screen_Time]&lt;=4,"Low",IF(mental_health[Daily_Screen_Time]&lt;=8,"Medium","High"))</f>
        <v>High</v>
      </c>
    </row>
    <row r="1031" spans="1:22" x14ac:dyDescent="0.3">
      <c r="A1031">
        <v>1030</v>
      </c>
      <c r="B1031">
        <v>46</v>
      </c>
      <c r="C1031" t="s">
        <v>18</v>
      </c>
      <c r="D1031" t="s">
        <v>24</v>
      </c>
      <c r="E1031">
        <v>3.4</v>
      </c>
      <c r="F1031">
        <v>4.0999999999999996</v>
      </c>
      <c r="G1031">
        <v>0</v>
      </c>
      <c r="H1031" t="str">
        <f t="shared" si="16"/>
        <v>No Night Usage</v>
      </c>
      <c r="I1031">
        <v>5.2</v>
      </c>
      <c r="J1031" s="3">
        <v>7</v>
      </c>
      <c r="K1031">
        <v>9.1</v>
      </c>
      <c r="L1031" t="s">
        <v>25</v>
      </c>
      <c r="M1031">
        <v>9</v>
      </c>
      <c r="N1031">
        <v>1</v>
      </c>
      <c r="O1031">
        <v>0</v>
      </c>
      <c r="P1031">
        <v>0</v>
      </c>
      <c r="Q1031">
        <v>1</v>
      </c>
      <c r="R1031">
        <v>0</v>
      </c>
      <c r="S1031">
        <v>1</v>
      </c>
      <c r="T1031" t="str">
        <f>IF(mental_health[Sleep_Hours]&lt;5,"Low",IF(mental_health[Sleep_Hours]&lt;7,"Medium","Good"))</f>
        <v>Medium</v>
      </c>
      <c r="U1031" t="str">
        <f>IF(mental_health[Stress_Level]&lt;=3,"Low",IF(mental_health[Stress_Level]&lt;=7,"Medium","High"))</f>
        <v>Medium</v>
      </c>
      <c r="V1031" t="str">
        <f>IF(mental_health[Daily_Screen_Time]&lt;=4,"Low",IF(mental_health[Daily_Screen_Time]&lt;=8,"Medium","High"))</f>
        <v>Low</v>
      </c>
    </row>
    <row r="1032" spans="1:22" x14ac:dyDescent="0.3">
      <c r="A1032">
        <v>1031</v>
      </c>
      <c r="B1032">
        <v>51</v>
      </c>
      <c r="C1032" t="s">
        <v>18</v>
      </c>
      <c r="D1032" t="s">
        <v>19</v>
      </c>
      <c r="E1032">
        <v>9.6</v>
      </c>
      <c r="F1032">
        <v>5.2</v>
      </c>
      <c r="G1032">
        <v>0</v>
      </c>
      <c r="H1032" t="str">
        <f t="shared" si="16"/>
        <v>No Night Usage</v>
      </c>
      <c r="I1032">
        <v>6.5</v>
      </c>
      <c r="J1032" s="3">
        <v>10</v>
      </c>
      <c r="K1032">
        <v>5.8</v>
      </c>
      <c r="L1032" t="s">
        <v>21</v>
      </c>
      <c r="M1032">
        <v>8</v>
      </c>
      <c r="N1032">
        <v>2</v>
      </c>
      <c r="O1032">
        <v>1</v>
      </c>
      <c r="P1032">
        <v>1</v>
      </c>
      <c r="Q1032">
        <v>1</v>
      </c>
      <c r="R1032">
        <v>1</v>
      </c>
      <c r="S1032">
        <v>0</v>
      </c>
      <c r="T1032" t="str">
        <f>IF(mental_health[Sleep_Hours]&lt;5,"Low",IF(mental_health[Sleep_Hours]&lt;7,"Medium","Good"))</f>
        <v>Medium</v>
      </c>
      <c r="U1032" t="str">
        <f>IF(mental_health[Stress_Level]&lt;=3,"Low",IF(mental_health[Stress_Level]&lt;=7,"Medium","High"))</f>
        <v>High</v>
      </c>
      <c r="V1032" t="str">
        <f>IF(mental_health[Daily_Screen_Time]&lt;=4,"Low",IF(mental_health[Daily_Screen_Time]&lt;=8,"Medium","High"))</f>
        <v>High</v>
      </c>
    </row>
    <row r="1033" spans="1:22" x14ac:dyDescent="0.3">
      <c r="A1033">
        <v>1032</v>
      </c>
      <c r="B1033">
        <v>39</v>
      </c>
      <c r="C1033" t="s">
        <v>23</v>
      </c>
      <c r="D1033" t="s">
        <v>24</v>
      </c>
      <c r="E1033">
        <v>3.1</v>
      </c>
      <c r="F1033">
        <v>1.5</v>
      </c>
      <c r="G1033">
        <v>1</v>
      </c>
      <c r="H1033" t="str">
        <f t="shared" si="16"/>
        <v>Night Usage</v>
      </c>
      <c r="I1033">
        <v>6</v>
      </c>
      <c r="J1033" s="3">
        <v>4</v>
      </c>
      <c r="K1033">
        <v>9.6999999999999993</v>
      </c>
      <c r="L1033" t="s">
        <v>21</v>
      </c>
      <c r="M1033">
        <v>6</v>
      </c>
      <c r="N1033">
        <v>4</v>
      </c>
      <c r="O1033">
        <v>0</v>
      </c>
      <c r="P1033">
        <v>1</v>
      </c>
      <c r="Q1033">
        <v>0</v>
      </c>
      <c r="R1033">
        <v>1</v>
      </c>
      <c r="S1033">
        <v>0</v>
      </c>
      <c r="T1033" t="str">
        <f>IF(mental_health[Sleep_Hours]&lt;5,"Low",IF(mental_health[Sleep_Hours]&lt;7,"Medium","Good"))</f>
        <v>Medium</v>
      </c>
      <c r="U1033" t="str">
        <f>IF(mental_health[Stress_Level]&lt;=3,"Low",IF(mental_health[Stress_Level]&lt;=7,"Medium","High"))</f>
        <v>Medium</v>
      </c>
      <c r="V1033" t="str">
        <f>IF(mental_health[Daily_Screen_Time]&lt;=4,"Low",IF(mental_health[Daily_Screen_Time]&lt;=8,"Medium","High"))</f>
        <v>Low</v>
      </c>
    </row>
    <row r="1034" spans="1:22" x14ac:dyDescent="0.3">
      <c r="A1034">
        <v>1033</v>
      </c>
      <c r="B1034">
        <v>30</v>
      </c>
      <c r="C1034" t="s">
        <v>23</v>
      </c>
      <c r="D1034" t="s">
        <v>22</v>
      </c>
      <c r="E1034">
        <v>11.8</v>
      </c>
      <c r="F1034">
        <v>2.6</v>
      </c>
      <c r="G1034">
        <v>1</v>
      </c>
      <c r="H1034" t="str">
        <f t="shared" si="16"/>
        <v>Night Usage</v>
      </c>
      <c r="I1034">
        <v>6.9</v>
      </c>
      <c r="J1034" s="3">
        <v>9</v>
      </c>
      <c r="K1034">
        <v>3.4</v>
      </c>
      <c r="L1034" t="s">
        <v>21</v>
      </c>
      <c r="M1034">
        <v>4</v>
      </c>
      <c r="N1034">
        <v>4</v>
      </c>
      <c r="O1034">
        <v>1</v>
      </c>
      <c r="P1034">
        <v>1</v>
      </c>
      <c r="Q1034">
        <v>1</v>
      </c>
      <c r="R1034">
        <v>1</v>
      </c>
      <c r="S1034">
        <v>0</v>
      </c>
      <c r="T1034" t="str">
        <f>IF(mental_health[Sleep_Hours]&lt;5,"Low",IF(mental_health[Sleep_Hours]&lt;7,"Medium","Good"))</f>
        <v>Medium</v>
      </c>
      <c r="U1034" t="str">
        <f>IF(mental_health[Stress_Level]&lt;=3,"Low",IF(mental_health[Stress_Level]&lt;=7,"Medium","High"))</f>
        <v>High</v>
      </c>
      <c r="V1034" t="str">
        <f>IF(mental_health[Daily_Screen_Time]&lt;=4,"Low",IF(mental_health[Daily_Screen_Time]&lt;=8,"Medium","High"))</f>
        <v>High</v>
      </c>
    </row>
    <row r="1035" spans="1:22" x14ac:dyDescent="0.3">
      <c r="A1035">
        <v>1034</v>
      </c>
      <c r="B1035">
        <v>44</v>
      </c>
      <c r="C1035" t="s">
        <v>18</v>
      </c>
      <c r="D1035" t="s">
        <v>24</v>
      </c>
      <c r="E1035">
        <v>5.8</v>
      </c>
      <c r="F1035">
        <v>7.5</v>
      </c>
      <c r="G1035">
        <v>0</v>
      </c>
      <c r="H1035" t="str">
        <f t="shared" si="16"/>
        <v>No Night Usage</v>
      </c>
      <c r="I1035">
        <v>8.8000000000000007</v>
      </c>
      <c r="J1035" s="3">
        <v>2</v>
      </c>
      <c r="K1035">
        <v>4</v>
      </c>
      <c r="L1035" t="s">
        <v>20</v>
      </c>
      <c r="M1035">
        <v>10</v>
      </c>
      <c r="N1035">
        <v>4</v>
      </c>
      <c r="O1035">
        <v>1</v>
      </c>
      <c r="P1035">
        <v>1</v>
      </c>
      <c r="Q1035">
        <v>0</v>
      </c>
      <c r="R1035">
        <v>1</v>
      </c>
      <c r="S1035">
        <v>0</v>
      </c>
      <c r="T1035" t="str">
        <f>IF(mental_health[Sleep_Hours]&lt;5,"Low",IF(mental_health[Sleep_Hours]&lt;7,"Medium","Good"))</f>
        <v>Good</v>
      </c>
      <c r="U1035" t="str">
        <f>IF(mental_health[Stress_Level]&lt;=3,"Low",IF(mental_health[Stress_Level]&lt;=7,"Medium","High"))</f>
        <v>Low</v>
      </c>
      <c r="V1035" t="str">
        <f>IF(mental_health[Daily_Screen_Time]&lt;=4,"Low",IF(mental_health[Daily_Screen_Time]&lt;=8,"Medium","High"))</f>
        <v>Medium</v>
      </c>
    </row>
    <row r="1036" spans="1:22" x14ac:dyDescent="0.3">
      <c r="A1036">
        <v>1035</v>
      </c>
      <c r="B1036">
        <v>23</v>
      </c>
      <c r="C1036" t="s">
        <v>23</v>
      </c>
      <c r="D1036" t="s">
        <v>19</v>
      </c>
      <c r="E1036">
        <v>9.8000000000000007</v>
      </c>
      <c r="F1036">
        <v>7.4</v>
      </c>
      <c r="G1036">
        <v>0</v>
      </c>
      <c r="H1036" t="str">
        <f t="shared" si="16"/>
        <v>No Night Usage</v>
      </c>
      <c r="I1036">
        <v>3.3</v>
      </c>
      <c r="J1036" s="3">
        <v>9</v>
      </c>
      <c r="K1036">
        <v>8.9</v>
      </c>
      <c r="L1036" t="s">
        <v>20</v>
      </c>
      <c r="M1036">
        <v>9</v>
      </c>
      <c r="N1036">
        <v>0</v>
      </c>
      <c r="O1036">
        <v>1</v>
      </c>
      <c r="P1036">
        <v>0</v>
      </c>
      <c r="Q1036">
        <v>1</v>
      </c>
      <c r="R1036">
        <v>1</v>
      </c>
      <c r="S1036">
        <v>0</v>
      </c>
      <c r="T1036" t="str">
        <f>IF(mental_health[Sleep_Hours]&lt;5,"Low",IF(mental_health[Sleep_Hours]&lt;7,"Medium","Good"))</f>
        <v>Low</v>
      </c>
      <c r="U1036" t="str">
        <f>IF(mental_health[Stress_Level]&lt;=3,"Low",IF(mental_health[Stress_Level]&lt;=7,"Medium","High"))</f>
        <v>High</v>
      </c>
      <c r="V1036" t="str">
        <f>IF(mental_health[Daily_Screen_Time]&lt;=4,"Low",IF(mental_health[Daily_Screen_Time]&lt;=8,"Medium","High"))</f>
        <v>High</v>
      </c>
    </row>
    <row r="1037" spans="1:22" x14ac:dyDescent="0.3">
      <c r="A1037">
        <v>1036</v>
      </c>
      <c r="B1037">
        <v>20</v>
      </c>
      <c r="C1037" t="s">
        <v>18</v>
      </c>
      <c r="D1037" t="s">
        <v>24</v>
      </c>
      <c r="E1037">
        <v>5.4</v>
      </c>
      <c r="F1037">
        <v>6.5</v>
      </c>
      <c r="G1037">
        <v>1</v>
      </c>
      <c r="H1037" t="str">
        <f t="shared" si="16"/>
        <v>Night Usage</v>
      </c>
      <c r="I1037">
        <v>6.4</v>
      </c>
      <c r="J1037" s="3">
        <v>10</v>
      </c>
      <c r="K1037">
        <v>7.6</v>
      </c>
      <c r="L1037" t="s">
        <v>21</v>
      </c>
      <c r="M1037">
        <v>7</v>
      </c>
      <c r="N1037">
        <v>0</v>
      </c>
      <c r="O1037">
        <v>1</v>
      </c>
      <c r="P1037">
        <v>1</v>
      </c>
      <c r="Q1037">
        <v>1</v>
      </c>
      <c r="R1037">
        <v>0</v>
      </c>
      <c r="S1037">
        <v>1</v>
      </c>
      <c r="T1037" t="str">
        <f>IF(mental_health[Sleep_Hours]&lt;5,"Low",IF(mental_health[Sleep_Hours]&lt;7,"Medium","Good"))</f>
        <v>Medium</v>
      </c>
      <c r="U1037" t="str">
        <f>IF(mental_health[Stress_Level]&lt;=3,"Low",IF(mental_health[Stress_Level]&lt;=7,"Medium","High"))</f>
        <v>High</v>
      </c>
      <c r="V1037" t="str">
        <f>IF(mental_health[Daily_Screen_Time]&lt;=4,"Low",IF(mental_health[Daily_Screen_Time]&lt;=8,"Medium","High"))</f>
        <v>Medium</v>
      </c>
    </row>
    <row r="1038" spans="1:22" x14ac:dyDescent="0.3">
      <c r="A1038">
        <v>1037</v>
      </c>
      <c r="B1038">
        <v>44</v>
      </c>
      <c r="C1038" t="s">
        <v>23</v>
      </c>
      <c r="D1038" t="s">
        <v>24</v>
      </c>
      <c r="E1038">
        <v>8.3000000000000007</v>
      </c>
      <c r="F1038">
        <v>1.1000000000000001</v>
      </c>
      <c r="G1038">
        <v>1</v>
      </c>
      <c r="H1038" t="str">
        <f t="shared" si="16"/>
        <v>Night Usage</v>
      </c>
      <c r="I1038">
        <v>8.1999999999999993</v>
      </c>
      <c r="J1038" s="3">
        <v>3</v>
      </c>
      <c r="K1038">
        <v>4</v>
      </c>
      <c r="L1038" t="s">
        <v>25</v>
      </c>
      <c r="M1038">
        <v>5</v>
      </c>
      <c r="N1038">
        <v>0</v>
      </c>
      <c r="O1038">
        <v>0</v>
      </c>
      <c r="P1038">
        <v>1</v>
      </c>
      <c r="Q1038">
        <v>0</v>
      </c>
      <c r="R1038">
        <v>0</v>
      </c>
      <c r="S1038">
        <v>0</v>
      </c>
      <c r="T1038" t="str">
        <f>IF(mental_health[Sleep_Hours]&lt;5,"Low",IF(mental_health[Sleep_Hours]&lt;7,"Medium","Good"))</f>
        <v>Good</v>
      </c>
      <c r="U1038" t="str">
        <f>IF(mental_health[Stress_Level]&lt;=3,"Low",IF(mental_health[Stress_Level]&lt;=7,"Medium","High"))</f>
        <v>Low</v>
      </c>
      <c r="V1038" t="str">
        <f>IF(mental_health[Daily_Screen_Time]&lt;=4,"Low",IF(mental_health[Daily_Screen_Time]&lt;=8,"Medium","High"))</f>
        <v>High</v>
      </c>
    </row>
    <row r="1039" spans="1:22" x14ac:dyDescent="0.3">
      <c r="A1039">
        <v>1038</v>
      </c>
      <c r="B1039">
        <v>19</v>
      </c>
      <c r="C1039" t="s">
        <v>23</v>
      </c>
      <c r="D1039" t="s">
        <v>22</v>
      </c>
      <c r="E1039">
        <v>3.9</v>
      </c>
      <c r="F1039">
        <v>3.3</v>
      </c>
      <c r="G1039">
        <v>1</v>
      </c>
      <c r="H1039" t="str">
        <f t="shared" si="16"/>
        <v>Night Usage</v>
      </c>
      <c r="I1039">
        <v>5.9</v>
      </c>
      <c r="J1039" s="3">
        <v>2</v>
      </c>
      <c r="K1039">
        <v>11</v>
      </c>
      <c r="L1039" t="s">
        <v>21</v>
      </c>
      <c r="M1039">
        <v>2</v>
      </c>
      <c r="N1039">
        <v>2</v>
      </c>
      <c r="O1039">
        <v>0</v>
      </c>
      <c r="P1039">
        <v>0</v>
      </c>
      <c r="Q1039">
        <v>0</v>
      </c>
      <c r="R1039">
        <v>0</v>
      </c>
      <c r="S1039">
        <v>0</v>
      </c>
      <c r="T1039" t="str">
        <f>IF(mental_health[Sleep_Hours]&lt;5,"Low",IF(mental_health[Sleep_Hours]&lt;7,"Medium","Good"))</f>
        <v>Medium</v>
      </c>
      <c r="U1039" t="str">
        <f>IF(mental_health[Stress_Level]&lt;=3,"Low",IF(mental_health[Stress_Level]&lt;=7,"Medium","High"))</f>
        <v>Low</v>
      </c>
      <c r="V1039" t="str">
        <f>IF(mental_health[Daily_Screen_Time]&lt;=4,"Low",IF(mental_health[Daily_Screen_Time]&lt;=8,"Medium","High"))</f>
        <v>Low</v>
      </c>
    </row>
    <row r="1040" spans="1:22" x14ac:dyDescent="0.3">
      <c r="A1040">
        <v>1039</v>
      </c>
      <c r="B1040">
        <v>27</v>
      </c>
      <c r="C1040" t="s">
        <v>23</v>
      </c>
      <c r="D1040" t="s">
        <v>22</v>
      </c>
      <c r="E1040">
        <v>3.5</v>
      </c>
      <c r="F1040">
        <v>5.4</v>
      </c>
      <c r="G1040">
        <v>0</v>
      </c>
      <c r="H1040" t="str">
        <f t="shared" si="16"/>
        <v>No Night Usage</v>
      </c>
      <c r="I1040">
        <v>3.5</v>
      </c>
      <c r="J1040" s="3">
        <v>4</v>
      </c>
      <c r="K1040">
        <v>4.8</v>
      </c>
      <c r="L1040" t="s">
        <v>20</v>
      </c>
      <c r="M1040">
        <v>9</v>
      </c>
      <c r="N1040">
        <v>1</v>
      </c>
      <c r="O1040">
        <v>0</v>
      </c>
      <c r="P1040">
        <v>0</v>
      </c>
      <c r="Q1040">
        <v>1</v>
      </c>
      <c r="R1040">
        <v>0</v>
      </c>
      <c r="S1040">
        <v>1</v>
      </c>
      <c r="T1040" t="str">
        <f>IF(mental_health[Sleep_Hours]&lt;5,"Low",IF(mental_health[Sleep_Hours]&lt;7,"Medium","Good"))</f>
        <v>Low</v>
      </c>
      <c r="U1040" t="str">
        <f>IF(mental_health[Stress_Level]&lt;=3,"Low",IF(mental_health[Stress_Level]&lt;=7,"Medium","High"))</f>
        <v>Medium</v>
      </c>
      <c r="V1040" t="str">
        <f>IF(mental_health[Daily_Screen_Time]&lt;=4,"Low",IF(mental_health[Daily_Screen_Time]&lt;=8,"Medium","High"))</f>
        <v>Low</v>
      </c>
    </row>
    <row r="1041" spans="1:22" x14ac:dyDescent="0.3">
      <c r="A1041">
        <v>1040</v>
      </c>
      <c r="B1041">
        <v>17</v>
      </c>
      <c r="C1041" t="s">
        <v>23</v>
      </c>
      <c r="D1041" t="s">
        <v>22</v>
      </c>
      <c r="E1041">
        <v>11.4</v>
      </c>
      <c r="F1041">
        <v>2.9</v>
      </c>
      <c r="G1041">
        <v>0</v>
      </c>
      <c r="H1041" t="str">
        <f t="shared" si="16"/>
        <v>No Night Usage</v>
      </c>
      <c r="I1041">
        <v>6.4</v>
      </c>
      <c r="J1041" s="3">
        <v>5</v>
      </c>
      <c r="K1041">
        <v>6.2</v>
      </c>
      <c r="L1041" t="s">
        <v>25</v>
      </c>
      <c r="M1041">
        <v>7</v>
      </c>
      <c r="N1041">
        <v>4</v>
      </c>
      <c r="O1041">
        <v>1</v>
      </c>
      <c r="P1041">
        <v>0</v>
      </c>
      <c r="Q1041">
        <v>1</v>
      </c>
      <c r="R1041">
        <v>1</v>
      </c>
      <c r="S1041">
        <v>0</v>
      </c>
      <c r="T1041" t="str">
        <f>IF(mental_health[Sleep_Hours]&lt;5,"Low",IF(mental_health[Sleep_Hours]&lt;7,"Medium","Good"))</f>
        <v>Medium</v>
      </c>
      <c r="U1041" t="str">
        <f>IF(mental_health[Stress_Level]&lt;=3,"Low",IF(mental_health[Stress_Level]&lt;=7,"Medium","High"))</f>
        <v>Medium</v>
      </c>
      <c r="V1041" t="str">
        <f>IF(mental_health[Daily_Screen_Time]&lt;=4,"Low",IF(mental_health[Daily_Screen_Time]&lt;=8,"Medium","High"))</f>
        <v>High</v>
      </c>
    </row>
    <row r="1042" spans="1:22" x14ac:dyDescent="0.3">
      <c r="A1042">
        <v>1041</v>
      </c>
      <c r="B1042">
        <v>42</v>
      </c>
      <c r="C1042" t="s">
        <v>23</v>
      </c>
      <c r="D1042" t="s">
        <v>19</v>
      </c>
      <c r="E1042">
        <v>11.2</v>
      </c>
      <c r="F1042">
        <v>7.4</v>
      </c>
      <c r="G1042">
        <v>1</v>
      </c>
      <c r="H1042" t="str">
        <f t="shared" si="16"/>
        <v>Night Usage</v>
      </c>
      <c r="I1042">
        <v>5</v>
      </c>
      <c r="J1042" s="3">
        <v>2</v>
      </c>
      <c r="K1042">
        <v>4</v>
      </c>
      <c r="L1042" t="s">
        <v>21</v>
      </c>
      <c r="M1042">
        <v>9</v>
      </c>
      <c r="N1042">
        <v>3</v>
      </c>
      <c r="O1042">
        <v>0</v>
      </c>
      <c r="P1042">
        <v>1</v>
      </c>
      <c r="Q1042">
        <v>1</v>
      </c>
      <c r="R1042">
        <v>1</v>
      </c>
      <c r="S1042">
        <v>0</v>
      </c>
      <c r="T1042" t="str">
        <f>IF(mental_health[Sleep_Hours]&lt;5,"Low",IF(mental_health[Sleep_Hours]&lt;7,"Medium","Good"))</f>
        <v>Medium</v>
      </c>
      <c r="U1042" t="str">
        <f>IF(mental_health[Stress_Level]&lt;=3,"Low",IF(mental_health[Stress_Level]&lt;=7,"Medium","High"))</f>
        <v>Low</v>
      </c>
      <c r="V1042" t="str">
        <f>IF(mental_health[Daily_Screen_Time]&lt;=4,"Low",IF(mental_health[Daily_Screen_Time]&lt;=8,"Medium","High"))</f>
        <v>High</v>
      </c>
    </row>
    <row r="1043" spans="1:22" x14ac:dyDescent="0.3">
      <c r="A1043">
        <v>1042</v>
      </c>
      <c r="B1043">
        <v>46</v>
      </c>
      <c r="C1043" t="s">
        <v>23</v>
      </c>
      <c r="D1043" t="s">
        <v>19</v>
      </c>
      <c r="E1043">
        <v>10.9</v>
      </c>
      <c r="F1043">
        <v>5.4</v>
      </c>
      <c r="G1043">
        <v>0</v>
      </c>
      <c r="H1043" t="str">
        <f t="shared" si="16"/>
        <v>No Night Usage</v>
      </c>
      <c r="I1043">
        <v>3.9</v>
      </c>
      <c r="J1043" s="3">
        <v>1</v>
      </c>
      <c r="K1043">
        <v>5.9</v>
      </c>
      <c r="L1043" t="s">
        <v>20</v>
      </c>
      <c r="M1043">
        <v>9</v>
      </c>
      <c r="N1043">
        <v>4</v>
      </c>
      <c r="O1043">
        <v>1</v>
      </c>
      <c r="P1043">
        <v>1</v>
      </c>
      <c r="Q1043">
        <v>0</v>
      </c>
      <c r="R1043">
        <v>1</v>
      </c>
      <c r="S1043">
        <v>1</v>
      </c>
      <c r="T1043" t="str">
        <f>IF(mental_health[Sleep_Hours]&lt;5,"Low",IF(mental_health[Sleep_Hours]&lt;7,"Medium","Good"))</f>
        <v>Low</v>
      </c>
      <c r="U1043" t="str">
        <f>IF(mental_health[Stress_Level]&lt;=3,"Low",IF(mental_health[Stress_Level]&lt;=7,"Medium","High"))</f>
        <v>Low</v>
      </c>
      <c r="V1043" t="str">
        <f>IF(mental_health[Daily_Screen_Time]&lt;=4,"Low",IF(mental_health[Daily_Screen_Time]&lt;=8,"Medium","High"))</f>
        <v>High</v>
      </c>
    </row>
    <row r="1044" spans="1:22" x14ac:dyDescent="0.3">
      <c r="A1044">
        <v>1043</v>
      </c>
      <c r="B1044">
        <v>51</v>
      </c>
      <c r="C1044" t="s">
        <v>23</v>
      </c>
      <c r="D1044" t="s">
        <v>22</v>
      </c>
      <c r="E1044">
        <v>8.3000000000000007</v>
      </c>
      <c r="F1044">
        <v>1.5</v>
      </c>
      <c r="G1044">
        <v>0</v>
      </c>
      <c r="H1044" t="str">
        <f t="shared" si="16"/>
        <v>No Night Usage</v>
      </c>
      <c r="I1044">
        <v>8.1</v>
      </c>
      <c r="J1044" s="3">
        <v>10</v>
      </c>
      <c r="K1044">
        <v>6.9</v>
      </c>
      <c r="L1044" t="s">
        <v>25</v>
      </c>
      <c r="M1044">
        <v>10</v>
      </c>
      <c r="N1044">
        <v>4</v>
      </c>
      <c r="O1044">
        <v>1</v>
      </c>
      <c r="P1044">
        <v>1</v>
      </c>
      <c r="Q1044">
        <v>1</v>
      </c>
      <c r="R1044">
        <v>1</v>
      </c>
      <c r="S1044">
        <v>1</v>
      </c>
      <c r="T1044" t="str">
        <f>IF(mental_health[Sleep_Hours]&lt;5,"Low",IF(mental_health[Sleep_Hours]&lt;7,"Medium","Good"))</f>
        <v>Good</v>
      </c>
      <c r="U1044" t="str">
        <f>IF(mental_health[Stress_Level]&lt;=3,"Low",IF(mental_health[Stress_Level]&lt;=7,"Medium","High"))</f>
        <v>High</v>
      </c>
      <c r="V1044" t="str">
        <f>IF(mental_health[Daily_Screen_Time]&lt;=4,"Low",IF(mental_health[Daily_Screen_Time]&lt;=8,"Medium","High"))</f>
        <v>High</v>
      </c>
    </row>
    <row r="1045" spans="1:22" x14ac:dyDescent="0.3">
      <c r="A1045">
        <v>1044</v>
      </c>
      <c r="B1045">
        <v>51</v>
      </c>
      <c r="C1045" t="s">
        <v>18</v>
      </c>
      <c r="D1045" t="s">
        <v>22</v>
      </c>
      <c r="E1045">
        <v>10.1</v>
      </c>
      <c r="F1045">
        <v>7.4</v>
      </c>
      <c r="G1045">
        <v>1</v>
      </c>
      <c r="H1045" t="str">
        <f t="shared" si="16"/>
        <v>Night Usage</v>
      </c>
      <c r="I1045">
        <v>6.1</v>
      </c>
      <c r="J1045" s="3">
        <v>5</v>
      </c>
      <c r="K1045">
        <v>5</v>
      </c>
      <c r="L1045" t="s">
        <v>21</v>
      </c>
      <c r="M1045">
        <v>5</v>
      </c>
      <c r="N1045">
        <v>4</v>
      </c>
      <c r="O1045">
        <v>1</v>
      </c>
      <c r="P1045">
        <v>1</v>
      </c>
      <c r="Q1045">
        <v>1</v>
      </c>
      <c r="R1045">
        <v>0</v>
      </c>
      <c r="S1045">
        <v>0</v>
      </c>
      <c r="T1045" t="str">
        <f>IF(mental_health[Sleep_Hours]&lt;5,"Low",IF(mental_health[Sleep_Hours]&lt;7,"Medium","Good"))</f>
        <v>Medium</v>
      </c>
      <c r="U1045" t="str">
        <f>IF(mental_health[Stress_Level]&lt;=3,"Low",IF(mental_health[Stress_Level]&lt;=7,"Medium","High"))</f>
        <v>Medium</v>
      </c>
      <c r="V1045" t="str">
        <f>IF(mental_health[Daily_Screen_Time]&lt;=4,"Low",IF(mental_health[Daily_Screen_Time]&lt;=8,"Medium","High"))</f>
        <v>High</v>
      </c>
    </row>
    <row r="1046" spans="1:22" x14ac:dyDescent="0.3">
      <c r="A1046">
        <v>1045</v>
      </c>
      <c r="B1046">
        <v>41</v>
      </c>
      <c r="C1046" t="s">
        <v>18</v>
      </c>
      <c r="D1046" t="s">
        <v>19</v>
      </c>
      <c r="E1046">
        <v>2.7</v>
      </c>
      <c r="F1046">
        <v>7.7</v>
      </c>
      <c r="G1046">
        <v>0</v>
      </c>
      <c r="H1046" t="str">
        <f t="shared" si="16"/>
        <v>No Night Usage</v>
      </c>
      <c r="I1046">
        <v>8.6</v>
      </c>
      <c r="J1046" s="3">
        <v>9</v>
      </c>
      <c r="K1046">
        <v>9.6999999999999993</v>
      </c>
      <c r="L1046" t="s">
        <v>20</v>
      </c>
      <c r="M1046">
        <v>7</v>
      </c>
      <c r="N1046">
        <v>4</v>
      </c>
      <c r="O1046">
        <v>0</v>
      </c>
      <c r="P1046">
        <v>0</v>
      </c>
      <c r="Q1046">
        <v>1</v>
      </c>
      <c r="R1046">
        <v>0</v>
      </c>
      <c r="S1046">
        <v>1</v>
      </c>
      <c r="T1046" t="str">
        <f>IF(mental_health[Sleep_Hours]&lt;5,"Low",IF(mental_health[Sleep_Hours]&lt;7,"Medium","Good"))</f>
        <v>Good</v>
      </c>
      <c r="U1046" t="str">
        <f>IF(mental_health[Stress_Level]&lt;=3,"Low",IF(mental_health[Stress_Level]&lt;=7,"Medium","High"))</f>
        <v>High</v>
      </c>
      <c r="V1046" t="str">
        <f>IF(mental_health[Daily_Screen_Time]&lt;=4,"Low",IF(mental_health[Daily_Screen_Time]&lt;=8,"Medium","High"))</f>
        <v>Low</v>
      </c>
    </row>
    <row r="1047" spans="1:22" x14ac:dyDescent="0.3">
      <c r="A1047">
        <v>1046</v>
      </c>
      <c r="B1047">
        <v>58</v>
      </c>
      <c r="C1047" t="s">
        <v>18</v>
      </c>
      <c r="D1047" t="s">
        <v>19</v>
      </c>
      <c r="E1047">
        <v>5.3</v>
      </c>
      <c r="F1047">
        <v>1.5</v>
      </c>
      <c r="G1047">
        <v>1</v>
      </c>
      <c r="H1047" t="str">
        <f t="shared" si="16"/>
        <v>Night Usage</v>
      </c>
      <c r="I1047">
        <v>7.8</v>
      </c>
      <c r="J1047" s="3">
        <v>5</v>
      </c>
      <c r="K1047">
        <v>5.9</v>
      </c>
      <c r="L1047" t="s">
        <v>25</v>
      </c>
      <c r="M1047">
        <v>5</v>
      </c>
      <c r="N1047">
        <v>1</v>
      </c>
      <c r="O1047">
        <v>1</v>
      </c>
      <c r="P1047">
        <v>0</v>
      </c>
      <c r="Q1047">
        <v>0</v>
      </c>
      <c r="R1047">
        <v>1</v>
      </c>
      <c r="S1047">
        <v>0</v>
      </c>
      <c r="T1047" t="str">
        <f>IF(mental_health[Sleep_Hours]&lt;5,"Low",IF(mental_health[Sleep_Hours]&lt;7,"Medium","Good"))</f>
        <v>Good</v>
      </c>
      <c r="U1047" t="str">
        <f>IF(mental_health[Stress_Level]&lt;=3,"Low",IF(mental_health[Stress_Level]&lt;=7,"Medium","High"))</f>
        <v>Medium</v>
      </c>
      <c r="V1047" t="str">
        <f>IF(mental_health[Daily_Screen_Time]&lt;=4,"Low",IF(mental_health[Daily_Screen_Time]&lt;=8,"Medium","High"))</f>
        <v>Medium</v>
      </c>
    </row>
    <row r="1048" spans="1:22" x14ac:dyDescent="0.3">
      <c r="A1048">
        <v>1047</v>
      </c>
      <c r="B1048">
        <v>42</v>
      </c>
      <c r="C1048" t="s">
        <v>23</v>
      </c>
      <c r="D1048" t="s">
        <v>19</v>
      </c>
      <c r="E1048">
        <v>5.0999999999999996</v>
      </c>
      <c r="F1048">
        <v>4.7</v>
      </c>
      <c r="G1048">
        <v>1</v>
      </c>
      <c r="H1048" t="str">
        <f t="shared" si="16"/>
        <v>Night Usage</v>
      </c>
      <c r="I1048">
        <v>7.2</v>
      </c>
      <c r="J1048" s="3">
        <v>10</v>
      </c>
      <c r="K1048">
        <v>9.3000000000000007</v>
      </c>
      <c r="L1048" t="s">
        <v>21</v>
      </c>
      <c r="M1048">
        <v>3</v>
      </c>
      <c r="N1048">
        <v>3</v>
      </c>
      <c r="O1048">
        <v>0</v>
      </c>
      <c r="P1048">
        <v>0</v>
      </c>
      <c r="Q1048">
        <v>1</v>
      </c>
      <c r="R1048">
        <v>1</v>
      </c>
      <c r="S1048">
        <v>1</v>
      </c>
      <c r="T1048" t="str">
        <f>IF(mental_health[Sleep_Hours]&lt;5,"Low",IF(mental_health[Sleep_Hours]&lt;7,"Medium","Good"))</f>
        <v>Good</v>
      </c>
      <c r="U1048" t="str">
        <f>IF(mental_health[Stress_Level]&lt;=3,"Low",IF(mental_health[Stress_Level]&lt;=7,"Medium","High"))</f>
        <v>High</v>
      </c>
      <c r="V1048" t="str">
        <f>IF(mental_health[Daily_Screen_Time]&lt;=4,"Low",IF(mental_health[Daily_Screen_Time]&lt;=8,"Medium","High"))</f>
        <v>Medium</v>
      </c>
    </row>
    <row r="1049" spans="1:22" x14ac:dyDescent="0.3">
      <c r="A1049">
        <v>1048</v>
      </c>
      <c r="B1049">
        <v>20</v>
      </c>
      <c r="C1049" t="s">
        <v>23</v>
      </c>
      <c r="D1049" t="s">
        <v>19</v>
      </c>
      <c r="E1049">
        <v>8.4</v>
      </c>
      <c r="F1049">
        <v>3.1</v>
      </c>
      <c r="G1049">
        <v>0</v>
      </c>
      <c r="H1049" t="str">
        <f t="shared" si="16"/>
        <v>No Night Usage</v>
      </c>
      <c r="I1049">
        <v>3</v>
      </c>
      <c r="J1049" s="3">
        <v>9</v>
      </c>
      <c r="K1049">
        <v>4.0999999999999996</v>
      </c>
      <c r="L1049" t="s">
        <v>25</v>
      </c>
      <c r="M1049">
        <v>10</v>
      </c>
      <c r="N1049">
        <v>0</v>
      </c>
      <c r="O1049">
        <v>0</v>
      </c>
      <c r="P1049">
        <v>0</v>
      </c>
      <c r="Q1049">
        <v>1</v>
      </c>
      <c r="R1049">
        <v>1</v>
      </c>
      <c r="S1049">
        <v>0</v>
      </c>
      <c r="T1049" t="str">
        <f>IF(mental_health[Sleep_Hours]&lt;5,"Low",IF(mental_health[Sleep_Hours]&lt;7,"Medium","Good"))</f>
        <v>Low</v>
      </c>
      <c r="U1049" t="str">
        <f>IF(mental_health[Stress_Level]&lt;=3,"Low",IF(mental_health[Stress_Level]&lt;=7,"Medium","High"))</f>
        <v>High</v>
      </c>
      <c r="V1049" t="str">
        <f>IF(mental_health[Daily_Screen_Time]&lt;=4,"Low",IF(mental_health[Daily_Screen_Time]&lt;=8,"Medium","High"))</f>
        <v>High</v>
      </c>
    </row>
    <row r="1050" spans="1:22" x14ac:dyDescent="0.3">
      <c r="A1050">
        <v>1049</v>
      </c>
      <c r="B1050">
        <v>35</v>
      </c>
      <c r="C1050" t="s">
        <v>23</v>
      </c>
      <c r="D1050" t="s">
        <v>22</v>
      </c>
      <c r="E1050">
        <v>5.6</v>
      </c>
      <c r="F1050">
        <v>3.7</v>
      </c>
      <c r="G1050">
        <v>0</v>
      </c>
      <c r="H1050" t="str">
        <f t="shared" si="16"/>
        <v>No Night Usage</v>
      </c>
      <c r="I1050">
        <v>5.6</v>
      </c>
      <c r="J1050" s="3">
        <v>10</v>
      </c>
      <c r="K1050">
        <v>5.8</v>
      </c>
      <c r="L1050" t="s">
        <v>25</v>
      </c>
      <c r="M1050">
        <v>8</v>
      </c>
      <c r="N1050">
        <v>3</v>
      </c>
      <c r="O1050">
        <v>0</v>
      </c>
      <c r="P1050">
        <v>0</v>
      </c>
      <c r="Q1050">
        <v>0</v>
      </c>
      <c r="R1050">
        <v>1</v>
      </c>
      <c r="S1050">
        <v>0</v>
      </c>
      <c r="T1050" t="str">
        <f>IF(mental_health[Sleep_Hours]&lt;5,"Low",IF(mental_health[Sleep_Hours]&lt;7,"Medium","Good"))</f>
        <v>Medium</v>
      </c>
      <c r="U1050" t="str">
        <f>IF(mental_health[Stress_Level]&lt;=3,"Low",IF(mental_health[Stress_Level]&lt;=7,"Medium","High"))</f>
        <v>High</v>
      </c>
      <c r="V1050" t="str">
        <f>IF(mental_health[Daily_Screen_Time]&lt;=4,"Low",IF(mental_health[Daily_Screen_Time]&lt;=8,"Medium","High"))</f>
        <v>Medium</v>
      </c>
    </row>
    <row r="1051" spans="1:22" x14ac:dyDescent="0.3">
      <c r="A1051">
        <v>1050</v>
      </c>
      <c r="B1051">
        <v>26</v>
      </c>
      <c r="C1051" t="s">
        <v>23</v>
      </c>
      <c r="D1051" t="s">
        <v>19</v>
      </c>
      <c r="E1051">
        <v>3.5</v>
      </c>
      <c r="F1051">
        <v>2.2999999999999998</v>
      </c>
      <c r="G1051">
        <v>1</v>
      </c>
      <c r="H1051" t="str">
        <f t="shared" si="16"/>
        <v>Night Usage</v>
      </c>
      <c r="I1051">
        <v>4.2</v>
      </c>
      <c r="J1051" s="3">
        <v>6</v>
      </c>
      <c r="K1051">
        <v>2.1</v>
      </c>
      <c r="L1051" t="s">
        <v>25</v>
      </c>
      <c r="M1051">
        <v>8</v>
      </c>
      <c r="N1051">
        <v>4</v>
      </c>
      <c r="O1051">
        <v>0</v>
      </c>
      <c r="P1051">
        <v>1</v>
      </c>
      <c r="Q1051">
        <v>0</v>
      </c>
      <c r="R1051">
        <v>0</v>
      </c>
      <c r="S1051">
        <v>1</v>
      </c>
      <c r="T1051" t="str">
        <f>IF(mental_health[Sleep_Hours]&lt;5,"Low",IF(mental_health[Sleep_Hours]&lt;7,"Medium","Good"))</f>
        <v>Low</v>
      </c>
      <c r="U1051" t="str">
        <f>IF(mental_health[Stress_Level]&lt;=3,"Low",IF(mental_health[Stress_Level]&lt;=7,"Medium","High"))</f>
        <v>Medium</v>
      </c>
      <c r="V1051" t="str">
        <f>IF(mental_health[Daily_Screen_Time]&lt;=4,"Low",IF(mental_health[Daily_Screen_Time]&lt;=8,"Medium","High"))</f>
        <v>Low</v>
      </c>
    </row>
    <row r="1052" spans="1:22" x14ac:dyDescent="0.3">
      <c r="A1052">
        <v>1051</v>
      </c>
      <c r="B1052">
        <v>25</v>
      </c>
      <c r="C1052" t="s">
        <v>23</v>
      </c>
      <c r="D1052" t="s">
        <v>22</v>
      </c>
      <c r="E1052">
        <v>8</v>
      </c>
      <c r="F1052">
        <v>5</v>
      </c>
      <c r="G1052">
        <v>0</v>
      </c>
      <c r="H1052" t="str">
        <f t="shared" si="16"/>
        <v>No Night Usage</v>
      </c>
      <c r="I1052">
        <v>8.5</v>
      </c>
      <c r="J1052" s="3">
        <v>3</v>
      </c>
      <c r="K1052">
        <v>9.6</v>
      </c>
      <c r="L1052" t="s">
        <v>20</v>
      </c>
      <c r="M1052">
        <v>9</v>
      </c>
      <c r="N1052">
        <v>3</v>
      </c>
      <c r="O1052">
        <v>0</v>
      </c>
      <c r="P1052">
        <v>1</v>
      </c>
      <c r="Q1052">
        <v>1</v>
      </c>
      <c r="R1052">
        <v>0</v>
      </c>
      <c r="S1052">
        <v>0</v>
      </c>
      <c r="T1052" t="str">
        <f>IF(mental_health[Sleep_Hours]&lt;5,"Low",IF(mental_health[Sleep_Hours]&lt;7,"Medium","Good"))</f>
        <v>Good</v>
      </c>
      <c r="U1052" t="str">
        <f>IF(mental_health[Stress_Level]&lt;=3,"Low",IF(mental_health[Stress_Level]&lt;=7,"Medium","High"))</f>
        <v>Low</v>
      </c>
      <c r="V1052" t="str">
        <f>IF(mental_health[Daily_Screen_Time]&lt;=4,"Low",IF(mental_health[Daily_Screen_Time]&lt;=8,"Medium","High"))</f>
        <v>Medium</v>
      </c>
    </row>
    <row r="1053" spans="1:22" x14ac:dyDescent="0.3">
      <c r="A1053">
        <v>1052</v>
      </c>
      <c r="B1053">
        <v>55</v>
      </c>
      <c r="C1053" t="s">
        <v>23</v>
      </c>
      <c r="D1053" t="s">
        <v>24</v>
      </c>
      <c r="E1053">
        <v>10.1</v>
      </c>
      <c r="F1053">
        <v>7.7</v>
      </c>
      <c r="G1053">
        <v>1</v>
      </c>
      <c r="H1053" t="str">
        <f t="shared" si="16"/>
        <v>Night Usage</v>
      </c>
      <c r="I1053">
        <v>4</v>
      </c>
      <c r="J1053" s="3">
        <v>4</v>
      </c>
      <c r="K1053">
        <v>8.3000000000000007</v>
      </c>
      <c r="L1053" t="s">
        <v>21</v>
      </c>
      <c r="M1053">
        <v>6</v>
      </c>
      <c r="N1053">
        <v>4</v>
      </c>
      <c r="O1053">
        <v>0</v>
      </c>
      <c r="P1053">
        <v>1</v>
      </c>
      <c r="Q1053">
        <v>1</v>
      </c>
      <c r="R1053">
        <v>0</v>
      </c>
      <c r="S1053">
        <v>1</v>
      </c>
      <c r="T1053" t="str">
        <f>IF(mental_health[Sleep_Hours]&lt;5,"Low",IF(mental_health[Sleep_Hours]&lt;7,"Medium","Good"))</f>
        <v>Low</v>
      </c>
      <c r="U1053" t="str">
        <f>IF(mental_health[Stress_Level]&lt;=3,"Low",IF(mental_health[Stress_Level]&lt;=7,"Medium","High"))</f>
        <v>Medium</v>
      </c>
      <c r="V1053" t="str">
        <f>IF(mental_health[Daily_Screen_Time]&lt;=4,"Low",IF(mental_health[Daily_Screen_Time]&lt;=8,"Medium","High"))</f>
        <v>High</v>
      </c>
    </row>
    <row r="1054" spans="1:22" x14ac:dyDescent="0.3">
      <c r="A1054">
        <v>1053</v>
      </c>
      <c r="B1054">
        <v>53</v>
      </c>
      <c r="C1054" t="s">
        <v>23</v>
      </c>
      <c r="D1054" t="s">
        <v>24</v>
      </c>
      <c r="E1054">
        <v>5.8</v>
      </c>
      <c r="F1054">
        <v>4.5</v>
      </c>
      <c r="G1054">
        <v>0</v>
      </c>
      <c r="H1054" t="str">
        <f t="shared" si="16"/>
        <v>No Night Usage</v>
      </c>
      <c r="I1054">
        <v>4.7</v>
      </c>
      <c r="J1054" s="3">
        <v>4</v>
      </c>
      <c r="K1054">
        <v>10.199999999999999</v>
      </c>
      <c r="L1054" t="s">
        <v>25</v>
      </c>
      <c r="M1054">
        <v>2</v>
      </c>
      <c r="N1054">
        <v>3</v>
      </c>
      <c r="O1054">
        <v>0</v>
      </c>
      <c r="P1054">
        <v>0</v>
      </c>
      <c r="Q1054">
        <v>0</v>
      </c>
      <c r="R1054">
        <v>0</v>
      </c>
      <c r="S1054">
        <v>1</v>
      </c>
      <c r="T1054" t="str">
        <f>IF(mental_health[Sleep_Hours]&lt;5,"Low",IF(mental_health[Sleep_Hours]&lt;7,"Medium","Good"))</f>
        <v>Low</v>
      </c>
      <c r="U1054" t="str">
        <f>IF(mental_health[Stress_Level]&lt;=3,"Low",IF(mental_health[Stress_Level]&lt;=7,"Medium","High"))</f>
        <v>Medium</v>
      </c>
      <c r="V1054" t="str">
        <f>IF(mental_health[Daily_Screen_Time]&lt;=4,"Low",IF(mental_health[Daily_Screen_Time]&lt;=8,"Medium","High"))</f>
        <v>Medium</v>
      </c>
    </row>
    <row r="1055" spans="1:22" x14ac:dyDescent="0.3">
      <c r="A1055">
        <v>1054</v>
      </c>
      <c r="B1055">
        <v>21</v>
      </c>
      <c r="C1055" t="s">
        <v>18</v>
      </c>
      <c r="D1055" t="s">
        <v>19</v>
      </c>
      <c r="E1055">
        <v>3.3</v>
      </c>
      <c r="F1055">
        <v>1.6</v>
      </c>
      <c r="G1055">
        <v>0</v>
      </c>
      <c r="H1055" t="str">
        <f t="shared" si="16"/>
        <v>No Night Usage</v>
      </c>
      <c r="I1055">
        <v>6.1</v>
      </c>
      <c r="J1055" s="3">
        <v>1</v>
      </c>
      <c r="K1055">
        <v>6.6</v>
      </c>
      <c r="L1055" t="s">
        <v>25</v>
      </c>
      <c r="M1055">
        <v>3</v>
      </c>
      <c r="N1055">
        <v>2</v>
      </c>
      <c r="O1055">
        <v>0</v>
      </c>
      <c r="P1055">
        <v>0</v>
      </c>
      <c r="Q1055">
        <v>0</v>
      </c>
      <c r="R1055">
        <v>0</v>
      </c>
      <c r="S1055">
        <v>0</v>
      </c>
      <c r="T1055" t="str">
        <f>IF(mental_health[Sleep_Hours]&lt;5,"Low",IF(mental_health[Sleep_Hours]&lt;7,"Medium","Good"))</f>
        <v>Medium</v>
      </c>
      <c r="U1055" t="str">
        <f>IF(mental_health[Stress_Level]&lt;=3,"Low",IF(mental_health[Stress_Level]&lt;=7,"Medium","High"))</f>
        <v>Low</v>
      </c>
      <c r="V1055" t="str">
        <f>IF(mental_health[Daily_Screen_Time]&lt;=4,"Low",IF(mental_health[Daily_Screen_Time]&lt;=8,"Medium","High"))</f>
        <v>Low</v>
      </c>
    </row>
    <row r="1056" spans="1:22" x14ac:dyDescent="0.3">
      <c r="A1056">
        <v>1055</v>
      </c>
      <c r="B1056">
        <v>23</v>
      </c>
      <c r="C1056" t="s">
        <v>23</v>
      </c>
      <c r="D1056" t="s">
        <v>24</v>
      </c>
      <c r="E1056">
        <v>4</v>
      </c>
      <c r="F1056">
        <v>5.3</v>
      </c>
      <c r="G1056">
        <v>0</v>
      </c>
      <c r="H1056" t="str">
        <f t="shared" si="16"/>
        <v>No Night Usage</v>
      </c>
      <c r="I1056">
        <v>4.5999999999999996</v>
      </c>
      <c r="J1056" s="3">
        <v>3</v>
      </c>
      <c r="K1056">
        <v>10</v>
      </c>
      <c r="L1056" t="s">
        <v>25</v>
      </c>
      <c r="M1056">
        <v>10</v>
      </c>
      <c r="N1056">
        <v>3</v>
      </c>
      <c r="O1056">
        <v>1</v>
      </c>
      <c r="P1056">
        <v>1</v>
      </c>
      <c r="Q1056">
        <v>0</v>
      </c>
      <c r="R1056">
        <v>0</v>
      </c>
      <c r="S1056">
        <v>1</v>
      </c>
      <c r="T1056" t="str">
        <f>IF(mental_health[Sleep_Hours]&lt;5,"Low",IF(mental_health[Sleep_Hours]&lt;7,"Medium","Good"))</f>
        <v>Low</v>
      </c>
      <c r="U1056" t="str">
        <f>IF(mental_health[Stress_Level]&lt;=3,"Low",IF(mental_health[Stress_Level]&lt;=7,"Medium","High"))</f>
        <v>Low</v>
      </c>
      <c r="V1056" t="str">
        <f>IF(mental_health[Daily_Screen_Time]&lt;=4,"Low",IF(mental_health[Daily_Screen_Time]&lt;=8,"Medium","High"))</f>
        <v>Low</v>
      </c>
    </row>
    <row r="1057" spans="1:22" x14ac:dyDescent="0.3">
      <c r="A1057">
        <v>1056</v>
      </c>
      <c r="B1057">
        <v>38</v>
      </c>
      <c r="C1057" t="s">
        <v>18</v>
      </c>
      <c r="D1057" t="s">
        <v>24</v>
      </c>
      <c r="E1057">
        <v>4.4000000000000004</v>
      </c>
      <c r="F1057">
        <v>3.4</v>
      </c>
      <c r="G1057">
        <v>1</v>
      </c>
      <c r="H1057" t="str">
        <f t="shared" si="16"/>
        <v>Night Usage</v>
      </c>
      <c r="I1057">
        <v>4.3</v>
      </c>
      <c r="J1057" s="3">
        <v>3</v>
      </c>
      <c r="K1057">
        <v>8.5</v>
      </c>
      <c r="L1057" t="s">
        <v>20</v>
      </c>
      <c r="M1057">
        <v>6</v>
      </c>
      <c r="N1057">
        <v>0</v>
      </c>
      <c r="O1057">
        <v>1</v>
      </c>
      <c r="P1057">
        <v>1</v>
      </c>
      <c r="Q1057">
        <v>0</v>
      </c>
      <c r="R1057">
        <v>0</v>
      </c>
      <c r="S1057">
        <v>0</v>
      </c>
      <c r="T1057" t="str">
        <f>IF(mental_health[Sleep_Hours]&lt;5,"Low",IF(mental_health[Sleep_Hours]&lt;7,"Medium","Good"))</f>
        <v>Low</v>
      </c>
      <c r="U1057" t="str">
        <f>IF(mental_health[Stress_Level]&lt;=3,"Low",IF(mental_health[Stress_Level]&lt;=7,"Medium","High"))</f>
        <v>Low</v>
      </c>
      <c r="V1057" t="str">
        <f>IF(mental_health[Daily_Screen_Time]&lt;=4,"Low",IF(mental_health[Daily_Screen_Time]&lt;=8,"Medium","High"))</f>
        <v>Medium</v>
      </c>
    </row>
    <row r="1058" spans="1:22" x14ac:dyDescent="0.3">
      <c r="A1058">
        <v>1057</v>
      </c>
      <c r="B1058">
        <v>41</v>
      </c>
      <c r="C1058" t="s">
        <v>18</v>
      </c>
      <c r="D1058" t="s">
        <v>24</v>
      </c>
      <c r="E1058">
        <v>5</v>
      </c>
      <c r="F1058">
        <v>7</v>
      </c>
      <c r="G1058">
        <v>0</v>
      </c>
      <c r="H1058" t="str">
        <f t="shared" si="16"/>
        <v>No Night Usage</v>
      </c>
      <c r="I1058">
        <v>6.6</v>
      </c>
      <c r="J1058" s="3">
        <v>1</v>
      </c>
      <c r="K1058">
        <v>2</v>
      </c>
      <c r="L1058" t="s">
        <v>25</v>
      </c>
      <c r="M1058">
        <v>1</v>
      </c>
      <c r="N1058">
        <v>0</v>
      </c>
      <c r="O1058">
        <v>0</v>
      </c>
      <c r="P1058">
        <v>1</v>
      </c>
      <c r="Q1058">
        <v>0</v>
      </c>
      <c r="R1058">
        <v>0</v>
      </c>
      <c r="S1058">
        <v>0</v>
      </c>
      <c r="T1058" t="str">
        <f>IF(mental_health[Sleep_Hours]&lt;5,"Low",IF(mental_health[Sleep_Hours]&lt;7,"Medium","Good"))</f>
        <v>Medium</v>
      </c>
      <c r="U1058" t="str">
        <f>IF(mental_health[Stress_Level]&lt;=3,"Low",IF(mental_health[Stress_Level]&lt;=7,"Medium","High"))</f>
        <v>Low</v>
      </c>
      <c r="V1058" t="str">
        <f>IF(mental_health[Daily_Screen_Time]&lt;=4,"Low",IF(mental_health[Daily_Screen_Time]&lt;=8,"Medium","High"))</f>
        <v>Medium</v>
      </c>
    </row>
    <row r="1059" spans="1:22" x14ac:dyDescent="0.3">
      <c r="A1059">
        <v>1058</v>
      </c>
      <c r="B1059">
        <v>58</v>
      </c>
      <c r="C1059" t="s">
        <v>23</v>
      </c>
      <c r="D1059" t="s">
        <v>19</v>
      </c>
      <c r="E1059">
        <v>8.4</v>
      </c>
      <c r="F1059">
        <v>4</v>
      </c>
      <c r="G1059">
        <v>1</v>
      </c>
      <c r="H1059" t="str">
        <f t="shared" si="16"/>
        <v>Night Usage</v>
      </c>
      <c r="I1059">
        <v>3.5</v>
      </c>
      <c r="J1059" s="3">
        <v>9</v>
      </c>
      <c r="K1059">
        <v>4.5</v>
      </c>
      <c r="L1059" t="s">
        <v>20</v>
      </c>
      <c r="M1059">
        <v>2</v>
      </c>
      <c r="N1059">
        <v>3</v>
      </c>
      <c r="O1059">
        <v>0</v>
      </c>
      <c r="P1059">
        <v>1</v>
      </c>
      <c r="Q1059">
        <v>1</v>
      </c>
      <c r="R1059">
        <v>1</v>
      </c>
      <c r="S1059">
        <v>1</v>
      </c>
      <c r="T1059" t="str">
        <f>IF(mental_health[Sleep_Hours]&lt;5,"Low",IF(mental_health[Sleep_Hours]&lt;7,"Medium","Good"))</f>
        <v>Low</v>
      </c>
      <c r="U1059" t="str">
        <f>IF(mental_health[Stress_Level]&lt;=3,"Low",IF(mental_health[Stress_Level]&lt;=7,"Medium","High"))</f>
        <v>High</v>
      </c>
      <c r="V1059" t="str">
        <f>IF(mental_health[Daily_Screen_Time]&lt;=4,"Low",IF(mental_health[Daily_Screen_Time]&lt;=8,"Medium","High"))</f>
        <v>High</v>
      </c>
    </row>
    <row r="1060" spans="1:22" x14ac:dyDescent="0.3">
      <c r="A1060">
        <v>1059</v>
      </c>
      <c r="B1060">
        <v>27</v>
      </c>
      <c r="C1060" t="s">
        <v>23</v>
      </c>
      <c r="D1060" t="s">
        <v>19</v>
      </c>
      <c r="E1060">
        <v>8</v>
      </c>
      <c r="F1060">
        <v>2.2999999999999998</v>
      </c>
      <c r="G1060">
        <v>1</v>
      </c>
      <c r="H1060" t="str">
        <f t="shared" si="16"/>
        <v>Night Usage</v>
      </c>
      <c r="I1060">
        <v>3.3</v>
      </c>
      <c r="J1060" s="3">
        <v>1</v>
      </c>
      <c r="K1060">
        <v>6.9</v>
      </c>
      <c r="L1060" t="s">
        <v>20</v>
      </c>
      <c r="M1060">
        <v>8</v>
      </c>
      <c r="N1060">
        <v>3</v>
      </c>
      <c r="O1060">
        <v>0</v>
      </c>
      <c r="P1060">
        <v>1</v>
      </c>
      <c r="Q1060">
        <v>0</v>
      </c>
      <c r="R1060">
        <v>0</v>
      </c>
      <c r="S1060">
        <v>1</v>
      </c>
      <c r="T1060" t="str">
        <f>IF(mental_health[Sleep_Hours]&lt;5,"Low",IF(mental_health[Sleep_Hours]&lt;7,"Medium","Good"))</f>
        <v>Low</v>
      </c>
      <c r="U1060" t="str">
        <f>IF(mental_health[Stress_Level]&lt;=3,"Low",IF(mental_health[Stress_Level]&lt;=7,"Medium","High"))</f>
        <v>Low</v>
      </c>
      <c r="V1060" t="str">
        <f>IF(mental_health[Daily_Screen_Time]&lt;=4,"Low",IF(mental_health[Daily_Screen_Time]&lt;=8,"Medium","High"))</f>
        <v>Medium</v>
      </c>
    </row>
    <row r="1061" spans="1:22" x14ac:dyDescent="0.3">
      <c r="A1061">
        <v>1060</v>
      </c>
      <c r="B1061">
        <v>41</v>
      </c>
      <c r="C1061" t="s">
        <v>18</v>
      </c>
      <c r="D1061" t="s">
        <v>24</v>
      </c>
      <c r="E1061">
        <v>9</v>
      </c>
      <c r="F1061">
        <v>2.2999999999999998</v>
      </c>
      <c r="G1061">
        <v>1</v>
      </c>
      <c r="H1061" t="str">
        <f t="shared" si="16"/>
        <v>Night Usage</v>
      </c>
      <c r="I1061">
        <v>5.2</v>
      </c>
      <c r="J1061" s="3">
        <v>9</v>
      </c>
      <c r="K1061">
        <v>8.1999999999999993</v>
      </c>
      <c r="L1061" t="s">
        <v>25</v>
      </c>
      <c r="M1061">
        <v>8</v>
      </c>
      <c r="N1061">
        <v>1</v>
      </c>
      <c r="O1061">
        <v>0</v>
      </c>
      <c r="P1061">
        <v>1</v>
      </c>
      <c r="Q1061">
        <v>1</v>
      </c>
      <c r="R1061">
        <v>1</v>
      </c>
      <c r="S1061">
        <v>0</v>
      </c>
      <c r="T1061" t="str">
        <f>IF(mental_health[Sleep_Hours]&lt;5,"Low",IF(mental_health[Sleep_Hours]&lt;7,"Medium","Good"))</f>
        <v>Medium</v>
      </c>
      <c r="U1061" t="str">
        <f>IF(mental_health[Stress_Level]&lt;=3,"Low",IF(mental_health[Stress_Level]&lt;=7,"Medium","High"))</f>
        <v>High</v>
      </c>
      <c r="V1061" t="str">
        <f>IF(mental_health[Daily_Screen_Time]&lt;=4,"Low",IF(mental_health[Daily_Screen_Time]&lt;=8,"Medium","High"))</f>
        <v>High</v>
      </c>
    </row>
    <row r="1062" spans="1:22" x14ac:dyDescent="0.3">
      <c r="A1062">
        <v>1061</v>
      </c>
      <c r="B1062">
        <v>28</v>
      </c>
      <c r="C1062" t="s">
        <v>18</v>
      </c>
      <c r="D1062" t="s">
        <v>22</v>
      </c>
      <c r="E1062">
        <v>5.6</v>
      </c>
      <c r="F1062">
        <v>6.4</v>
      </c>
      <c r="G1062">
        <v>0</v>
      </c>
      <c r="H1062" t="str">
        <f t="shared" si="16"/>
        <v>No Night Usage</v>
      </c>
      <c r="I1062">
        <v>7.3</v>
      </c>
      <c r="J1062" s="3">
        <v>1</v>
      </c>
      <c r="K1062">
        <v>2.7</v>
      </c>
      <c r="L1062" t="s">
        <v>25</v>
      </c>
      <c r="M1062">
        <v>6</v>
      </c>
      <c r="N1062">
        <v>3</v>
      </c>
      <c r="O1062">
        <v>0</v>
      </c>
      <c r="P1062">
        <v>0</v>
      </c>
      <c r="Q1062">
        <v>0</v>
      </c>
      <c r="R1062">
        <v>0</v>
      </c>
      <c r="S1062">
        <v>1</v>
      </c>
      <c r="T1062" t="str">
        <f>IF(mental_health[Sleep_Hours]&lt;5,"Low",IF(mental_health[Sleep_Hours]&lt;7,"Medium","Good"))</f>
        <v>Good</v>
      </c>
      <c r="U1062" t="str">
        <f>IF(mental_health[Stress_Level]&lt;=3,"Low",IF(mental_health[Stress_Level]&lt;=7,"Medium","High"))</f>
        <v>Low</v>
      </c>
      <c r="V1062" t="str">
        <f>IF(mental_health[Daily_Screen_Time]&lt;=4,"Low",IF(mental_health[Daily_Screen_Time]&lt;=8,"Medium","High"))</f>
        <v>Medium</v>
      </c>
    </row>
    <row r="1063" spans="1:22" x14ac:dyDescent="0.3">
      <c r="A1063">
        <v>1062</v>
      </c>
      <c r="B1063">
        <v>55</v>
      </c>
      <c r="C1063" t="s">
        <v>23</v>
      </c>
      <c r="D1063" t="s">
        <v>24</v>
      </c>
      <c r="E1063">
        <v>10.199999999999999</v>
      </c>
      <c r="F1063">
        <v>2.9</v>
      </c>
      <c r="G1063">
        <v>1</v>
      </c>
      <c r="H1063" t="str">
        <f t="shared" si="16"/>
        <v>Night Usage</v>
      </c>
      <c r="I1063">
        <v>6.3</v>
      </c>
      <c r="J1063" s="3">
        <v>2</v>
      </c>
      <c r="K1063">
        <v>9.1</v>
      </c>
      <c r="L1063" t="s">
        <v>20</v>
      </c>
      <c r="M1063">
        <v>3</v>
      </c>
      <c r="N1063">
        <v>0</v>
      </c>
      <c r="O1063">
        <v>1</v>
      </c>
      <c r="P1063">
        <v>1</v>
      </c>
      <c r="Q1063">
        <v>1</v>
      </c>
      <c r="R1063">
        <v>1</v>
      </c>
      <c r="S1063">
        <v>0</v>
      </c>
      <c r="T1063" t="str">
        <f>IF(mental_health[Sleep_Hours]&lt;5,"Low",IF(mental_health[Sleep_Hours]&lt;7,"Medium","Good"))</f>
        <v>Medium</v>
      </c>
      <c r="U1063" t="str">
        <f>IF(mental_health[Stress_Level]&lt;=3,"Low",IF(mental_health[Stress_Level]&lt;=7,"Medium","High"))</f>
        <v>Low</v>
      </c>
      <c r="V1063" t="str">
        <f>IF(mental_health[Daily_Screen_Time]&lt;=4,"Low",IF(mental_health[Daily_Screen_Time]&lt;=8,"Medium","High"))</f>
        <v>High</v>
      </c>
    </row>
    <row r="1064" spans="1:22" x14ac:dyDescent="0.3">
      <c r="A1064">
        <v>1063</v>
      </c>
      <c r="B1064">
        <v>33</v>
      </c>
      <c r="C1064" t="s">
        <v>23</v>
      </c>
      <c r="D1064" t="s">
        <v>19</v>
      </c>
      <c r="E1064">
        <v>4</v>
      </c>
      <c r="F1064">
        <v>6.4</v>
      </c>
      <c r="G1064">
        <v>1</v>
      </c>
      <c r="H1064" t="str">
        <f t="shared" si="16"/>
        <v>Night Usage</v>
      </c>
      <c r="I1064">
        <v>5.5</v>
      </c>
      <c r="J1064" s="3">
        <v>2</v>
      </c>
      <c r="K1064">
        <v>7.4</v>
      </c>
      <c r="L1064" t="s">
        <v>20</v>
      </c>
      <c r="M1064">
        <v>2</v>
      </c>
      <c r="N1064">
        <v>2</v>
      </c>
      <c r="O1064">
        <v>0</v>
      </c>
      <c r="P1064">
        <v>0</v>
      </c>
      <c r="Q1064">
        <v>1</v>
      </c>
      <c r="R1064">
        <v>0</v>
      </c>
      <c r="S1064">
        <v>0</v>
      </c>
      <c r="T1064" t="str">
        <f>IF(mental_health[Sleep_Hours]&lt;5,"Low",IF(mental_health[Sleep_Hours]&lt;7,"Medium","Good"))</f>
        <v>Medium</v>
      </c>
      <c r="U1064" t="str">
        <f>IF(mental_health[Stress_Level]&lt;=3,"Low",IF(mental_health[Stress_Level]&lt;=7,"Medium","High"))</f>
        <v>Low</v>
      </c>
      <c r="V1064" t="str">
        <f>IF(mental_health[Daily_Screen_Time]&lt;=4,"Low",IF(mental_health[Daily_Screen_Time]&lt;=8,"Medium","High"))</f>
        <v>Low</v>
      </c>
    </row>
    <row r="1065" spans="1:22" x14ac:dyDescent="0.3">
      <c r="A1065">
        <v>1064</v>
      </c>
      <c r="B1065">
        <v>40</v>
      </c>
      <c r="C1065" t="s">
        <v>18</v>
      </c>
      <c r="D1065" t="s">
        <v>19</v>
      </c>
      <c r="E1065">
        <v>6.7</v>
      </c>
      <c r="F1065">
        <v>2.4</v>
      </c>
      <c r="G1065">
        <v>0</v>
      </c>
      <c r="H1065" t="str">
        <f t="shared" si="16"/>
        <v>No Night Usage</v>
      </c>
      <c r="I1065">
        <v>6.4</v>
      </c>
      <c r="J1065" s="3">
        <v>6</v>
      </c>
      <c r="K1065">
        <v>7.3</v>
      </c>
      <c r="L1065" t="s">
        <v>25</v>
      </c>
      <c r="M1065">
        <v>6</v>
      </c>
      <c r="N1065">
        <v>0</v>
      </c>
      <c r="O1065">
        <v>0</v>
      </c>
      <c r="P1065">
        <v>1</v>
      </c>
      <c r="Q1065">
        <v>0</v>
      </c>
      <c r="R1065">
        <v>0</v>
      </c>
      <c r="S1065">
        <v>0</v>
      </c>
      <c r="T1065" t="str">
        <f>IF(mental_health[Sleep_Hours]&lt;5,"Low",IF(mental_health[Sleep_Hours]&lt;7,"Medium","Good"))</f>
        <v>Medium</v>
      </c>
      <c r="U1065" t="str">
        <f>IF(mental_health[Stress_Level]&lt;=3,"Low",IF(mental_health[Stress_Level]&lt;=7,"Medium","High"))</f>
        <v>Medium</v>
      </c>
      <c r="V1065" t="str">
        <f>IF(mental_health[Daily_Screen_Time]&lt;=4,"Low",IF(mental_health[Daily_Screen_Time]&lt;=8,"Medium","High"))</f>
        <v>Medium</v>
      </c>
    </row>
    <row r="1066" spans="1:22" x14ac:dyDescent="0.3">
      <c r="A1066">
        <v>1065</v>
      </c>
      <c r="B1066">
        <v>48</v>
      </c>
      <c r="C1066" t="s">
        <v>23</v>
      </c>
      <c r="D1066" t="s">
        <v>19</v>
      </c>
      <c r="E1066">
        <v>10</v>
      </c>
      <c r="F1066">
        <v>3.3</v>
      </c>
      <c r="G1066">
        <v>1</v>
      </c>
      <c r="H1066" t="str">
        <f t="shared" si="16"/>
        <v>Night Usage</v>
      </c>
      <c r="I1066">
        <v>5.2</v>
      </c>
      <c r="J1066" s="3">
        <v>7</v>
      </c>
      <c r="K1066">
        <v>4.9000000000000004</v>
      </c>
      <c r="L1066" t="s">
        <v>20</v>
      </c>
      <c r="M1066">
        <v>1</v>
      </c>
      <c r="N1066">
        <v>1</v>
      </c>
      <c r="O1066">
        <v>0</v>
      </c>
      <c r="P1066">
        <v>0</v>
      </c>
      <c r="Q1066">
        <v>1</v>
      </c>
      <c r="R1066">
        <v>1</v>
      </c>
      <c r="S1066">
        <v>1</v>
      </c>
      <c r="T1066" t="str">
        <f>IF(mental_health[Sleep_Hours]&lt;5,"Low",IF(mental_health[Sleep_Hours]&lt;7,"Medium","Good"))</f>
        <v>Medium</v>
      </c>
      <c r="U1066" t="str">
        <f>IF(mental_health[Stress_Level]&lt;=3,"Low",IF(mental_health[Stress_Level]&lt;=7,"Medium","High"))</f>
        <v>Medium</v>
      </c>
      <c r="V1066" t="str">
        <f>IF(mental_health[Daily_Screen_Time]&lt;=4,"Low",IF(mental_health[Daily_Screen_Time]&lt;=8,"Medium","High"))</f>
        <v>High</v>
      </c>
    </row>
    <row r="1067" spans="1:22" x14ac:dyDescent="0.3">
      <c r="A1067">
        <v>1066</v>
      </c>
      <c r="B1067">
        <v>55</v>
      </c>
      <c r="C1067" t="s">
        <v>23</v>
      </c>
      <c r="D1067" t="s">
        <v>24</v>
      </c>
      <c r="E1067">
        <v>3.8</v>
      </c>
      <c r="F1067">
        <v>4.3</v>
      </c>
      <c r="G1067">
        <v>1</v>
      </c>
      <c r="H1067" t="str">
        <f t="shared" si="16"/>
        <v>Night Usage</v>
      </c>
      <c r="I1067">
        <v>8.6</v>
      </c>
      <c r="J1067" s="3">
        <v>1</v>
      </c>
      <c r="K1067">
        <v>7.9</v>
      </c>
      <c r="L1067" t="s">
        <v>20</v>
      </c>
      <c r="M1067">
        <v>10</v>
      </c>
      <c r="N1067">
        <v>3</v>
      </c>
      <c r="O1067">
        <v>1</v>
      </c>
      <c r="P1067">
        <v>0</v>
      </c>
      <c r="Q1067">
        <v>1</v>
      </c>
      <c r="R1067">
        <v>0</v>
      </c>
      <c r="S1067">
        <v>0</v>
      </c>
      <c r="T1067" t="str">
        <f>IF(mental_health[Sleep_Hours]&lt;5,"Low",IF(mental_health[Sleep_Hours]&lt;7,"Medium","Good"))</f>
        <v>Good</v>
      </c>
      <c r="U1067" t="str">
        <f>IF(mental_health[Stress_Level]&lt;=3,"Low",IF(mental_health[Stress_Level]&lt;=7,"Medium","High"))</f>
        <v>Low</v>
      </c>
      <c r="V1067" t="str">
        <f>IF(mental_health[Daily_Screen_Time]&lt;=4,"Low",IF(mental_health[Daily_Screen_Time]&lt;=8,"Medium","High"))</f>
        <v>Low</v>
      </c>
    </row>
    <row r="1068" spans="1:22" x14ac:dyDescent="0.3">
      <c r="A1068">
        <v>1067</v>
      </c>
      <c r="B1068">
        <v>58</v>
      </c>
      <c r="C1068" t="s">
        <v>23</v>
      </c>
      <c r="D1068" t="s">
        <v>22</v>
      </c>
      <c r="E1068">
        <v>3.1</v>
      </c>
      <c r="F1068">
        <v>7.6</v>
      </c>
      <c r="G1068">
        <v>0</v>
      </c>
      <c r="H1068" t="str">
        <f t="shared" si="16"/>
        <v>No Night Usage</v>
      </c>
      <c r="I1068">
        <v>3.3</v>
      </c>
      <c r="J1068" s="3">
        <v>3</v>
      </c>
      <c r="K1068">
        <v>2.2999999999999998</v>
      </c>
      <c r="L1068" t="s">
        <v>25</v>
      </c>
      <c r="M1068">
        <v>6</v>
      </c>
      <c r="N1068">
        <v>2</v>
      </c>
      <c r="O1068">
        <v>1</v>
      </c>
      <c r="P1068">
        <v>0</v>
      </c>
      <c r="Q1068">
        <v>1</v>
      </c>
      <c r="R1068">
        <v>0</v>
      </c>
      <c r="S1068">
        <v>1</v>
      </c>
      <c r="T1068" t="str">
        <f>IF(mental_health[Sleep_Hours]&lt;5,"Low",IF(mental_health[Sleep_Hours]&lt;7,"Medium","Good"))</f>
        <v>Low</v>
      </c>
      <c r="U1068" t="str">
        <f>IF(mental_health[Stress_Level]&lt;=3,"Low",IF(mental_health[Stress_Level]&lt;=7,"Medium","High"))</f>
        <v>Low</v>
      </c>
      <c r="V1068" t="str">
        <f>IF(mental_health[Daily_Screen_Time]&lt;=4,"Low",IF(mental_health[Daily_Screen_Time]&lt;=8,"Medium","High"))</f>
        <v>Low</v>
      </c>
    </row>
    <row r="1069" spans="1:22" x14ac:dyDescent="0.3">
      <c r="A1069">
        <v>1068</v>
      </c>
      <c r="B1069">
        <v>27</v>
      </c>
      <c r="C1069" t="s">
        <v>18</v>
      </c>
      <c r="D1069" t="s">
        <v>19</v>
      </c>
      <c r="E1069">
        <v>10.8</v>
      </c>
      <c r="F1069">
        <v>7.5</v>
      </c>
      <c r="G1069">
        <v>1</v>
      </c>
      <c r="H1069" t="str">
        <f t="shared" si="16"/>
        <v>Night Usage</v>
      </c>
      <c r="I1069">
        <v>7</v>
      </c>
      <c r="J1069" s="3">
        <v>2</v>
      </c>
      <c r="K1069">
        <v>2.6</v>
      </c>
      <c r="L1069" t="s">
        <v>25</v>
      </c>
      <c r="M1069">
        <v>9</v>
      </c>
      <c r="N1069">
        <v>0</v>
      </c>
      <c r="O1069">
        <v>0</v>
      </c>
      <c r="P1069">
        <v>1</v>
      </c>
      <c r="Q1069">
        <v>1</v>
      </c>
      <c r="R1069">
        <v>0</v>
      </c>
      <c r="S1069">
        <v>1</v>
      </c>
      <c r="T1069" t="str">
        <f>IF(mental_health[Sleep_Hours]&lt;5,"Low",IF(mental_health[Sleep_Hours]&lt;7,"Medium","Good"))</f>
        <v>Good</v>
      </c>
      <c r="U1069" t="str">
        <f>IF(mental_health[Stress_Level]&lt;=3,"Low",IF(mental_health[Stress_Level]&lt;=7,"Medium","High"))</f>
        <v>Low</v>
      </c>
      <c r="V1069" t="str">
        <f>IF(mental_health[Daily_Screen_Time]&lt;=4,"Low",IF(mental_health[Daily_Screen_Time]&lt;=8,"Medium","High"))</f>
        <v>High</v>
      </c>
    </row>
    <row r="1070" spans="1:22" x14ac:dyDescent="0.3">
      <c r="A1070">
        <v>1069</v>
      </c>
      <c r="B1070">
        <v>59</v>
      </c>
      <c r="C1070" t="s">
        <v>18</v>
      </c>
      <c r="D1070" t="s">
        <v>19</v>
      </c>
      <c r="E1070">
        <v>5.4</v>
      </c>
      <c r="F1070">
        <v>2.4</v>
      </c>
      <c r="G1070">
        <v>0</v>
      </c>
      <c r="H1070" t="str">
        <f t="shared" si="16"/>
        <v>No Night Usage</v>
      </c>
      <c r="I1070">
        <v>8.3000000000000007</v>
      </c>
      <c r="J1070" s="3">
        <v>8</v>
      </c>
      <c r="K1070">
        <v>9.3000000000000007</v>
      </c>
      <c r="L1070" t="s">
        <v>21</v>
      </c>
      <c r="M1070">
        <v>7</v>
      </c>
      <c r="N1070">
        <v>2</v>
      </c>
      <c r="O1070">
        <v>1</v>
      </c>
      <c r="P1070">
        <v>1</v>
      </c>
      <c r="Q1070">
        <v>0</v>
      </c>
      <c r="R1070">
        <v>1</v>
      </c>
      <c r="S1070">
        <v>0</v>
      </c>
      <c r="T1070" t="str">
        <f>IF(mental_health[Sleep_Hours]&lt;5,"Low",IF(mental_health[Sleep_Hours]&lt;7,"Medium","Good"))</f>
        <v>Good</v>
      </c>
      <c r="U1070" t="str">
        <f>IF(mental_health[Stress_Level]&lt;=3,"Low",IF(mental_health[Stress_Level]&lt;=7,"Medium","High"))</f>
        <v>High</v>
      </c>
      <c r="V1070" t="str">
        <f>IF(mental_health[Daily_Screen_Time]&lt;=4,"Low",IF(mental_health[Daily_Screen_Time]&lt;=8,"Medium","High"))</f>
        <v>Medium</v>
      </c>
    </row>
    <row r="1071" spans="1:22" x14ac:dyDescent="0.3">
      <c r="A1071">
        <v>1070</v>
      </c>
      <c r="B1071">
        <v>51</v>
      </c>
      <c r="C1071" t="s">
        <v>18</v>
      </c>
      <c r="D1071" t="s">
        <v>24</v>
      </c>
      <c r="E1071">
        <v>8.8000000000000007</v>
      </c>
      <c r="F1071">
        <v>3.5</v>
      </c>
      <c r="G1071">
        <v>1</v>
      </c>
      <c r="H1071" t="str">
        <f t="shared" si="16"/>
        <v>Night Usage</v>
      </c>
      <c r="I1071">
        <v>7.8</v>
      </c>
      <c r="J1071" s="3">
        <v>9</v>
      </c>
      <c r="K1071">
        <v>5.2</v>
      </c>
      <c r="L1071" t="s">
        <v>25</v>
      </c>
      <c r="M1071">
        <v>9</v>
      </c>
      <c r="N1071">
        <v>4</v>
      </c>
      <c r="O1071">
        <v>1</v>
      </c>
      <c r="P1071">
        <v>1</v>
      </c>
      <c r="Q1071">
        <v>1</v>
      </c>
      <c r="R1071">
        <v>1</v>
      </c>
      <c r="S1071">
        <v>1</v>
      </c>
      <c r="T1071" t="str">
        <f>IF(mental_health[Sleep_Hours]&lt;5,"Low",IF(mental_health[Sleep_Hours]&lt;7,"Medium","Good"))</f>
        <v>Good</v>
      </c>
      <c r="U1071" t="str">
        <f>IF(mental_health[Stress_Level]&lt;=3,"Low",IF(mental_health[Stress_Level]&lt;=7,"Medium","High"))</f>
        <v>High</v>
      </c>
      <c r="V1071" t="str">
        <f>IF(mental_health[Daily_Screen_Time]&lt;=4,"Low",IF(mental_health[Daily_Screen_Time]&lt;=8,"Medium","High"))</f>
        <v>High</v>
      </c>
    </row>
    <row r="1072" spans="1:22" x14ac:dyDescent="0.3">
      <c r="A1072">
        <v>1071</v>
      </c>
      <c r="B1072">
        <v>19</v>
      </c>
      <c r="C1072" t="s">
        <v>23</v>
      </c>
      <c r="D1072" t="s">
        <v>22</v>
      </c>
      <c r="E1072">
        <v>2.2999999999999998</v>
      </c>
      <c r="F1072">
        <v>2</v>
      </c>
      <c r="G1072">
        <v>1</v>
      </c>
      <c r="H1072" t="str">
        <f t="shared" si="16"/>
        <v>Night Usage</v>
      </c>
      <c r="I1072">
        <v>4.0999999999999996</v>
      </c>
      <c r="J1072" s="3">
        <v>2</v>
      </c>
      <c r="K1072">
        <v>5.5</v>
      </c>
      <c r="L1072" t="s">
        <v>25</v>
      </c>
      <c r="M1072">
        <v>2</v>
      </c>
      <c r="N1072">
        <v>0</v>
      </c>
      <c r="O1072">
        <v>1</v>
      </c>
      <c r="P1072">
        <v>1</v>
      </c>
      <c r="Q1072">
        <v>1</v>
      </c>
      <c r="R1072">
        <v>0</v>
      </c>
      <c r="S1072">
        <v>0</v>
      </c>
      <c r="T1072" t="str">
        <f>IF(mental_health[Sleep_Hours]&lt;5,"Low",IF(mental_health[Sleep_Hours]&lt;7,"Medium","Good"))</f>
        <v>Low</v>
      </c>
      <c r="U1072" t="str">
        <f>IF(mental_health[Stress_Level]&lt;=3,"Low",IF(mental_health[Stress_Level]&lt;=7,"Medium","High"))</f>
        <v>Low</v>
      </c>
      <c r="V1072" t="str">
        <f>IF(mental_health[Daily_Screen_Time]&lt;=4,"Low",IF(mental_health[Daily_Screen_Time]&lt;=8,"Medium","High"))</f>
        <v>Low</v>
      </c>
    </row>
    <row r="1073" spans="1:22" x14ac:dyDescent="0.3">
      <c r="A1073">
        <v>1072</v>
      </c>
      <c r="B1073">
        <v>20</v>
      </c>
      <c r="C1073" t="s">
        <v>23</v>
      </c>
      <c r="D1073" t="s">
        <v>24</v>
      </c>
      <c r="E1073">
        <v>8.9</v>
      </c>
      <c r="F1073">
        <v>4.5999999999999996</v>
      </c>
      <c r="G1073">
        <v>0</v>
      </c>
      <c r="H1073" t="str">
        <f t="shared" si="16"/>
        <v>No Night Usage</v>
      </c>
      <c r="I1073">
        <v>4.8</v>
      </c>
      <c r="J1073" s="3">
        <v>2</v>
      </c>
      <c r="K1073">
        <v>4.0999999999999996</v>
      </c>
      <c r="L1073" t="s">
        <v>25</v>
      </c>
      <c r="M1073">
        <v>5</v>
      </c>
      <c r="N1073">
        <v>4</v>
      </c>
      <c r="O1073">
        <v>1</v>
      </c>
      <c r="P1073">
        <v>0</v>
      </c>
      <c r="Q1073">
        <v>0</v>
      </c>
      <c r="R1073">
        <v>1</v>
      </c>
      <c r="S1073">
        <v>0</v>
      </c>
      <c r="T1073" t="str">
        <f>IF(mental_health[Sleep_Hours]&lt;5,"Low",IF(mental_health[Sleep_Hours]&lt;7,"Medium","Good"))</f>
        <v>Low</v>
      </c>
      <c r="U1073" t="str">
        <f>IF(mental_health[Stress_Level]&lt;=3,"Low",IF(mental_health[Stress_Level]&lt;=7,"Medium","High"))</f>
        <v>Low</v>
      </c>
      <c r="V1073" t="str">
        <f>IF(mental_health[Daily_Screen_Time]&lt;=4,"Low",IF(mental_health[Daily_Screen_Time]&lt;=8,"Medium","High"))</f>
        <v>High</v>
      </c>
    </row>
    <row r="1074" spans="1:22" x14ac:dyDescent="0.3">
      <c r="A1074">
        <v>1073</v>
      </c>
      <c r="B1074">
        <v>52</v>
      </c>
      <c r="C1074" t="s">
        <v>18</v>
      </c>
      <c r="D1074" t="s">
        <v>19</v>
      </c>
      <c r="E1074">
        <v>5.2</v>
      </c>
      <c r="F1074">
        <v>4.2</v>
      </c>
      <c r="G1074">
        <v>1</v>
      </c>
      <c r="H1074" t="str">
        <f t="shared" si="16"/>
        <v>Night Usage</v>
      </c>
      <c r="I1074">
        <v>7.3</v>
      </c>
      <c r="J1074" s="3">
        <v>10</v>
      </c>
      <c r="K1074">
        <v>6.5</v>
      </c>
      <c r="L1074" t="s">
        <v>21</v>
      </c>
      <c r="M1074">
        <v>9</v>
      </c>
      <c r="N1074">
        <v>2</v>
      </c>
      <c r="O1074">
        <v>1</v>
      </c>
      <c r="P1074">
        <v>1</v>
      </c>
      <c r="Q1074">
        <v>0</v>
      </c>
      <c r="R1074">
        <v>0</v>
      </c>
      <c r="S1074">
        <v>1</v>
      </c>
      <c r="T1074" t="str">
        <f>IF(mental_health[Sleep_Hours]&lt;5,"Low",IF(mental_health[Sleep_Hours]&lt;7,"Medium","Good"))</f>
        <v>Good</v>
      </c>
      <c r="U1074" t="str">
        <f>IF(mental_health[Stress_Level]&lt;=3,"Low",IF(mental_health[Stress_Level]&lt;=7,"Medium","High"))</f>
        <v>High</v>
      </c>
      <c r="V1074" t="str">
        <f>IF(mental_health[Daily_Screen_Time]&lt;=4,"Low",IF(mental_health[Daily_Screen_Time]&lt;=8,"Medium","High"))</f>
        <v>Medium</v>
      </c>
    </row>
    <row r="1075" spans="1:22" x14ac:dyDescent="0.3">
      <c r="A1075">
        <v>1074</v>
      </c>
      <c r="B1075">
        <v>23</v>
      </c>
      <c r="C1075" t="s">
        <v>18</v>
      </c>
      <c r="D1075" t="s">
        <v>22</v>
      </c>
      <c r="E1075">
        <v>2.6</v>
      </c>
      <c r="F1075">
        <v>7.3</v>
      </c>
      <c r="G1075">
        <v>1</v>
      </c>
      <c r="H1075" t="str">
        <f t="shared" si="16"/>
        <v>Night Usage</v>
      </c>
      <c r="I1075">
        <v>3.5</v>
      </c>
      <c r="J1075" s="3">
        <v>9</v>
      </c>
      <c r="K1075">
        <v>2.5</v>
      </c>
      <c r="L1075" t="s">
        <v>20</v>
      </c>
      <c r="M1075">
        <v>7</v>
      </c>
      <c r="N1075">
        <v>3</v>
      </c>
      <c r="O1075">
        <v>1</v>
      </c>
      <c r="P1075">
        <v>1</v>
      </c>
      <c r="Q1075">
        <v>0</v>
      </c>
      <c r="R1075">
        <v>0</v>
      </c>
      <c r="S1075">
        <v>1</v>
      </c>
      <c r="T1075" t="str">
        <f>IF(mental_health[Sleep_Hours]&lt;5,"Low",IF(mental_health[Sleep_Hours]&lt;7,"Medium","Good"))</f>
        <v>Low</v>
      </c>
      <c r="U1075" t="str">
        <f>IF(mental_health[Stress_Level]&lt;=3,"Low",IF(mental_health[Stress_Level]&lt;=7,"Medium","High"))</f>
        <v>High</v>
      </c>
      <c r="V1075" t="str">
        <f>IF(mental_health[Daily_Screen_Time]&lt;=4,"Low",IF(mental_health[Daily_Screen_Time]&lt;=8,"Medium","High"))</f>
        <v>Low</v>
      </c>
    </row>
    <row r="1076" spans="1:22" x14ac:dyDescent="0.3">
      <c r="A1076">
        <v>1075</v>
      </c>
      <c r="B1076">
        <v>57</v>
      </c>
      <c r="C1076" t="s">
        <v>18</v>
      </c>
      <c r="D1076" t="s">
        <v>22</v>
      </c>
      <c r="E1076">
        <v>8.1</v>
      </c>
      <c r="F1076">
        <v>7.5</v>
      </c>
      <c r="G1076">
        <v>1</v>
      </c>
      <c r="H1076" t="str">
        <f t="shared" si="16"/>
        <v>Night Usage</v>
      </c>
      <c r="I1076">
        <v>7.9</v>
      </c>
      <c r="J1076" s="3">
        <v>4</v>
      </c>
      <c r="K1076">
        <v>5</v>
      </c>
      <c r="L1076" t="s">
        <v>25</v>
      </c>
      <c r="M1076">
        <v>9</v>
      </c>
      <c r="N1076">
        <v>3</v>
      </c>
      <c r="O1076">
        <v>1</v>
      </c>
      <c r="P1076">
        <v>1</v>
      </c>
      <c r="Q1076">
        <v>0</v>
      </c>
      <c r="R1076">
        <v>1</v>
      </c>
      <c r="S1076">
        <v>0</v>
      </c>
      <c r="T1076" t="str">
        <f>IF(mental_health[Sleep_Hours]&lt;5,"Low",IF(mental_health[Sleep_Hours]&lt;7,"Medium","Good"))</f>
        <v>Good</v>
      </c>
      <c r="U1076" t="str">
        <f>IF(mental_health[Stress_Level]&lt;=3,"Low",IF(mental_health[Stress_Level]&lt;=7,"Medium","High"))</f>
        <v>Medium</v>
      </c>
      <c r="V1076" t="str">
        <f>IF(mental_health[Daily_Screen_Time]&lt;=4,"Low",IF(mental_health[Daily_Screen_Time]&lt;=8,"Medium","High"))</f>
        <v>High</v>
      </c>
    </row>
    <row r="1077" spans="1:22" x14ac:dyDescent="0.3">
      <c r="A1077">
        <v>1076</v>
      </c>
      <c r="B1077">
        <v>43</v>
      </c>
      <c r="C1077" t="s">
        <v>23</v>
      </c>
      <c r="D1077" t="s">
        <v>19</v>
      </c>
      <c r="E1077">
        <v>4.4000000000000004</v>
      </c>
      <c r="F1077">
        <v>3.7</v>
      </c>
      <c r="G1077">
        <v>0</v>
      </c>
      <c r="H1077" t="str">
        <f t="shared" si="16"/>
        <v>No Night Usage</v>
      </c>
      <c r="I1077">
        <v>7.3</v>
      </c>
      <c r="J1077" s="3">
        <v>5</v>
      </c>
      <c r="K1077">
        <v>7.3</v>
      </c>
      <c r="L1077" t="s">
        <v>25</v>
      </c>
      <c r="M1077">
        <v>6</v>
      </c>
      <c r="N1077">
        <v>3</v>
      </c>
      <c r="O1077">
        <v>1</v>
      </c>
      <c r="P1077">
        <v>0</v>
      </c>
      <c r="Q1077">
        <v>0</v>
      </c>
      <c r="R1077">
        <v>1</v>
      </c>
      <c r="S1077">
        <v>1</v>
      </c>
      <c r="T1077" t="str">
        <f>IF(mental_health[Sleep_Hours]&lt;5,"Low",IF(mental_health[Sleep_Hours]&lt;7,"Medium","Good"))</f>
        <v>Good</v>
      </c>
      <c r="U1077" t="str">
        <f>IF(mental_health[Stress_Level]&lt;=3,"Low",IF(mental_health[Stress_Level]&lt;=7,"Medium","High"))</f>
        <v>Medium</v>
      </c>
      <c r="V1077" t="str">
        <f>IF(mental_health[Daily_Screen_Time]&lt;=4,"Low",IF(mental_health[Daily_Screen_Time]&lt;=8,"Medium","High"))</f>
        <v>Medium</v>
      </c>
    </row>
    <row r="1078" spans="1:22" x14ac:dyDescent="0.3">
      <c r="A1078">
        <v>1077</v>
      </c>
      <c r="B1078">
        <v>46</v>
      </c>
      <c r="C1078" t="s">
        <v>18</v>
      </c>
      <c r="D1078" t="s">
        <v>22</v>
      </c>
      <c r="E1078">
        <v>5.9</v>
      </c>
      <c r="F1078">
        <v>4.4000000000000004</v>
      </c>
      <c r="G1078">
        <v>0</v>
      </c>
      <c r="H1078" t="str">
        <f t="shared" si="16"/>
        <v>No Night Usage</v>
      </c>
      <c r="I1078">
        <v>7.4</v>
      </c>
      <c r="J1078" s="3">
        <v>9</v>
      </c>
      <c r="K1078">
        <v>6.7</v>
      </c>
      <c r="L1078" t="s">
        <v>21</v>
      </c>
      <c r="M1078">
        <v>7</v>
      </c>
      <c r="N1078">
        <v>4</v>
      </c>
      <c r="O1078">
        <v>0</v>
      </c>
      <c r="P1078">
        <v>0</v>
      </c>
      <c r="Q1078">
        <v>1</v>
      </c>
      <c r="R1078">
        <v>1</v>
      </c>
      <c r="S1078">
        <v>0</v>
      </c>
      <c r="T1078" t="str">
        <f>IF(mental_health[Sleep_Hours]&lt;5,"Low",IF(mental_health[Sleep_Hours]&lt;7,"Medium","Good"))</f>
        <v>Good</v>
      </c>
      <c r="U1078" t="str">
        <f>IF(mental_health[Stress_Level]&lt;=3,"Low",IF(mental_health[Stress_Level]&lt;=7,"Medium","High"))</f>
        <v>High</v>
      </c>
      <c r="V1078" t="str">
        <f>IF(mental_health[Daily_Screen_Time]&lt;=4,"Low",IF(mental_health[Daily_Screen_Time]&lt;=8,"Medium","High"))</f>
        <v>Medium</v>
      </c>
    </row>
    <row r="1079" spans="1:22" x14ac:dyDescent="0.3">
      <c r="A1079">
        <v>1078</v>
      </c>
      <c r="B1079">
        <v>24</v>
      </c>
      <c r="C1079" t="s">
        <v>18</v>
      </c>
      <c r="D1079" t="s">
        <v>22</v>
      </c>
      <c r="E1079">
        <v>2.8</v>
      </c>
      <c r="F1079">
        <v>7.3</v>
      </c>
      <c r="G1079">
        <v>0</v>
      </c>
      <c r="H1079" t="str">
        <f t="shared" si="16"/>
        <v>No Night Usage</v>
      </c>
      <c r="I1079">
        <v>3.6</v>
      </c>
      <c r="J1079" s="3">
        <v>6</v>
      </c>
      <c r="K1079">
        <v>12</v>
      </c>
      <c r="L1079" t="s">
        <v>21</v>
      </c>
      <c r="M1079">
        <v>10</v>
      </c>
      <c r="N1079">
        <v>3</v>
      </c>
      <c r="O1079">
        <v>0</v>
      </c>
      <c r="P1079">
        <v>1</v>
      </c>
      <c r="Q1079">
        <v>0</v>
      </c>
      <c r="R1079">
        <v>1</v>
      </c>
      <c r="S1079">
        <v>0</v>
      </c>
      <c r="T1079" t="str">
        <f>IF(mental_health[Sleep_Hours]&lt;5,"Low",IF(mental_health[Sleep_Hours]&lt;7,"Medium","Good"))</f>
        <v>Low</v>
      </c>
      <c r="U1079" t="str">
        <f>IF(mental_health[Stress_Level]&lt;=3,"Low",IF(mental_health[Stress_Level]&lt;=7,"Medium","High"))</f>
        <v>Medium</v>
      </c>
      <c r="V1079" t="str">
        <f>IF(mental_health[Daily_Screen_Time]&lt;=4,"Low",IF(mental_health[Daily_Screen_Time]&lt;=8,"Medium","High"))</f>
        <v>Low</v>
      </c>
    </row>
    <row r="1080" spans="1:22" x14ac:dyDescent="0.3">
      <c r="A1080">
        <v>1079</v>
      </c>
      <c r="B1080">
        <v>44</v>
      </c>
      <c r="C1080" t="s">
        <v>23</v>
      </c>
      <c r="D1080" t="s">
        <v>24</v>
      </c>
      <c r="E1080">
        <v>3.5</v>
      </c>
      <c r="F1080">
        <v>6.6</v>
      </c>
      <c r="G1080">
        <v>0</v>
      </c>
      <c r="H1080" t="str">
        <f t="shared" si="16"/>
        <v>No Night Usage</v>
      </c>
      <c r="I1080">
        <v>7.3</v>
      </c>
      <c r="J1080" s="3">
        <v>10</v>
      </c>
      <c r="K1080">
        <v>5.9</v>
      </c>
      <c r="L1080" t="s">
        <v>21</v>
      </c>
      <c r="M1080">
        <v>5</v>
      </c>
      <c r="N1080">
        <v>1</v>
      </c>
      <c r="O1080">
        <v>1</v>
      </c>
      <c r="P1080">
        <v>1</v>
      </c>
      <c r="Q1080">
        <v>0</v>
      </c>
      <c r="R1080">
        <v>1</v>
      </c>
      <c r="S1080">
        <v>0</v>
      </c>
      <c r="T1080" t="str">
        <f>IF(mental_health[Sleep_Hours]&lt;5,"Low",IF(mental_health[Sleep_Hours]&lt;7,"Medium","Good"))</f>
        <v>Good</v>
      </c>
      <c r="U1080" t="str">
        <f>IF(mental_health[Stress_Level]&lt;=3,"Low",IF(mental_health[Stress_Level]&lt;=7,"Medium","High"))</f>
        <v>High</v>
      </c>
      <c r="V1080" t="str">
        <f>IF(mental_health[Daily_Screen_Time]&lt;=4,"Low",IF(mental_health[Daily_Screen_Time]&lt;=8,"Medium","High"))</f>
        <v>Low</v>
      </c>
    </row>
    <row r="1081" spans="1:22" x14ac:dyDescent="0.3">
      <c r="A1081">
        <v>1080</v>
      </c>
      <c r="B1081">
        <v>29</v>
      </c>
      <c r="C1081" t="s">
        <v>23</v>
      </c>
      <c r="D1081" t="s">
        <v>19</v>
      </c>
      <c r="E1081">
        <v>5</v>
      </c>
      <c r="F1081">
        <v>1</v>
      </c>
      <c r="G1081">
        <v>0</v>
      </c>
      <c r="H1081" t="str">
        <f t="shared" si="16"/>
        <v>No Night Usage</v>
      </c>
      <c r="I1081">
        <v>7.1</v>
      </c>
      <c r="J1081" s="3">
        <v>9</v>
      </c>
      <c r="K1081">
        <v>5.9</v>
      </c>
      <c r="L1081" t="s">
        <v>20</v>
      </c>
      <c r="M1081">
        <v>6</v>
      </c>
      <c r="N1081">
        <v>0</v>
      </c>
      <c r="O1081">
        <v>1</v>
      </c>
      <c r="P1081">
        <v>1</v>
      </c>
      <c r="Q1081">
        <v>1</v>
      </c>
      <c r="R1081">
        <v>0</v>
      </c>
      <c r="S1081">
        <v>0</v>
      </c>
      <c r="T1081" t="str">
        <f>IF(mental_health[Sleep_Hours]&lt;5,"Low",IF(mental_health[Sleep_Hours]&lt;7,"Medium","Good"))</f>
        <v>Good</v>
      </c>
      <c r="U1081" t="str">
        <f>IF(mental_health[Stress_Level]&lt;=3,"Low",IF(mental_health[Stress_Level]&lt;=7,"Medium","High"))</f>
        <v>High</v>
      </c>
      <c r="V1081" t="str">
        <f>IF(mental_health[Daily_Screen_Time]&lt;=4,"Low",IF(mental_health[Daily_Screen_Time]&lt;=8,"Medium","High"))</f>
        <v>Medium</v>
      </c>
    </row>
    <row r="1082" spans="1:22" x14ac:dyDescent="0.3">
      <c r="A1082">
        <v>1081</v>
      </c>
      <c r="B1082">
        <v>55</v>
      </c>
      <c r="C1082" t="s">
        <v>23</v>
      </c>
      <c r="D1082" t="s">
        <v>19</v>
      </c>
      <c r="E1082">
        <v>2.9</v>
      </c>
      <c r="F1082">
        <v>3.2</v>
      </c>
      <c r="G1082">
        <v>1</v>
      </c>
      <c r="H1082" t="str">
        <f t="shared" si="16"/>
        <v>Night Usage</v>
      </c>
      <c r="I1082">
        <v>8</v>
      </c>
      <c r="J1082" s="3">
        <v>9</v>
      </c>
      <c r="K1082">
        <v>7</v>
      </c>
      <c r="L1082" t="s">
        <v>21</v>
      </c>
      <c r="M1082">
        <v>1</v>
      </c>
      <c r="N1082">
        <v>0</v>
      </c>
      <c r="O1082">
        <v>0</v>
      </c>
      <c r="P1082">
        <v>1</v>
      </c>
      <c r="Q1082">
        <v>1</v>
      </c>
      <c r="R1082">
        <v>0</v>
      </c>
      <c r="S1082">
        <v>0</v>
      </c>
      <c r="T1082" t="str">
        <f>IF(mental_health[Sleep_Hours]&lt;5,"Low",IF(mental_health[Sleep_Hours]&lt;7,"Medium","Good"))</f>
        <v>Good</v>
      </c>
      <c r="U1082" t="str">
        <f>IF(mental_health[Stress_Level]&lt;=3,"Low",IF(mental_health[Stress_Level]&lt;=7,"Medium","High"))</f>
        <v>High</v>
      </c>
      <c r="V1082" t="str">
        <f>IF(mental_health[Daily_Screen_Time]&lt;=4,"Low",IF(mental_health[Daily_Screen_Time]&lt;=8,"Medium","High"))</f>
        <v>Low</v>
      </c>
    </row>
    <row r="1083" spans="1:22" x14ac:dyDescent="0.3">
      <c r="A1083">
        <v>1082</v>
      </c>
      <c r="B1083">
        <v>56</v>
      </c>
      <c r="C1083" t="s">
        <v>18</v>
      </c>
      <c r="D1083" t="s">
        <v>19</v>
      </c>
      <c r="E1083">
        <v>11.1</v>
      </c>
      <c r="F1083">
        <v>4</v>
      </c>
      <c r="G1083">
        <v>0</v>
      </c>
      <c r="H1083" t="str">
        <f t="shared" si="16"/>
        <v>No Night Usage</v>
      </c>
      <c r="I1083">
        <v>3.2</v>
      </c>
      <c r="J1083" s="3">
        <v>7</v>
      </c>
      <c r="K1083">
        <v>3.9</v>
      </c>
      <c r="L1083" t="s">
        <v>20</v>
      </c>
      <c r="M1083">
        <v>1</v>
      </c>
      <c r="N1083">
        <v>2</v>
      </c>
      <c r="O1083">
        <v>0</v>
      </c>
      <c r="P1083">
        <v>0</v>
      </c>
      <c r="Q1083">
        <v>1</v>
      </c>
      <c r="R1083">
        <v>0</v>
      </c>
      <c r="S1083">
        <v>0</v>
      </c>
      <c r="T1083" t="str">
        <f>IF(mental_health[Sleep_Hours]&lt;5,"Low",IF(mental_health[Sleep_Hours]&lt;7,"Medium","Good"))</f>
        <v>Low</v>
      </c>
      <c r="U1083" t="str">
        <f>IF(mental_health[Stress_Level]&lt;=3,"Low",IF(mental_health[Stress_Level]&lt;=7,"Medium","High"))</f>
        <v>Medium</v>
      </c>
      <c r="V1083" t="str">
        <f>IF(mental_health[Daily_Screen_Time]&lt;=4,"Low",IF(mental_health[Daily_Screen_Time]&lt;=8,"Medium","High"))</f>
        <v>High</v>
      </c>
    </row>
    <row r="1084" spans="1:22" x14ac:dyDescent="0.3">
      <c r="A1084">
        <v>1083</v>
      </c>
      <c r="B1084">
        <v>37</v>
      </c>
      <c r="C1084" t="s">
        <v>23</v>
      </c>
      <c r="D1084" t="s">
        <v>19</v>
      </c>
      <c r="E1084">
        <v>2.1</v>
      </c>
      <c r="F1084">
        <v>2.6</v>
      </c>
      <c r="G1084">
        <v>0</v>
      </c>
      <c r="H1084" t="str">
        <f t="shared" si="16"/>
        <v>No Night Usage</v>
      </c>
      <c r="I1084">
        <v>3.1</v>
      </c>
      <c r="J1084" s="3">
        <v>10</v>
      </c>
      <c r="K1084">
        <v>10.8</v>
      </c>
      <c r="L1084" t="s">
        <v>25</v>
      </c>
      <c r="M1084">
        <v>2</v>
      </c>
      <c r="N1084">
        <v>4</v>
      </c>
      <c r="O1084">
        <v>1</v>
      </c>
      <c r="P1084">
        <v>1</v>
      </c>
      <c r="Q1084">
        <v>0</v>
      </c>
      <c r="R1084">
        <v>1</v>
      </c>
      <c r="S1084">
        <v>1</v>
      </c>
      <c r="T1084" t="str">
        <f>IF(mental_health[Sleep_Hours]&lt;5,"Low",IF(mental_health[Sleep_Hours]&lt;7,"Medium","Good"))</f>
        <v>Low</v>
      </c>
      <c r="U1084" t="str">
        <f>IF(mental_health[Stress_Level]&lt;=3,"Low",IF(mental_health[Stress_Level]&lt;=7,"Medium","High"))</f>
        <v>High</v>
      </c>
      <c r="V1084" t="str">
        <f>IF(mental_health[Daily_Screen_Time]&lt;=4,"Low",IF(mental_health[Daily_Screen_Time]&lt;=8,"Medium","High"))</f>
        <v>Low</v>
      </c>
    </row>
    <row r="1085" spans="1:22" x14ac:dyDescent="0.3">
      <c r="A1085">
        <v>1084</v>
      </c>
      <c r="B1085">
        <v>26</v>
      </c>
      <c r="C1085" t="s">
        <v>23</v>
      </c>
      <c r="D1085" t="s">
        <v>19</v>
      </c>
      <c r="E1085">
        <v>6.8</v>
      </c>
      <c r="F1085">
        <v>2.4</v>
      </c>
      <c r="G1085">
        <v>0</v>
      </c>
      <c r="H1085" t="str">
        <f t="shared" si="16"/>
        <v>No Night Usage</v>
      </c>
      <c r="I1085">
        <v>5.2</v>
      </c>
      <c r="J1085" s="3">
        <v>9</v>
      </c>
      <c r="K1085">
        <v>7.7</v>
      </c>
      <c r="L1085" t="s">
        <v>25</v>
      </c>
      <c r="M1085">
        <v>4</v>
      </c>
      <c r="N1085">
        <v>0</v>
      </c>
      <c r="O1085">
        <v>0</v>
      </c>
      <c r="P1085">
        <v>1</v>
      </c>
      <c r="Q1085">
        <v>0</v>
      </c>
      <c r="R1085">
        <v>1</v>
      </c>
      <c r="S1085">
        <v>0</v>
      </c>
      <c r="T1085" t="str">
        <f>IF(mental_health[Sleep_Hours]&lt;5,"Low",IF(mental_health[Sleep_Hours]&lt;7,"Medium","Good"))</f>
        <v>Medium</v>
      </c>
      <c r="U1085" t="str">
        <f>IF(mental_health[Stress_Level]&lt;=3,"Low",IF(mental_health[Stress_Level]&lt;=7,"Medium","High"))</f>
        <v>High</v>
      </c>
      <c r="V1085" t="str">
        <f>IF(mental_health[Daily_Screen_Time]&lt;=4,"Low",IF(mental_health[Daily_Screen_Time]&lt;=8,"Medium","High"))</f>
        <v>Medium</v>
      </c>
    </row>
    <row r="1086" spans="1:22" x14ac:dyDescent="0.3">
      <c r="A1086">
        <v>1085</v>
      </c>
      <c r="B1086">
        <v>38</v>
      </c>
      <c r="C1086" t="s">
        <v>18</v>
      </c>
      <c r="D1086" t="s">
        <v>22</v>
      </c>
      <c r="E1086">
        <v>3.2</v>
      </c>
      <c r="F1086">
        <v>1.3</v>
      </c>
      <c r="G1086">
        <v>1</v>
      </c>
      <c r="H1086" t="str">
        <f t="shared" si="16"/>
        <v>Night Usage</v>
      </c>
      <c r="I1086">
        <v>3.9</v>
      </c>
      <c r="J1086" s="3">
        <v>5</v>
      </c>
      <c r="K1086">
        <v>3.9</v>
      </c>
      <c r="L1086" t="s">
        <v>25</v>
      </c>
      <c r="M1086">
        <v>9</v>
      </c>
      <c r="N1086">
        <v>4</v>
      </c>
      <c r="O1086">
        <v>1</v>
      </c>
      <c r="P1086">
        <v>0</v>
      </c>
      <c r="Q1086">
        <v>0</v>
      </c>
      <c r="R1086">
        <v>0</v>
      </c>
      <c r="S1086">
        <v>1</v>
      </c>
      <c r="T1086" t="str">
        <f>IF(mental_health[Sleep_Hours]&lt;5,"Low",IF(mental_health[Sleep_Hours]&lt;7,"Medium","Good"))</f>
        <v>Low</v>
      </c>
      <c r="U1086" t="str">
        <f>IF(mental_health[Stress_Level]&lt;=3,"Low",IF(mental_health[Stress_Level]&lt;=7,"Medium","High"))</f>
        <v>Medium</v>
      </c>
      <c r="V1086" t="str">
        <f>IF(mental_health[Daily_Screen_Time]&lt;=4,"Low",IF(mental_health[Daily_Screen_Time]&lt;=8,"Medium","High"))</f>
        <v>Low</v>
      </c>
    </row>
    <row r="1087" spans="1:22" x14ac:dyDescent="0.3">
      <c r="A1087">
        <v>1086</v>
      </c>
      <c r="B1087">
        <v>16</v>
      </c>
      <c r="C1087" t="s">
        <v>23</v>
      </c>
      <c r="D1087" t="s">
        <v>24</v>
      </c>
      <c r="E1087">
        <v>5.0999999999999996</v>
      </c>
      <c r="F1087">
        <v>5.5</v>
      </c>
      <c r="G1087">
        <v>1</v>
      </c>
      <c r="H1087" t="str">
        <f t="shared" si="16"/>
        <v>Night Usage</v>
      </c>
      <c r="I1087">
        <v>6.4</v>
      </c>
      <c r="J1087" s="3">
        <v>5</v>
      </c>
      <c r="K1087">
        <v>9.9</v>
      </c>
      <c r="L1087" t="s">
        <v>21</v>
      </c>
      <c r="M1087">
        <v>7</v>
      </c>
      <c r="N1087">
        <v>2</v>
      </c>
      <c r="O1087">
        <v>0</v>
      </c>
      <c r="P1087">
        <v>1</v>
      </c>
      <c r="Q1087">
        <v>1</v>
      </c>
      <c r="R1087">
        <v>1</v>
      </c>
      <c r="S1087">
        <v>1</v>
      </c>
      <c r="T1087" t="str">
        <f>IF(mental_health[Sleep_Hours]&lt;5,"Low",IF(mental_health[Sleep_Hours]&lt;7,"Medium","Good"))</f>
        <v>Medium</v>
      </c>
      <c r="U1087" t="str">
        <f>IF(mental_health[Stress_Level]&lt;=3,"Low",IF(mental_health[Stress_Level]&lt;=7,"Medium","High"))</f>
        <v>Medium</v>
      </c>
      <c r="V1087" t="str">
        <f>IF(mental_health[Daily_Screen_Time]&lt;=4,"Low",IF(mental_health[Daily_Screen_Time]&lt;=8,"Medium","High"))</f>
        <v>Medium</v>
      </c>
    </row>
    <row r="1088" spans="1:22" x14ac:dyDescent="0.3">
      <c r="A1088">
        <v>1087</v>
      </c>
      <c r="B1088">
        <v>52</v>
      </c>
      <c r="C1088" t="s">
        <v>18</v>
      </c>
      <c r="D1088" t="s">
        <v>19</v>
      </c>
      <c r="E1088">
        <v>11.3</v>
      </c>
      <c r="F1088">
        <v>2.8</v>
      </c>
      <c r="G1088">
        <v>0</v>
      </c>
      <c r="H1088" t="str">
        <f t="shared" si="16"/>
        <v>No Night Usage</v>
      </c>
      <c r="I1088">
        <v>8.5</v>
      </c>
      <c r="J1088" s="3">
        <v>8</v>
      </c>
      <c r="K1088">
        <v>2.2999999999999998</v>
      </c>
      <c r="L1088" t="s">
        <v>25</v>
      </c>
      <c r="M1088">
        <v>6</v>
      </c>
      <c r="N1088">
        <v>3</v>
      </c>
      <c r="O1088">
        <v>1</v>
      </c>
      <c r="P1088">
        <v>1</v>
      </c>
      <c r="Q1088">
        <v>1</v>
      </c>
      <c r="R1088">
        <v>1</v>
      </c>
      <c r="S1088">
        <v>0</v>
      </c>
      <c r="T1088" t="str">
        <f>IF(mental_health[Sleep_Hours]&lt;5,"Low",IF(mental_health[Sleep_Hours]&lt;7,"Medium","Good"))</f>
        <v>Good</v>
      </c>
      <c r="U1088" t="str">
        <f>IF(mental_health[Stress_Level]&lt;=3,"Low",IF(mental_health[Stress_Level]&lt;=7,"Medium","High"))</f>
        <v>High</v>
      </c>
      <c r="V1088" t="str">
        <f>IF(mental_health[Daily_Screen_Time]&lt;=4,"Low",IF(mental_health[Daily_Screen_Time]&lt;=8,"Medium","High"))</f>
        <v>High</v>
      </c>
    </row>
    <row r="1089" spans="1:22" x14ac:dyDescent="0.3">
      <c r="A1089">
        <v>1088</v>
      </c>
      <c r="B1089">
        <v>36</v>
      </c>
      <c r="C1089" t="s">
        <v>18</v>
      </c>
      <c r="D1089" t="s">
        <v>24</v>
      </c>
      <c r="E1089">
        <v>3.6</v>
      </c>
      <c r="F1089">
        <v>1.4</v>
      </c>
      <c r="G1089">
        <v>1</v>
      </c>
      <c r="H1089" t="str">
        <f t="shared" si="16"/>
        <v>Night Usage</v>
      </c>
      <c r="I1089">
        <v>5.3</v>
      </c>
      <c r="J1089" s="3">
        <v>10</v>
      </c>
      <c r="K1089">
        <v>11.8</v>
      </c>
      <c r="L1089" t="s">
        <v>21</v>
      </c>
      <c r="M1089">
        <v>1</v>
      </c>
      <c r="N1089">
        <v>2</v>
      </c>
      <c r="O1089">
        <v>0</v>
      </c>
      <c r="P1089">
        <v>1</v>
      </c>
      <c r="Q1089">
        <v>0</v>
      </c>
      <c r="R1089">
        <v>1</v>
      </c>
      <c r="S1089">
        <v>0</v>
      </c>
      <c r="T1089" t="str">
        <f>IF(mental_health[Sleep_Hours]&lt;5,"Low",IF(mental_health[Sleep_Hours]&lt;7,"Medium","Good"))</f>
        <v>Medium</v>
      </c>
      <c r="U1089" t="str">
        <f>IF(mental_health[Stress_Level]&lt;=3,"Low",IF(mental_health[Stress_Level]&lt;=7,"Medium","High"))</f>
        <v>High</v>
      </c>
      <c r="V1089" t="str">
        <f>IF(mental_health[Daily_Screen_Time]&lt;=4,"Low",IF(mental_health[Daily_Screen_Time]&lt;=8,"Medium","High"))</f>
        <v>Low</v>
      </c>
    </row>
    <row r="1090" spans="1:22" x14ac:dyDescent="0.3">
      <c r="A1090">
        <v>1089</v>
      </c>
      <c r="B1090">
        <v>41</v>
      </c>
      <c r="C1090" t="s">
        <v>23</v>
      </c>
      <c r="D1090" t="s">
        <v>24</v>
      </c>
      <c r="E1090">
        <v>11.7</v>
      </c>
      <c r="F1090">
        <v>2.6</v>
      </c>
      <c r="G1090">
        <v>1</v>
      </c>
      <c r="H1090" t="str">
        <f t="shared" ref="H1090:H1153" si="17">IF(G1090=1,"Night Usage","No Night Usage")</f>
        <v>Night Usage</v>
      </c>
      <c r="I1090">
        <v>8.1</v>
      </c>
      <c r="J1090" s="3">
        <v>4</v>
      </c>
      <c r="K1090">
        <v>10.7</v>
      </c>
      <c r="L1090" t="s">
        <v>20</v>
      </c>
      <c r="M1090">
        <v>5</v>
      </c>
      <c r="N1090">
        <v>1</v>
      </c>
      <c r="O1090">
        <v>1</v>
      </c>
      <c r="P1090">
        <v>0</v>
      </c>
      <c r="Q1090">
        <v>1</v>
      </c>
      <c r="R1090">
        <v>0</v>
      </c>
      <c r="S1090">
        <v>0</v>
      </c>
      <c r="T1090" t="str">
        <f>IF(mental_health[Sleep_Hours]&lt;5,"Low",IF(mental_health[Sleep_Hours]&lt;7,"Medium","Good"))</f>
        <v>Good</v>
      </c>
      <c r="U1090" t="str">
        <f>IF(mental_health[Stress_Level]&lt;=3,"Low",IF(mental_health[Stress_Level]&lt;=7,"Medium","High"))</f>
        <v>Medium</v>
      </c>
      <c r="V1090" t="str">
        <f>IF(mental_health[Daily_Screen_Time]&lt;=4,"Low",IF(mental_health[Daily_Screen_Time]&lt;=8,"Medium","High"))</f>
        <v>High</v>
      </c>
    </row>
    <row r="1091" spans="1:22" x14ac:dyDescent="0.3">
      <c r="A1091">
        <v>1090</v>
      </c>
      <c r="B1091">
        <v>51</v>
      </c>
      <c r="C1091" t="s">
        <v>23</v>
      </c>
      <c r="D1091" t="s">
        <v>22</v>
      </c>
      <c r="E1091">
        <v>4.0999999999999996</v>
      </c>
      <c r="F1091">
        <v>6.6</v>
      </c>
      <c r="G1091">
        <v>1</v>
      </c>
      <c r="H1091" t="str">
        <f t="shared" si="17"/>
        <v>Night Usage</v>
      </c>
      <c r="I1091">
        <v>3</v>
      </c>
      <c r="J1091" s="3">
        <v>9</v>
      </c>
      <c r="K1091">
        <v>7.8</v>
      </c>
      <c r="L1091" t="s">
        <v>25</v>
      </c>
      <c r="M1091">
        <v>4</v>
      </c>
      <c r="N1091">
        <v>3</v>
      </c>
      <c r="O1091">
        <v>0</v>
      </c>
      <c r="P1091">
        <v>0</v>
      </c>
      <c r="Q1091">
        <v>1</v>
      </c>
      <c r="R1091">
        <v>0</v>
      </c>
      <c r="S1091">
        <v>1</v>
      </c>
      <c r="T1091" t="str">
        <f>IF(mental_health[Sleep_Hours]&lt;5,"Low",IF(mental_health[Sleep_Hours]&lt;7,"Medium","Good"))</f>
        <v>Low</v>
      </c>
      <c r="U1091" t="str">
        <f>IF(mental_health[Stress_Level]&lt;=3,"Low",IF(mental_health[Stress_Level]&lt;=7,"Medium","High"))</f>
        <v>High</v>
      </c>
      <c r="V1091" t="str">
        <f>IF(mental_health[Daily_Screen_Time]&lt;=4,"Low",IF(mental_health[Daily_Screen_Time]&lt;=8,"Medium","High"))</f>
        <v>Medium</v>
      </c>
    </row>
    <row r="1092" spans="1:22" x14ac:dyDescent="0.3">
      <c r="A1092">
        <v>1091</v>
      </c>
      <c r="B1092">
        <v>38</v>
      </c>
      <c r="C1092" t="s">
        <v>23</v>
      </c>
      <c r="D1092" t="s">
        <v>19</v>
      </c>
      <c r="E1092">
        <v>9.4</v>
      </c>
      <c r="F1092">
        <v>7</v>
      </c>
      <c r="G1092">
        <v>1</v>
      </c>
      <c r="H1092" t="str">
        <f t="shared" si="17"/>
        <v>Night Usage</v>
      </c>
      <c r="I1092">
        <v>4</v>
      </c>
      <c r="J1092" s="3">
        <v>7</v>
      </c>
      <c r="K1092">
        <v>3.1</v>
      </c>
      <c r="L1092" t="s">
        <v>20</v>
      </c>
      <c r="M1092">
        <v>5</v>
      </c>
      <c r="N1092">
        <v>3</v>
      </c>
      <c r="O1092">
        <v>0</v>
      </c>
      <c r="P1092">
        <v>1</v>
      </c>
      <c r="Q1092">
        <v>1</v>
      </c>
      <c r="R1092">
        <v>0</v>
      </c>
      <c r="S1092">
        <v>1</v>
      </c>
      <c r="T1092" t="str">
        <f>IF(mental_health[Sleep_Hours]&lt;5,"Low",IF(mental_health[Sleep_Hours]&lt;7,"Medium","Good"))</f>
        <v>Low</v>
      </c>
      <c r="U1092" t="str">
        <f>IF(mental_health[Stress_Level]&lt;=3,"Low",IF(mental_health[Stress_Level]&lt;=7,"Medium","High"))</f>
        <v>Medium</v>
      </c>
      <c r="V1092" t="str">
        <f>IF(mental_health[Daily_Screen_Time]&lt;=4,"Low",IF(mental_health[Daily_Screen_Time]&lt;=8,"Medium","High"))</f>
        <v>High</v>
      </c>
    </row>
    <row r="1093" spans="1:22" x14ac:dyDescent="0.3">
      <c r="A1093">
        <v>1092</v>
      </c>
      <c r="B1093">
        <v>16</v>
      </c>
      <c r="C1093" t="s">
        <v>23</v>
      </c>
      <c r="D1093" t="s">
        <v>22</v>
      </c>
      <c r="E1093">
        <v>7.5</v>
      </c>
      <c r="F1093">
        <v>4.4000000000000004</v>
      </c>
      <c r="G1093">
        <v>0</v>
      </c>
      <c r="H1093" t="str">
        <f t="shared" si="17"/>
        <v>No Night Usage</v>
      </c>
      <c r="I1093">
        <v>3.2</v>
      </c>
      <c r="J1093" s="3">
        <v>7</v>
      </c>
      <c r="K1093">
        <v>4.2</v>
      </c>
      <c r="L1093" t="s">
        <v>21</v>
      </c>
      <c r="M1093">
        <v>9</v>
      </c>
      <c r="N1093">
        <v>3</v>
      </c>
      <c r="O1093">
        <v>1</v>
      </c>
      <c r="P1093">
        <v>1</v>
      </c>
      <c r="Q1093">
        <v>1</v>
      </c>
      <c r="R1093">
        <v>1</v>
      </c>
      <c r="S1093">
        <v>1</v>
      </c>
      <c r="T1093" t="str">
        <f>IF(mental_health[Sleep_Hours]&lt;5,"Low",IF(mental_health[Sleep_Hours]&lt;7,"Medium","Good"))</f>
        <v>Low</v>
      </c>
      <c r="U1093" t="str">
        <f>IF(mental_health[Stress_Level]&lt;=3,"Low",IF(mental_health[Stress_Level]&lt;=7,"Medium","High"))</f>
        <v>Medium</v>
      </c>
      <c r="V1093" t="str">
        <f>IF(mental_health[Daily_Screen_Time]&lt;=4,"Low",IF(mental_health[Daily_Screen_Time]&lt;=8,"Medium","High"))</f>
        <v>Medium</v>
      </c>
    </row>
    <row r="1094" spans="1:22" x14ac:dyDescent="0.3">
      <c r="A1094">
        <v>1093</v>
      </c>
      <c r="B1094">
        <v>55</v>
      </c>
      <c r="C1094" t="s">
        <v>23</v>
      </c>
      <c r="D1094" t="s">
        <v>19</v>
      </c>
      <c r="E1094">
        <v>10.8</v>
      </c>
      <c r="F1094">
        <v>3.9</v>
      </c>
      <c r="G1094">
        <v>0</v>
      </c>
      <c r="H1094" t="str">
        <f t="shared" si="17"/>
        <v>No Night Usage</v>
      </c>
      <c r="I1094">
        <v>5</v>
      </c>
      <c r="J1094" s="3">
        <v>3</v>
      </c>
      <c r="K1094">
        <v>4.8</v>
      </c>
      <c r="L1094" t="s">
        <v>21</v>
      </c>
      <c r="M1094">
        <v>3</v>
      </c>
      <c r="N1094">
        <v>2</v>
      </c>
      <c r="O1094">
        <v>1</v>
      </c>
      <c r="P1094">
        <v>0</v>
      </c>
      <c r="Q1094">
        <v>1</v>
      </c>
      <c r="R1094">
        <v>0</v>
      </c>
      <c r="S1094">
        <v>0</v>
      </c>
      <c r="T1094" t="str">
        <f>IF(mental_health[Sleep_Hours]&lt;5,"Low",IF(mental_health[Sleep_Hours]&lt;7,"Medium","Good"))</f>
        <v>Medium</v>
      </c>
      <c r="U1094" t="str">
        <f>IF(mental_health[Stress_Level]&lt;=3,"Low",IF(mental_health[Stress_Level]&lt;=7,"Medium","High"))</f>
        <v>Low</v>
      </c>
      <c r="V1094" t="str">
        <f>IF(mental_health[Daily_Screen_Time]&lt;=4,"Low",IF(mental_health[Daily_Screen_Time]&lt;=8,"Medium","High"))</f>
        <v>High</v>
      </c>
    </row>
    <row r="1095" spans="1:22" x14ac:dyDescent="0.3">
      <c r="A1095">
        <v>1094</v>
      </c>
      <c r="B1095">
        <v>30</v>
      </c>
      <c r="C1095" t="s">
        <v>23</v>
      </c>
      <c r="D1095" t="s">
        <v>22</v>
      </c>
      <c r="E1095">
        <v>7.5</v>
      </c>
      <c r="F1095">
        <v>7.8</v>
      </c>
      <c r="G1095">
        <v>1</v>
      </c>
      <c r="H1095" t="str">
        <f t="shared" si="17"/>
        <v>Night Usage</v>
      </c>
      <c r="I1095">
        <v>8.4</v>
      </c>
      <c r="J1095" s="3">
        <v>4</v>
      </c>
      <c r="K1095">
        <v>4.4000000000000004</v>
      </c>
      <c r="L1095" t="s">
        <v>25</v>
      </c>
      <c r="M1095">
        <v>4</v>
      </c>
      <c r="N1095">
        <v>1</v>
      </c>
      <c r="O1095">
        <v>0</v>
      </c>
      <c r="P1095">
        <v>0</v>
      </c>
      <c r="Q1095">
        <v>0</v>
      </c>
      <c r="R1095">
        <v>0</v>
      </c>
      <c r="S1095">
        <v>0</v>
      </c>
      <c r="T1095" t="str">
        <f>IF(mental_health[Sleep_Hours]&lt;5,"Low",IF(mental_health[Sleep_Hours]&lt;7,"Medium","Good"))</f>
        <v>Good</v>
      </c>
      <c r="U1095" t="str">
        <f>IF(mental_health[Stress_Level]&lt;=3,"Low",IF(mental_health[Stress_Level]&lt;=7,"Medium","High"))</f>
        <v>Medium</v>
      </c>
      <c r="V1095" t="str">
        <f>IF(mental_health[Daily_Screen_Time]&lt;=4,"Low",IF(mental_health[Daily_Screen_Time]&lt;=8,"Medium","High"))</f>
        <v>Medium</v>
      </c>
    </row>
    <row r="1096" spans="1:22" x14ac:dyDescent="0.3">
      <c r="A1096">
        <v>1095</v>
      </c>
      <c r="B1096">
        <v>36</v>
      </c>
      <c r="C1096" t="s">
        <v>18</v>
      </c>
      <c r="D1096" t="s">
        <v>24</v>
      </c>
      <c r="E1096">
        <v>7.3</v>
      </c>
      <c r="F1096">
        <v>2.4</v>
      </c>
      <c r="G1096">
        <v>1</v>
      </c>
      <c r="H1096" t="str">
        <f t="shared" si="17"/>
        <v>Night Usage</v>
      </c>
      <c r="I1096">
        <v>3.6</v>
      </c>
      <c r="J1096" s="3">
        <v>7</v>
      </c>
      <c r="K1096">
        <v>7</v>
      </c>
      <c r="L1096" t="s">
        <v>25</v>
      </c>
      <c r="M1096">
        <v>8</v>
      </c>
      <c r="N1096">
        <v>4</v>
      </c>
      <c r="O1096">
        <v>0</v>
      </c>
      <c r="P1096">
        <v>0</v>
      </c>
      <c r="Q1096">
        <v>1</v>
      </c>
      <c r="R1096">
        <v>1</v>
      </c>
      <c r="S1096">
        <v>1</v>
      </c>
      <c r="T1096" t="str">
        <f>IF(mental_health[Sleep_Hours]&lt;5,"Low",IF(mental_health[Sleep_Hours]&lt;7,"Medium","Good"))</f>
        <v>Low</v>
      </c>
      <c r="U1096" t="str">
        <f>IF(mental_health[Stress_Level]&lt;=3,"Low",IF(mental_health[Stress_Level]&lt;=7,"Medium","High"))</f>
        <v>Medium</v>
      </c>
      <c r="V1096" t="str">
        <f>IF(mental_health[Daily_Screen_Time]&lt;=4,"Low",IF(mental_health[Daily_Screen_Time]&lt;=8,"Medium","High"))</f>
        <v>Medium</v>
      </c>
    </row>
    <row r="1097" spans="1:22" x14ac:dyDescent="0.3">
      <c r="A1097">
        <v>1096</v>
      </c>
      <c r="B1097">
        <v>24</v>
      </c>
      <c r="C1097" t="s">
        <v>18</v>
      </c>
      <c r="D1097" t="s">
        <v>19</v>
      </c>
      <c r="E1097">
        <v>4</v>
      </c>
      <c r="F1097">
        <v>2.5</v>
      </c>
      <c r="G1097">
        <v>1</v>
      </c>
      <c r="H1097" t="str">
        <f t="shared" si="17"/>
        <v>Night Usage</v>
      </c>
      <c r="I1097">
        <v>6.6</v>
      </c>
      <c r="J1097" s="3">
        <v>5</v>
      </c>
      <c r="K1097">
        <v>11.4</v>
      </c>
      <c r="L1097" t="s">
        <v>21</v>
      </c>
      <c r="M1097">
        <v>3</v>
      </c>
      <c r="N1097">
        <v>2</v>
      </c>
      <c r="O1097">
        <v>1</v>
      </c>
      <c r="P1097">
        <v>1</v>
      </c>
      <c r="Q1097">
        <v>0</v>
      </c>
      <c r="R1097">
        <v>0</v>
      </c>
      <c r="S1097">
        <v>1</v>
      </c>
      <c r="T1097" t="str">
        <f>IF(mental_health[Sleep_Hours]&lt;5,"Low",IF(mental_health[Sleep_Hours]&lt;7,"Medium","Good"))</f>
        <v>Medium</v>
      </c>
      <c r="U1097" t="str">
        <f>IF(mental_health[Stress_Level]&lt;=3,"Low",IF(mental_health[Stress_Level]&lt;=7,"Medium","High"))</f>
        <v>Medium</v>
      </c>
      <c r="V1097" t="str">
        <f>IF(mental_health[Daily_Screen_Time]&lt;=4,"Low",IF(mental_health[Daily_Screen_Time]&lt;=8,"Medium","High"))</f>
        <v>Low</v>
      </c>
    </row>
    <row r="1098" spans="1:22" x14ac:dyDescent="0.3">
      <c r="A1098">
        <v>1097</v>
      </c>
      <c r="B1098">
        <v>24</v>
      </c>
      <c r="C1098" t="s">
        <v>23</v>
      </c>
      <c r="D1098" t="s">
        <v>24</v>
      </c>
      <c r="E1098">
        <v>3.7</v>
      </c>
      <c r="F1098">
        <v>3</v>
      </c>
      <c r="G1098">
        <v>1</v>
      </c>
      <c r="H1098" t="str">
        <f t="shared" si="17"/>
        <v>Night Usage</v>
      </c>
      <c r="I1098">
        <v>5.7</v>
      </c>
      <c r="J1098" s="3">
        <v>3</v>
      </c>
      <c r="K1098">
        <v>6.4</v>
      </c>
      <c r="L1098" t="s">
        <v>25</v>
      </c>
      <c r="M1098">
        <v>3</v>
      </c>
      <c r="N1098">
        <v>0</v>
      </c>
      <c r="O1098">
        <v>0</v>
      </c>
      <c r="P1098">
        <v>0</v>
      </c>
      <c r="Q1098">
        <v>0</v>
      </c>
      <c r="R1098">
        <v>0</v>
      </c>
      <c r="S1098">
        <v>0</v>
      </c>
      <c r="T1098" t="str">
        <f>IF(mental_health[Sleep_Hours]&lt;5,"Low",IF(mental_health[Sleep_Hours]&lt;7,"Medium","Good"))</f>
        <v>Medium</v>
      </c>
      <c r="U1098" t="str">
        <f>IF(mental_health[Stress_Level]&lt;=3,"Low",IF(mental_health[Stress_Level]&lt;=7,"Medium","High"))</f>
        <v>Low</v>
      </c>
      <c r="V1098" t="str">
        <f>IF(mental_health[Daily_Screen_Time]&lt;=4,"Low",IF(mental_health[Daily_Screen_Time]&lt;=8,"Medium","High"))</f>
        <v>Low</v>
      </c>
    </row>
    <row r="1099" spans="1:22" x14ac:dyDescent="0.3">
      <c r="A1099">
        <v>1098</v>
      </c>
      <c r="B1099">
        <v>25</v>
      </c>
      <c r="C1099" t="s">
        <v>18</v>
      </c>
      <c r="D1099" t="s">
        <v>24</v>
      </c>
      <c r="E1099">
        <v>11.2</v>
      </c>
      <c r="F1099">
        <v>2.2000000000000002</v>
      </c>
      <c r="G1099">
        <v>0</v>
      </c>
      <c r="H1099" t="str">
        <f t="shared" si="17"/>
        <v>No Night Usage</v>
      </c>
      <c r="I1099">
        <v>8.6</v>
      </c>
      <c r="J1099" s="3">
        <v>1</v>
      </c>
      <c r="K1099">
        <v>8.6</v>
      </c>
      <c r="L1099" t="s">
        <v>25</v>
      </c>
      <c r="M1099">
        <v>9</v>
      </c>
      <c r="N1099">
        <v>0</v>
      </c>
      <c r="O1099">
        <v>0</v>
      </c>
      <c r="P1099">
        <v>0</v>
      </c>
      <c r="Q1099">
        <v>0</v>
      </c>
      <c r="R1099">
        <v>0</v>
      </c>
      <c r="S1099">
        <v>0</v>
      </c>
      <c r="T1099" t="str">
        <f>IF(mental_health[Sleep_Hours]&lt;5,"Low",IF(mental_health[Sleep_Hours]&lt;7,"Medium","Good"))</f>
        <v>Good</v>
      </c>
      <c r="U1099" t="str">
        <f>IF(mental_health[Stress_Level]&lt;=3,"Low",IF(mental_health[Stress_Level]&lt;=7,"Medium","High"))</f>
        <v>Low</v>
      </c>
      <c r="V1099" t="str">
        <f>IF(mental_health[Daily_Screen_Time]&lt;=4,"Low",IF(mental_health[Daily_Screen_Time]&lt;=8,"Medium","High"))</f>
        <v>High</v>
      </c>
    </row>
    <row r="1100" spans="1:22" x14ac:dyDescent="0.3">
      <c r="A1100">
        <v>1099</v>
      </c>
      <c r="B1100">
        <v>41</v>
      </c>
      <c r="C1100" t="s">
        <v>23</v>
      </c>
      <c r="D1100" t="s">
        <v>22</v>
      </c>
      <c r="E1100">
        <v>5.3</v>
      </c>
      <c r="F1100">
        <v>3.7</v>
      </c>
      <c r="G1100">
        <v>1</v>
      </c>
      <c r="H1100" t="str">
        <f t="shared" si="17"/>
        <v>Night Usage</v>
      </c>
      <c r="I1100">
        <v>3.7</v>
      </c>
      <c r="J1100" s="3">
        <v>7</v>
      </c>
      <c r="K1100">
        <v>8.9</v>
      </c>
      <c r="L1100" t="s">
        <v>20</v>
      </c>
      <c r="M1100">
        <v>5</v>
      </c>
      <c r="N1100">
        <v>2</v>
      </c>
      <c r="O1100">
        <v>0</v>
      </c>
      <c r="P1100">
        <v>0</v>
      </c>
      <c r="Q1100">
        <v>1</v>
      </c>
      <c r="R1100">
        <v>0</v>
      </c>
      <c r="S1100">
        <v>1</v>
      </c>
      <c r="T1100" t="str">
        <f>IF(mental_health[Sleep_Hours]&lt;5,"Low",IF(mental_health[Sleep_Hours]&lt;7,"Medium","Good"))</f>
        <v>Low</v>
      </c>
      <c r="U1100" t="str">
        <f>IF(mental_health[Stress_Level]&lt;=3,"Low",IF(mental_health[Stress_Level]&lt;=7,"Medium","High"))</f>
        <v>Medium</v>
      </c>
      <c r="V1100" t="str">
        <f>IF(mental_health[Daily_Screen_Time]&lt;=4,"Low",IF(mental_health[Daily_Screen_Time]&lt;=8,"Medium","High"))</f>
        <v>Medium</v>
      </c>
    </row>
    <row r="1101" spans="1:22" x14ac:dyDescent="0.3">
      <c r="A1101">
        <v>1100</v>
      </c>
      <c r="B1101">
        <v>56</v>
      </c>
      <c r="C1101" t="s">
        <v>18</v>
      </c>
      <c r="D1101" t="s">
        <v>19</v>
      </c>
      <c r="E1101">
        <v>5.7</v>
      </c>
      <c r="F1101">
        <v>7.4</v>
      </c>
      <c r="G1101">
        <v>0</v>
      </c>
      <c r="H1101" t="str">
        <f t="shared" si="17"/>
        <v>No Night Usage</v>
      </c>
      <c r="I1101">
        <v>4.3</v>
      </c>
      <c r="J1101" s="3">
        <v>6</v>
      </c>
      <c r="K1101">
        <v>10.7</v>
      </c>
      <c r="L1101" t="s">
        <v>21</v>
      </c>
      <c r="M1101">
        <v>10</v>
      </c>
      <c r="N1101">
        <v>4</v>
      </c>
      <c r="O1101">
        <v>0</v>
      </c>
      <c r="P1101">
        <v>1</v>
      </c>
      <c r="Q1101">
        <v>1</v>
      </c>
      <c r="R1101">
        <v>1</v>
      </c>
      <c r="S1101">
        <v>1</v>
      </c>
      <c r="T1101" t="str">
        <f>IF(mental_health[Sleep_Hours]&lt;5,"Low",IF(mental_health[Sleep_Hours]&lt;7,"Medium","Good"))</f>
        <v>Low</v>
      </c>
      <c r="U1101" t="str">
        <f>IF(mental_health[Stress_Level]&lt;=3,"Low",IF(mental_health[Stress_Level]&lt;=7,"Medium","High"))</f>
        <v>Medium</v>
      </c>
      <c r="V1101" t="str">
        <f>IF(mental_health[Daily_Screen_Time]&lt;=4,"Low",IF(mental_health[Daily_Screen_Time]&lt;=8,"Medium","High"))</f>
        <v>Medium</v>
      </c>
    </row>
    <row r="1102" spans="1:22" x14ac:dyDescent="0.3">
      <c r="A1102">
        <v>1101</v>
      </c>
      <c r="B1102">
        <v>50</v>
      </c>
      <c r="C1102" t="s">
        <v>18</v>
      </c>
      <c r="D1102" t="s">
        <v>24</v>
      </c>
      <c r="E1102">
        <v>9.6</v>
      </c>
      <c r="F1102">
        <v>5.3</v>
      </c>
      <c r="G1102">
        <v>1</v>
      </c>
      <c r="H1102" t="str">
        <f t="shared" si="17"/>
        <v>Night Usage</v>
      </c>
      <c r="I1102">
        <v>3.2</v>
      </c>
      <c r="J1102" s="3">
        <v>10</v>
      </c>
      <c r="K1102">
        <v>2.2999999999999998</v>
      </c>
      <c r="L1102" t="s">
        <v>20</v>
      </c>
      <c r="M1102">
        <v>1</v>
      </c>
      <c r="N1102">
        <v>0</v>
      </c>
      <c r="O1102">
        <v>0</v>
      </c>
      <c r="P1102">
        <v>0</v>
      </c>
      <c r="Q1102">
        <v>0</v>
      </c>
      <c r="R1102">
        <v>1</v>
      </c>
      <c r="S1102">
        <v>0</v>
      </c>
      <c r="T1102" t="str">
        <f>IF(mental_health[Sleep_Hours]&lt;5,"Low",IF(mental_health[Sleep_Hours]&lt;7,"Medium","Good"))</f>
        <v>Low</v>
      </c>
      <c r="U1102" t="str">
        <f>IF(mental_health[Stress_Level]&lt;=3,"Low",IF(mental_health[Stress_Level]&lt;=7,"Medium","High"))</f>
        <v>High</v>
      </c>
      <c r="V1102" t="str">
        <f>IF(mental_health[Daily_Screen_Time]&lt;=4,"Low",IF(mental_health[Daily_Screen_Time]&lt;=8,"Medium","High"))</f>
        <v>High</v>
      </c>
    </row>
    <row r="1103" spans="1:22" x14ac:dyDescent="0.3">
      <c r="A1103">
        <v>1102</v>
      </c>
      <c r="B1103">
        <v>40</v>
      </c>
      <c r="C1103" t="s">
        <v>18</v>
      </c>
      <c r="D1103" t="s">
        <v>22</v>
      </c>
      <c r="E1103">
        <v>5.4</v>
      </c>
      <c r="F1103">
        <v>3.9</v>
      </c>
      <c r="G1103">
        <v>0</v>
      </c>
      <c r="H1103" t="str">
        <f t="shared" si="17"/>
        <v>No Night Usage</v>
      </c>
      <c r="I1103">
        <v>5.6</v>
      </c>
      <c r="J1103" s="3">
        <v>7</v>
      </c>
      <c r="K1103">
        <v>6</v>
      </c>
      <c r="L1103" t="s">
        <v>25</v>
      </c>
      <c r="M1103">
        <v>7</v>
      </c>
      <c r="N1103">
        <v>4</v>
      </c>
      <c r="O1103">
        <v>1</v>
      </c>
      <c r="P1103">
        <v>1</v>
      </c>
      <c r="Q1103">
        <v>1</v>
      </c>
      <c r="R1103">
        <v>1</v>
      </c>
      <c r="S1103">
        <v>1</v>
      </c>
      <c r="T1103" t="str">
        <f>IF(mental_health[Sleep_Hours]&lt;5,"Low",IF(mental_health[Sleep_Hours]&lt;7,"Medium","Good"))</f>
        <v>Medium</v>
      </c>
      <c r="U1103" t="str">
        <f>IF(mental_health[Stress_Level]&lt;=3,"Low",IF(mental_health[Stress_Level]&lt;=7,"Medium","High"))</f>
        <v>Medium</v>
      </c>
      <c r="V1103" t="str">
        <f>IF(mental_health[Daily_Screen_Time]&lt;=4,"Low",IF(mental_health[Daily_Screen_Time]&lt;=8,"Medium","High"))</f>
        <v>Medium</v>
      </c>
    </row>
    <row r="1104" spans="1:22" x14ac:dyDescent="0.3">
      <c r="A1104">
        <v>1103</v>
      </c>
      <c r="B1104">
        <v>41</v>
      </c>
      <c r="C1104" t="s">
        <v>23</v>
      </c>
      <c r="D1104" t="s">
        <v>19</v>
      </c>
      <c r="E1104">
        <v>11.5</v>
      </c>
      <c r="F1104">
        <v>7.5</v>
      </c>
      <c r="G1104">
        <v>1</v>
      </c>
      <c r="H1104" t="str">
        <f t="shared" si="17"/>
        <v>Night Usage</v>
      </c>
      <c r="I1104">
        <v>4.7</v>
      </c>
      <c r="J1104" s="3">
        <v>2</v>
      </c>
      <c r="K1104">
        <v>9.8000000000000007</v>
      </c>
      <c r="L1104" t="s">
        <v>20</v>
      </c>
      <c r="M1104">
        <v>7</v>
      </c>
      <c r="N1104">
        <v>3</v>
      </c>
      <c r="O1104">
        <v>0</v>
      </c>
      <c r="P1104">
        <v>1</v>
      </c>
      <c r="Q1104">
        <v>0</v>
      </c>
      <c r="R1104">
        <v>0</v>
      </c>
      <c r="S1104">
        <v>1</v>
      </c>
      <c r="T1104" t="str">
        <f>IF(mental_health[Sleep_Hours]&lt;5,"Low",IF(mental_health[Sleep_Hours]&lt;7,"Medium","Good"))</f>
        <v>Low</v>
      </c>
      <c r="U1104" t="str">
        <f>IF(mental_health[Stress_Level]&lt;=3,"Low",IF(mental_health[Stress_Level]&lt;=7,"Medium","High"))</f>
        <v>Low</v>
      </c>
      <c r="V1104" t="str">
        <f>IF(mental_health[Daily_Screen_Time]&lt;=4,"Low",IF(mental_health[Daily_Screen_Time]&lt;=8,"Medium","High"))</f>
        <v>High</v>
      </c>
    </row>
    <row r="1105" spans="1:22" x14ac:dyDescent="0.3">
      <c r="A1105">
        <v>1104</v>
      </c>
      <c r="B1105">
        <v>26</v>
      </c>
      <c r="C1105" t="s">
        <v>18</v>
      </c>
      <c r="D1105" t="s">
        <v>19</v>
      </c>
      <c r="E1105">
        <v>9.4</v>
      </c>
      <c r="F1105">
        <v>1.3</v>
      </c>
      <c r="G1105">
        <v>0</v>
      </c>
      <c r="H1105" t="str">
        <f t="shared" si="17"/>
        <v>No Night Usage</v>
      </c>
      <c r="I1105">
        <v>8.1999999999999993</v>
      </c>
      <c r="J1105" s="3">
        <v>4</v>
      </c>
      <c r="K1105">
        <v>10.1</v>
      </c>
      <c r="L1105" t="s">
        <v>21</v>
      </c>
      <c r="M1105">
        <v>6</v>
      </c>
      <c r="N1105">
        <v>2</v>
      </c>
      <c r="O1105">
        <v>0</v>
      </c>
      <c r="P1105">
        <v>1</v>
      </c>
      <c r="Q1105">
        <v>1</v>
      </c>
      <c r="R1105">
        <v>0</v>
      </c>
      <c r="S1105">
        <v>1</v>
      </c>
      <c r="T1105" t="str">
        <f>IF(mental_health[Sleep_Hours]&lt;5,"Low",IF(mental_health[Sleep_Hours]&lt;7,"Medium","Good"))</f>
        <v>Good</v>
      </c>
      <c r="U1105" t="str">
        <f>IF(mental_health[Stress_Level]&lt;=3,"Low",IF(mental_health[Stress_Level]&lt;=7,"Medium","High"))</f>
        <v>Medium</v>
      </c>
      <c r="V1105" t="str">
        <f>IF(mental_health[Daily_Screen_Time]&lt;=4,"Low",IF(mental_health[Daily_Screen_Time]&lt;=8,"Medium","High"))</f>
        <v>High</v>
      </c>
    </row>
    <row r="1106" spans="1:22" x14ac:dyDescent="0.3">
      <c r="A1106">
        <v>1105</v>
      </c>
      <c r="B1106">
        <v>53</v>
      </c>
      <c r="C1106" t="s">
        <v>23</v>
      </c>
      <c r="D1106" t="s">
        <v>24</v>
      </c>
      <c r="E1106">
        <v>8</v>
      </c>
      <c r="F1106">
        <v>2.5</v>
      </c>
      <c r="G1106">
        <v>0</v>
      </c>
      <c r="H1106" t="str">
        <f t="shared" si="17"/>
        <v>No Night Usage</v>
      </c>
      <c r="I1106">
        <v>6.6</v>
      </c>
      <c r="J1106" s="3">
        <v>2</v>
      </c>
      <c r="K1106">
        <v>11.3</v>
      </c>
      <c r="L1106" t="s">
        <v>20</v>
      </c>
      <c r="M1106">
        <v>6</v>
      </c>
      <c r="N1106">
        <v>3</v>
      </c>
      <c r="O1106">
        <v>1</v>
      </c>
      <c r="P1106">
        <v>1</v>
      </c>
      <c r="Q1106">
        <v>1</v>
      </c>
      <c r="R1106">
        <v>0</v>
      </c>
      <c r="S1106">
        <v>0</v>
      </c>
      <c r="T1106" t="str">
        <f>IF(mental_health[Sleep_Hours]&lt;5,"Low",IF(mental_health[Sleep_Hours]&lt;7,"Medium","Good"))</f>
        <v>Medium</v>
      </c>
      <c r="U1106" t="str">
        <f>IF(mental_health[Stress_Level]&lt;=3,"Low",IF(mental_health[Stress_Level]&lt;=7,"Medium","High"))</f>
        <v>Low</v>
      </c>
      <c r="V1106" t="str">
        <f>IF(mental_health[Daily_Screen_Time]&lt;=4,"Low",IF(mental_health[Daily_Screen_Time]&lt;=8,"Medium","High"))</f>
        <v>Medium</v>
      </c>
    </row>
    <row r="1107" spans="1:22" x14ac:dyDescent="0.3">
      <c r="A1107">
        <v>1106</v>
      </c>
      <c r="B1107">
        <v>17</v>
      </c>
      <c r="C1107" t="s">
        <v>18</v>
      </c>
      <c r="D1107" t="s">
        <v>19</v>
      </c>
      <c r="E1107">
        <v>10.8</v>
      </c>
      <c r="F1107">
        <v>5</v>
      </c>
      <c r="G1107">
        <v>0</v>
      </c>
      <c r="H1107" t="str">
        <f t="shared" si="17"/>
        <v>No Night Usage</v>
      </c>
      <c r="I1107">
        <v>6.7</v>
      </c>
      <c r="J1107" s="3">
        <v>8</v>
      </c>
      <c r="K1107">
        <v>9</v>
      </c>
      <c r="L1107" t="s">
        <v>20</v>
      </c>
      <c r="M1107">
        <v>3</v>
      </c>
      <c r="N1107">
        <v>0</v>
      </c>
      <c r="O1107">
        <v>1</v>
      </c>
      <c r="P1107">
        <v>0</v>
      </c>
      <c r="Q1107">
        <v>1</v>
      </c>
      <c r="R1107">
        <v>1</v>
      </c>
      <c r="S1107">
        <v>1</v>
      </c>
      <c r="T1107" t="str">
        <f>IF(mental_health[Sleep_Hours]&lt;5,"Low",IF(mental_health[Sleep_Hours]&lt;7,"Medium","Good"))</f>
        <v>Medium</v>
      </c>
      <c r="U1107" t="str">
        <f>IF(mental_health[Stress_Level]&lt;=3,"Low",IF(mental_health[Stress_Level]&lt;=7,"Medium","High"))</f>
        <v>High</v>
      </c>
      <c r="V1107" t="str">
        <f>IF(mental_health[Daily_Screen_Time]&lt;=4,"Low",IF(mental_health[Daily_Screen_Time]&lt;=8,"Medium","High"))</f>
        <v>High</v>
      </c>
    </row>
    <row r="1108" spans="1:22" x14ac:dyDescent="0.3">
      <c r="A1108">
        <v>1107</v>
      </c>
      <c r="B1108">
        <v>22</v>
      </c>
      <c r="C1108" t="s">
        <v>18</v>
      </c>
      <c r="D1108" t="s">
        <v>24</v>
      </c>
      <c r="E1108">
        <v>2.5</v>
      </c>
      <c r="F1108">
        <v>5.3</v>
      </c>
      <c r="G1108">
        <v>1</v>
      </c>
      <c r="H1108" t="str">
        <f t="shared" si="17"/>
        <v>Night Usage</v>
      </c>
      <c r="I1108">
        <v>6.2</v>
      </c>
      <c r="J1108" s="3">
        <v>7</v>
      </c>
      <c r="K1108">
        <v>4.5</v>
      </c>
      <c r="L1108" t="s">
        <v>25</v>
      </c>
      <c r="M1108">
        <v>3</v>
      </c>
      <c r="N1108">
        <v>4</v>
      </c>
      <c r="O1108">
        <v>1</v>
      </c>
      <c r="P1108">
        <v>1</v>
      </c>
      <c r="Q1108">
        <v>0</v>
      </c>
      <c r="R1108">
        <v>0</v>
      </c>
      <c r="S1108">
        <v>1</v>
      </c>
      <c r="T1108" t="str">
        <f>IF(mental_health[Sleep_Hours]&lt;5,"Low",IF(mental_health[Sleep_Hours]&lt;7,"Medium","Good"))</f>
        <v>Medium</v>
      </c>
      <c r="U1108" t="str">
        <f>IF(mental_health[Stress_Level]&lt;=3,"Low",IF(mental_health[Stress_Level]&lt;=7,"Medium","High"))</f>
        <v>Medium</v>
      </c>
      <c r="V1108" t="str">
        <f>IF(mental_health[Daily_Screen_Time]&lt;=4,"Low",IF(mental_health[Daily_Screen_Time]&lt;=8,"Medium","High"))</f>
        <v>Low</v>
      </c>
    </row>
    <row r="1109" spans="1:22" x14ac:dyDescent="0.3">
      <c r="A1109">
        <v>1108</v>
      </c>
      <c r="B1109">
        <v>33</v>
      </c>
      <c r="C1109" t="s">
        <v>18</v>
      </c>
      <c r="D1109" t="s">
        <v>19</v>
      </c>
      <c r="E1109">
        <v>4.5999999999999996</v>
      </c>
      <c r="F1109">
        <v>1.3</v>
      </c>
      <c r="G1109">
        <v>0</v>
      </c>
      <c r="H1109" t="str">
        <f t="shared" si="17"/>
        <v>No Night Usage</v>
      </c>
      <c r="I1109">
        <v>3.6</v>
      </c>
      <c r="J1109" s="3">
        <v>1</v>
      </c>
      <c r="K1109">
        <v>7.1</v>
      </c>
      <c r="L1109" t="s">
        <v>21</v>
      </c>
      <c r="M1109">
        <v>10</v>
      </c>
      <c r="N1109">
        <v>3</v>
      </c>
      <c r="O1109">
        <v>1</v>
      </c>
      <c r="P1109">
        <v>1</v>
      </c>
      <c r="Q1109">
        <v>0</v>
      </c>
      <c r="R1109">
        <v>0</v>
      </c>
      <c r="S1109">
        <v>0</v>
      </c>
      <c r="T1109" t="str">
        <f>IF(mental_health[Sleep_Hours]&lt;5,"Low",IF(mental_health[Sleep_Hours]&lt;7,"Medium","Good"))</f>
        <v>Low</v>
      </c>
      <c r="U1109" t="str">
        <f>IF(mental_health[Stress_Level]&lt;=3,"Low",IF(mental_health[Stress_Level]&lt;=7,"Medium","High"))</f>
        <v>Low</v>
      </c>
      <c r="V1109" t="str">
        <f>IF(mental_health[Daily_Screen_Time]&lt;=4,"Low",IF(mental_health[Daily_Screen_Time]&lt;=8,"Medium","High"))</f>
        <v>Medium</v>
      </c>
    </row>
    <row r="1110" spans="1:22" x14ac:dyDescent="0.3">
      <c r="A1110">
        <v>1109</v>
      </c>
      <c r="B1110">
        <v>42</v>
      </c>
      <c r="C1110" t="s">
        <v>18</v>
      </c>
      <c r="D1110" t="s">
        <v>22</v>
      </c>
      <c r="E1110">
        <v>6.7</v>
      </c>
      <c r="F1110">
        <v>3.8</v>
      </c>
      <c r="G1110">
        <v>1</v>
      </c>
      <c r="H1110" t="str">
        <f t="shared" si="17"/>
        <v>Night Usage</v>
      </c>
      <c r="I1110">
        <v>5.7</v>
      </c>
      <c r="J1110" s="3">
        <v>2</v>
      </c>
      <c r="K1110">
        <v>2.2999999999999998</v>
      </c>
      <c r="L1110" t="s">
        <v>25</v>
      </c>
      <c r="M1110">
        <v>9</v>
      </c>
      <c r="N1110">
        <v>0</v>
      </c>
      <c r="O1110">
        <v>1</v>
      </c>
      <c r="P1110">
        <v>1</v>
      </c>
      <c r="Q1110">
        <v>1</v>
      </c>
      <c r="R1110">
        <v>1</v>
      </c>
      <c r="S1110">
        <v>1</v>
      </c>
      <c r="T1110" t="str">
        <f>IF(mental_health[Sleep_Hours]&lt;5,"Low",IF(mental_health[Sleep_Hours]&lt;7,"Medium","Good"))</f>
        <v>Medium</v>
      </c>
      <c r="U1110" t="str">
        <f>IF(mental_health[Stress_Level]&lt;=3,"Low",IF(mental_health[Stress_Level]&lt;=7,"Medium","High"))</f>
        <v>Low</v>
      </c>
      <c r="V1110" t="str">
        <f>IF(mental_health[Daily_Screen_Time]&lt;=4,"Low",IF(mental_health[Daily_Screen_Time]&lt;=8,"Medium","High"))</f>
        <v>Medium</v>
      </c>
    </row>
    <row r="1111" spans="1:22" x14ac:dyDescent="0.3">
      <c r="A1111">
        <v>1110</v>
      </c>
      <c r="B1111">
        <v>49</v>
      </c>
      <c r="C1111" t="s">
        <v>18</v>
      </c>
      <c r="D1111" t="s">
        <v>24</v>
      </c>
      <c r="E1111">
        <v>4.3</v>
      </c>
      <c r="F1111">
        <v>5.5</v>
      </c>
      <c r="G1111">
        <v>0</v>
      </c>
      <c r="H1111" t="str">
        <f t="shared" si="17"/>
        <v>No Night Usage</v>
      </c>
      <c r="I1111">
        <v>9</v>
      </c>
      <c r="J1111" s="3">
        <v>2</v>
      </c>
      <c r="K1111">
        <v>8.5</v>
      </c>
      <c r="L1111" t="s">
        <v>25</v>
      </c>
      <c r="M1111">
        <v>1</v>
      </c>
      <c r="N1111">
        <v>1</v>
      </c>
      <c r="O1111">
        <v>0</v>
      </c>
      <c r="P1111">
        <v>0</v>
      </c>
      <c r="Q1111">
        <v>0</v>
      </c>
      <c r="R1111">
        <v>0</v>
      </c>
      <c r="S1111">
        <v>0</v>
      </c>
      <c r="T1111" t="str">
        <f>IF(mental_health[Sleep_Hours]&lt;5,"Low",IF(mental_health[Sleep_Hours]&lt;7,"Medium","Good"))</f>
        <v>Good</v>
      </c>
      <c r="U1111" t="str">
        <f>IF(mental_health[Stress_Level]&lt;=3,"Low",IF(mental_health[Stress_Level]&lt;=7,"Medium","High"))</f>
        <v>Low</v>
      </c>
      <c r="V1111" t="str">
        <f>IF(mental_health[Daily_Screen_Time]&lt;=4,"Low",IF(mental_health[Daily_Screen_Time]&lt;=8,"Medium","High"))</f>
        <v>Medium</v>
      </c>
    </row>
    <row r="1112" spans="1:22" x14ac:dyDescent="0.3">
      <c r="A1112">
        <v>1111</v>
      </c>
      <c r="B1112">
        <v>42</v>
      </c>
      <c r="C1112" t="s">
        <v>23</v>
      </c>
      <c r="D1112" t="s">
        <v>24</v>
      </c>
      <c r="E1112">
        <v>9.4</v>
      </c>
      <c r="F1112">
        <v>5.9</v>
      </c>
      <c r="G1112">
        <v>0</v>
      </c>
      <c r="H1112" t="str">
        <f t="shared" si="17"/>
        <v>No Night Usage</v>
      </c>
      <c r="I1112">
        <v>8</v>
      </c>
      <c r="J1112" s="3">
        <v>4</v>
      </c>
      <c r="K1112">
        <v>7.5</v>
      </c>
      <c r="L1112" t="s">
        <v>21</v>
      </c>
      <c r="M1112">
        <v>7</v>
      </c>
      <c r="N1112">
        <v>3</v>
      </c>
      <c r="O1112">
        <v>0</v>
      </c>
      <c r="P1112">
        <v>0</v>
      </c>
      <c r="Q1112">
        <v>0</v>
      </c>
      <c r="R1112">
        <v>1</v>
      </c>
      <c r="S1112">
        <v>0</v>
      </c>
      <c r="T1112" t="str">
        <f>IF(mental_health[Sleep_Hours]&lt;5,"Low",IF(mental_health[Sleep_Hours]&lt;7,"Medium","Good"))</f>
        <v>Good</v>
      </c>
      <c r="U1112" t="str">
        <f>IF(mental_health[Stress_Level]&lt;=3,"Low",IF(mental_health[Stress_Level]&lt;=7,"Medium","High"))</f>
        <v>Medium</v>
      </c>
      <c r="V1112" t="str">
        <f>IF(mental_health[Daily_Screen_Time]&lt;=4,"Low",IF(mental_health[Daily_Screen_Time]&lt;=8,"Medium","High"))</f>
        <v>High</v>
      </c>
    </row>
    <row r="1113" spans="1:22" x14ac:dyDescent="0.3">
      <c r="A1113">
        <v>1112</v>
      </c>
      <c r="B1113">
        <v>32</v>
      </c>
      <c r="C1113" t="s">
        <v>23</v>
      </c>
      <c r="D1113" t="s">
        <v>19</v>
      </c>
      <c r="E1113">
        <v>11.2</v>
      </c>
      <c r="F1113">
        <v>5.5</v>
      </c>
      <c r="G1113">
        <v>1</v>
      </c>
      <c r="H1113" t="str">
        <f t="shared" si="17"/>
        <v>Night Usage</v>
      </c>
      <c r="I1113">
        <v>8.4</v>
      </c>
      <c r="J1113" s="3">
        <v>3</v>
      </c>
      <c r="K1113">
        <v>8.6999999999999993</v>
      </c>
      <c r="L1113" t="s">
        <v>20</v>
      </c>
      <c r="M1113">
        <v>10</v>
      </c>
      <c r="N1113">
        <v>1</v>
      </c>
      <c r="O1113">
        <v>0</v>
      </c>
      <c r="P1113">
        <v>0</v>
      </c>
      <c r="Q1113">
        <v>0</v>
      </c>
      <c r="R1113">
        <v>1</v>
      </c>
      <c r="S1113">
        <v>0</v>
      </c>
      <c r="T1113" t="str">
        <f>IF(mental_health[Sleep_Hours]&lt;5,"Low",IF(mental_health[Sleep_Hours]&lt;7,"Medium","Good"))</f>
        <v>Good</v>
      </c>
      <c r="U1113" t="str">
        <f>IF(mental_health[Stress_Level]&lt;=3,"Low",IF(mental_health[Stress_Level]&lt;=7,"Medium","High"))</f>
        <v>Low</v>
      </c>
      <c r="V1113" t="str">
        <f>IF(mental_health[Daily_Screen_Time]&lt;=4,"Low",IF(mental_health[Daily_Screen_Time]&lt;=8,"Medium","High"))</f>
        <v>High</v>
      </c>
    </row>
    <row r="1114" spans="1:22" x14ac:dyDescent="0.3">
      <c r="A1114">
        <v>1113</v>
      </c>
      <c r="B1114">
        <v>58</v>
      </c>
      <c r="C1114" t="s">
        <v>18</v>
      </c>
      <c r="D1114" t="s">
        <v>19</v>
      </c>
      <c r="E1114">
        <v>6.2</v>
      </c>
      <c r="F1114">
        <v>3.2</v>
      </c>
      <c r="G1114">
        <v>0</v>
      </c>
      <c r="H1114" t="str">
        <f t="shared" si="17"/>
        <v>No Night Usage</v>
      </c>
      <c r="I1114">
        <v>7.9</v>
      </c>
      <c r="J1114" s="3">
        <v>1</v>
      </c>
      <c r="K1114">
        <v>11.3</v>
      </c>
      <c r="L1114" t="s">
        <v>25</v>
      </c>
      <c r="M1114">
        <v>7</v>
      </c>
      <c r="N1114">
        <v>1</v>
      </c>
      <c r="O1114">
        <v>1</v>
      </c>
      <c r="P1114">
        <v>0</v>
      </c>
      <c r="Q1114">
        <v>0</v>
      </c>
      <c r="R1114">
        <v>0</v>
      </c>
      <c r="S1114">
        <v>0</v>
      </c>
      <c r="T1114" t="str">
        <f>IF(mental_health[Sleep_Hours]&lt;5,"Low",IF(mental_health[Sleep_Hours]&lt;7,"Medium","Good"))</f>
        <v>Good</v>
      </c>
      <c r="U1114" t="str">
        <f>IF(mental_health[Stress_Level]&lt;=3,"Low",IF(mental_health[Stress_Level]&lt;=7,"Medium","High"))</f>
        <v>Low</v>
      </c>
      <c r="V1114" t="str">
        <f>IF(mental_health[Daily_Screen_Time]&lt;=4,"Low",IF(mental_health[Daily_Screen_Time]&lt;=8,"Medium","High"))</f>
        <v>Medium</v>
      </c>
    </row>
    <row r="1115" spans="1:22" x14ac:dyDescent="0.3">
      <c r="A1115">
        <v>1114</v>
      </c>
      <c r="B1115">
        <v>59</v>
      </c>
      <c r="C1115" t="s">
        <v>18</v>
      </c>
      <c r="D1115" t="s">
        <v>24</v>
      </c>
      <c r="E1115">
        <v>5.4</v>
      </c>
      <c r="F1115">
        <v>1.7</v>
      </c>
      <c r="G1115">
        <v>1</v>
      </c>
      <c r="H1115" t="str">
        <f t="shared" si="17"/>
        <v>Night Usage</v>
      </c>
      <c r="I1115">
        <v>3.6</v>
      </c>
      <c r="J1115" s="3">
        <v>2</v>
      </c>
      <c r="K1115">
        <v>8.9</v>
      </c>
      <c r="L1115" t="s">
        <v>20</v>
      </c>
      <c r="M1115">
        <v>8</v>
      </c>
      <c r="N1115">
        <v>0</v>
      </c>
      <c r="O1115">
        <v>1</v>
      </c>
      <c r="P1115">
        <v>1</v>
      </c>
      <c r="Q1115">
        <v>1</v>
      </c>
      <c r="R1115">
        <v>0</v>
      </c>
      <c r="S1115">
        <v>1</v>
      </c>
      <c r="T1115" t="str">
        <f>IF(mental_health[Sleep_Hours]&lt;5,"Low",IF(mental_health[Sleep_Hours]&lt;7,"Medium","Good"))</f>
        <v>Low</v>
      </c>
      <c r="U1115" t="str">
        <f>IF(mental_health[Stress_Level]&lt;=3,"Low",IF(mental_health[Stress_Level]&lt;=7,"Medium","High"))</f>
        <v>Low</v>
      </c>
      <c r="V1115" t="str">
        <f>IF(mental_health[Daily_Screen_Time]&lt;=4,"Low",IF(mental_health[Daily_Screen_Time]&lt;=8,"Medium","High"))</f>
        <v>Medium</v>
      </c>
    </row>
    <row r="1116" spans="1:22" x14ac:dyDescent="0.3">
      <c r="A1116">
        <v>1115</v>
      </c>
      <c r="B1116">
        <v>39</v>
      </c>
      <c r="C1116" t="s">
        <v>18</v>
      </c>
      <c r="D1116" t="s">
        <v>19</v>
      </c>
      <c r="E1116">
        <v>11.6</v>
      </c>
      <c r="F1116">
        <v>4</v>
      </c>
      <c r="G1116">
        <v>1</v>
      </c>
      <c r="H1116" t="str">
        <f t="shared" si="17"/>
        <v>Night Usage</v>
      </c>
      <c r="I1116">
        <v>4.4000000000000004</v>
      </c>
      <c r="J1116" s="3">
        <v>9</v>
      </c>
      <c r="K1116">
        <v>5.2</v>
      </c>
      <c r="L1116" t="s">
        <v>21</v>
      </c>
      <c r="M1116">
        <v>6</v>
      </c>
      <c r="N1116">
        <v>2</v>
      </c>
      <c r="O1116">
        <v>1</v>
      </c>
      <c r="P1116">
        <v>1</v>
      </c>
      <c r="Q1116">
        <v>0</v>
      </c>
      <c r="R1116">
        <v>1</v>
      </c>
      <c r="S1116">
        <v>1</v>
      </c>
      <c r="T1116" t="str">
        <f>IF(mental_health[Sleep_Hours]&lt;5,"Low",IF(mental_health[Sleep_Hours]&lt;7,"Medium","Good"))</f>
        <v>Low</v>
      </c>
      <c r="U1116" t="str">
        <f>IF(mental_health[Stress_Level]&lt;=3,"Low",IF(mental_health[Stress_Level]&lt;=7,"Medium","High"))</f>
        <v>High</v>
      </c>
      <c r="V1116" t="str">
        <f>IF(mental_health[Daily_Screen_Time]&lt;=4,"Low",IF(mental_health[Daily_Screen_Time]&lt;=8,"Medium","High"))</f>
        <v>High</v>
      </c>
    </row>
    <row r="1117" spans="1:22" x14ac:dyDescent="0.3">
      <c r="A1117">
        <v>1116</v>
      </c>
      <c r="B1117">
        <v>40</v>
      </c>
      <c r="C1117" t="s">
        <v>18</v>
      </c>
      <c r="D1117" t="s">
        <v>22</v>
      </c>
      <c r="E1117">
        <v>6.4</v>
      </c>
      <c r="F1117">
        <v>1.9</v>
      </c>
      <c r="G1117">
        <v>1</v>
      </c>
      <c r="H1117" t="str">
        <f t="shared" si="17"/>
        <v>Night Usage</v>
      </c>
      <c r="I1117">
        <v>3</v>
      </c>
      <c r="J1117" s="3">
        <v>1</v>
      </c>
      <c r="K1117">
        <v>4</v>
      </c>
      <c r="L1117" t="s">
        <v>25</v>
      </c>
      <c r="M1117">
        <v>8</v>
      </c>
      <c r="N1117">
        <v>4</v>
      </c>
      <c r="O1117">
        <v>0</v>
      </c>
      <c r="P1117">
        <v>1</v>
      </c>
      <c r="Q1117">
        <v>0</v>
      </c>
      <c r="R1117">
        <v>0</v>
      </c>
      <c r="S1117">
        <v>0</v>
      </c>
      <c r="T1117" t="str">
        <f>IF(mental_health[Sleep_Hours]&lt;5,"Low",IF(mental_health[Sleep_Hours]&lt;7,"Medium","Good"))</f>
        <v>Low</v>
      </c>
      <c r="U1117" t="str">
        <f>IF(mental_health[Stress_Level]&lt;=3,"Low",IF(mental_health[Stress_Level]&lt;=7,"Medium","High"))</f>
        <v>Low</v>
      </c>
      <c r="V1117" t="str">
        <f>IF(mental_health[Daily_Screen_Time]&lt;=4,"Low",IF(mental_health[Daily_Screen_Time]&lt;=8,"Medium","High"))</f>
        <v>Medium</v>
      </c>
    </row>
    <row r="1118" spans="1:22" x14ac:dyDescent="0.3">
      <c r="A1118">
        <v>1117</v>
      </c>
      <c r="B1118">
        <v>22</v>
      </c>
      <c r="C1118" t="s">
        <v>23</v>
      </c>
      <c r="D1118" t="s">
        <v>19</v>
      </c>
      <c r="E1118">
        <v>6.9</v>
      </c>
      <c r="F1118">
        <v>7.6</v>
      </c>
      <c r="G1118">
        <v>1</v>
      </c>
      <c r="H1118" t="str">
        <f t="shared" si="17"/>
        <v>Night Usage</v>
      </c>
      <c r="I1118">
        <v>4.8</v>
      </c>
      <c r="J1118" s="3">
        <v>9</v>
      </c>
      <c r="K1118">
        <v>10.5</v>
      </c>
      <c r="L1118" t="s">
        <v>20</v>
      </c>
      <c r="M1118">
        <v>1</v>
      </c>
      <c r="N1118">
        <v>0</v>
      </c>
      <c r="O1118">
        <v>0</v>
      </c>
      <c r="P1118">
        <v>0</v>
      </c>
      <c r="Q1118">
        <v>1</v>
      </c>
      <c r="R1118">
        <v>0</v>
      </c>
      <c r="S1118">
        <v>1</v>
      </c>
      <c r="T1118" t="str">
        <f>IF(mental_health[Sleep_Hours]&lt;5,"Low",IF(mental_health[Sleep_Hours]&lt;7,"Medium","Good"))</f>
        <v>Low</v>
      </c>
      <c r="U1118" t="str">
        <f>IF(mental_health[Stress_Level]&lt;=3,"Low",IF(mental_health[Stress_Level]&lt;=7,"Medium","High"))</f>
        <v>High</v>
      </c>
      <c r="V1118" t="str">
        <f>IF(mental_health[Daily_Screen_Time]&lt;=4,"Low",IF(mental_health[Daily_Screen_Time]&lt;=8,"Medium","High"))</f>
        <v>Medium</v>
      </c>
    </row>
    <row r="1119" spans="1:22" x14ac:dyDescent="0.3">
      <c r="A1119">
        <v>1118</v>
      </c>
      <c r="B1119">
        <v>21</v>
      </c>
      <c r="C1119" t="s">
        <v>18</v>
      </c>
      <c r="D1119" t="s">
        <v>22</v>
      </c>
      <c r="E1119">
        <v>5.5</v>
      </c>
      <c r="F1119">
        <v>4.3</v>
      </c>
      <c r="G1119">
        <v>0</v>
      </c>
      <c r="H1119" t="str">
        <f t="shared" si="17"/>
        <v>No Night Usage</v>
      </c>
      <c r="I1119">
        <v>3.7</v>
      </c>
      <c r="J1119" s="3">
        <v>7</v>
      </c>
      <c r="K1119">
        <v>3.9</v>
      </c>
      <c r="L1119" t="s">
        <v>20</v>
      </c>
      <c r="M1119">
        <v>1</v>
      </c>
      <c r="N1119">
        <v>3</v>
      </c>
      <c r="O1119">
        <v>0</v>
      </c>
      <c r="P1119">
        <v>0</v>
      </c>
      <c r="Q1119">
        <v>1</v>
      </c>
      <c r="R1119">
        <v>1</v>
      </c>
      <c r="S1119">
        <v>1</v>
      </c>
      <c r="T1119" t="str">
        <f>IF(mental_health[Sleep_Hours]&lt;5,"Low",IF(mental_health[Sleep_Hours]&lt;7,"Medium","Good"))</f>
        <v>Low</v>
      </c>
      <c r="U1119" t="str">
        <f>IF(mental_health[Stress_Level]&lt;=3,"Low",IF(mental_health[Stress_Level]&lt;=7,"Medium","High"))</f>
        <v>Medium</v>
      </c>
      <c r="V1119" t="str">
        <f>IF(mental_health[Daily_Screen_Time]&lt;=4,"Low",IF(mental_health[Daily_Screen_Time]&lt;=8,"Medium","High"))</f>
        <v>Medium</v>
      </c>
    </row>
    <row r="1120" spans="1:22" x14ac:dyDescent="0.3">
      <c r="A1120">
        <v>1119</v>
      </c>
      <c r="B1120">
        <v>39</v>
      </c>
      <c r="C1120" t="s">
        <v>23</v>
      </c>
      <c r="D1120" t="s">
        <v>22</v>
      </c>
      <c r="E1120">
        <v>11.1</v>
      </c>
      <c r="F1120">
        <v>3.2</v>
      </c>
      <c r="G1120">
        <v>0</v>
      </c>
      <c r="H1120" t="str">
        <f t="shared" si="17"/>
        <v>No Night Usage</v>
      </c>
      <c r="I1120">
        <v>5.8</v>
      </c>
      <c r="J1120" s="3">
        <v>2</v>
      </c>
      <c r="K1120">
        <v>3.6</v>
      </c>
      <c r="L1120" t="s">
        <v>25</v>
      </c>
      <c r="M1120">
        <v>9</v>
      </c>
      <c r="N1120">
        <v>4</v>
      </c>
      <c r="O1120">
        <v>0</v>
      </c>
      <c r="P1120">
        <v>0</v>
      </c>
      <c r="Q1120">
        <v>1</v>
      </c>
      <c r="R1120">
        <v>1</v>
      </c>
      <c r="S1120">
        <v>0</v>
      </c>
      <c r="T1120" t="str">
        <f>IF(mental_health[Sleep_Hours]&lt;5,"Low",IF(mental_health[Sleep_Hours]&lt;7,"Medium","Good"))</f>
        <v>Medium</v>
      </c>
      <c r="U1120" t="str">
        <f>IF(mental_health[Stress_Level]&lt;=3,"Low",IF(mental_health[Stress_Level]&lt;=7,"Medium","High"))</f>
        <v>Low</v>
      </c>
      <c r="V1120" t="str">
        <f>IF(mental_health[Daily_Screen_Time]&lt;=4,"Low",IF(mental_health[Daily_Screen_Time]&lt;=8,"Medium","High"))</f>
        <v>High</v>
      </c>
    </row>
    <row r="1121" spans="1:22" x14ac:dyDescent="0.3">
      <c r="A1121">
        <v>1120</v>
      </c>
      <c r="B1121">
        <v>48</v>
      </c>
      <c r="C1121" t="s">
        <v>18</v>
      </c>
      <c r="D1121" t="s">
        <v>22</v>
      </c>
      <c r="E1121">
        <v>7.7</v>
      </c>
      <c r="F1121">
        <v>6.4</v>
      </c>
      <c r="G1121">
        <v>1</v>
      </c>
      <c r="H1121" t="str">
        <f t="shared" si="17"/>
        <v>Night Usage</v>
      </c>
      <c r="I1121">
        <v>7.1</v>
      </c>
      <c r="J1121" s="3">
        <v>2</v>
      </c>
      <c r="K1121">
        <v>4.0999999999999996</v>
      </c>
      <c r="L1121" t="s">
        <v>21</v>
      </c>
      <c r="M1121">
        <v>4</v>
      </c>
      <c r="N1121">
        <v>2</v>
      </c>
      <c r="O1121">
        <v>0</v>
      </c>
      <c r="P1121">
        <v>1</v>
      </c>
      <c r="Q1121">
        <v>0</v>
      </c>
      <c r="R1121">
        <v>1</v>
      </c>
      <c r="S1121">
        <v>1</v>
      </c>
      <c r="T1121" t="str">
        <f>IF(mental_health[Sleep_Hours]&lt;5,"Low",IF(mental_health[Sleep_Hours]&lt;7,"Medium","Good"))</f>
        <v>Good</v>
      </c>
      <c r="U1121" t="str">
        <f>IF(mental_health[Stress_Level]&lt;=3,"Low",IF(mental_health[Stress_Level]&lt;=7,"Medium","High"))</f>
        <v>Low</v>
      </c>
      <c r="V1121" t="str">
        <f>IF(mental_health[Daily_Screen_Time]&lt;=4,"Low",IF(mental_health[Daily_Screen_Time]&lt;=8,"Medium","High"))</f>
        <v>Medium</v>
      </c>
    </row>
    <row r="1122" spans="1:22" x14ac:dyDescent="0.3">
      <c r="A1122">
        <v>1121</v>
      </c>
      <c r="B1122">
        <v>44</v>
      </c>
      <c r="C1122" t="s">
        <v>23</v>
      </c>
      <c r="D1122" t="s">
        <v>22</v>
      </c>
      <c r="E1122">
        <v>9.6</v>
      </c>
      <c r="F1122">
        <v>4.5</v>
      </c>
      <c r="G1122">
        <v>0</v>
      </c>
      <c r="H1122" t="str">
        <f t="shared" si="17"/>
        <v>No Night Usage</v>
      </c>
      <c r="I1122">
        <v>8.1999999999999993</v>
      </c>
      <c r="J1122" s="3">
        <v>5</v>
      </c>
      <c r="K1122">
        <v>7.1</v>
      </c>
      <c r="L1122" t="s">
        <v>20</v>
      </c>
      <c r="M1122">
        <v>3</v>
      </c>
      <c r="N1122">
        <v>0</v>
      </c>
      <c r="O1122">
        <v>0</v>
      </c>
      <c r="P1122">
        <v>1</v>
      </c>
      <c r="Q1122">
        <v>1</v>
      </c>
      <c r="R1122">
        <v>0</v>
      </c>
      <c r="S1122">
        <v>0</v>
      </c>
      <c r="T1122" t="str">
        <f>IF(mental_health[Sleep_Hours]&lt;5,"Low",IF(mental_health[Sleep_Hours]&lt;7,"Medium","Good"))</f>
        <v>Good</v>
      </c>
      <c r="U1122" t="str">
        <f>IF(mental_health[Stress_Level]&lt;=3,"Low",IF(mental_health[Stress_Level]&lt;=7,"Medium","High"))</f>
        <v>Medium</v>
      </c>
      <c r="V1122" t="str">
        <f>IF(mental_health[Daily_Screen_Time]&lt;=4,"Low",IF(mental_health[Daily_Screen_Time]&lt;=8,"Medium","High"))</f>
        <v>High</v>
      </c>
    </row>
    <row r="1123" spans="1:22" x14ac:dyDescent="0.3">
      <c r="A1123">
        <v>1122</v>
      </c>
      <c r="B1123">
        <v>58</v>
      </c>
      <c r="C1123" t="s">
        <v>18</v>
      </c>
      <c r="D1123" t="s">
        <v>22</v>
      </c>
      <c r="E1123">
        <v>10.1</v>
      </c>
      <c r="F1123">
        <v>3.2</v>
      </c>
      <c r="G1123">
        <v>0</v>
      </c>
      <c r="H1123" t="str">
        <f t="shared" si="17"/>
        <v>No Night Usage</v>
      </c>
      <c r="I1123">
        <v>7.5</v>
      </c>
      <c r="J1123" s="3">
        <v>5</v>
      </c>
      <c r="K1123">
        <v>3.2</v>
      </c>
      <c r="L1123" t="s">
        <v>21</v>
      </c>
      <c r="M1123">
        <v>6</v>
      </c>
      <c r="N1123">
        <v>2</v>
      </c>
      <c r="O1123">
        <v>1</v>
      </c>
      <c r="P1123">
        <v>1</v>
      </c>
      <c r="Q1123">
        <v>1</v>
      </c>
      <c r="R1123">
        <v>1</v>
      </c>
      <c r="S1123">
        <v>0</v>
      </c>
      <c r="T1123" t="str">
        <f>IF(mental_health[Sleep_Hours]&lt;5,"Low",IF(mental_health[Sleep_Hours]&lt;7,"Medium","Good"))</f>
        <v>Good</v>
      </c>
      <c r="U1123" t="str">
        <f>IF(mental_health[Stress_Level]&lt;=3,"Low",IF(mental_health[Stress_Level]&lt;=7,"Medium","High"))</f>
        <v>Medium</v>
      </c>
      <c r="V1123" t="str">
        <f>IF(mental_health[Daily_Screen_Time]&lt;=4,"Low",IF(mental_health[Daily_Screen_Time]&lt;=8,"Medium","High"))</f>
        <v>High</v>
      </c>
    </row>
    <row r="1124" spans="1:22" x14ac:dyDescent="0.3">
      <c r="A1124">
        <v>1123</v>
      </c>
      <c r="B1124">
        <v>37</v>
      </c>
      <c r="C1124" t="s">
        <v>18</v>
      </c>
      <c r="D1124" t="s">
        <v>19</v>
      </c>
      <c r="E1124">
        <v>5.4</v>
      </c>
      <c r="F1124">
        <v>6.7</v>
      </c>
      <c r="G1124">
        <v>1</v>
      </c>
      <c r="H1124" t="str">
        <f t="shared" si="17"/>
        <v>Night Usage</v>
      </c>
      <c r="I1124">
        <v>8.6</v>
      </c>
      <c r="J1124" s="3">
        <v>4</v>
      </c>
      <c r="K1124">
        <v>11.4</v>
      </c>
      <c r="L1124" t="s">
        <v>25</v>
      </c>
      <c r="M1124">
        <v>10</v>
      </c>
      <c r="N1124">
        <v>3</v>
      </c>
      <c r="O1124">
        <v>0</v>
      </c>
      <c r="P1124">
        <v>0</v>
      </c>
      <c r="Q1124">
        <v>0</v>
      </c>
      <c r="R1124">
        <v>1</v>
      </c>
      <c r="S1124">
        <v>0</v>
      </c>
      <c r="T1124" t="str">
        <f>IF(mental_health[Sleep_Hours]&lt;5,"Low",IF(mental_health[Sleep_Hours]&lt;7,"Medium","Good"))</f>
        <v>Good</v>
      </c>
      <c r="U1124" t="str">
        <f>IF(mental_health[Stress_Level]&lt;=3,"Low",IF(mental_health[Stress_Level]&lt;=7,"Medium","High"))</f>
        <v>Medium</v>
      </c>
      <c r="V1124" t="str">
        <f>IF(mental_health[Daily_Screen_Time]&lt;=4,"Low",IF(mental_health[Daily_Screen_Time]&lt;=8,"Medium","High"))</f>
        <v>Medium</v>
      </c>
    </row>
    <row r="1125" spans="1:22" x14ac:dyDescent="0.3">
      <c r="A1125">
        <v>1124</v>
      </c>
      <c r="B1125">
        <v>41</v>
      </c>
      <c r="C1125" t="s">
        <v>23</v>
      </c>
      <c r="D1125" t="s">
        <v>22</v>
      </c>
      <c r="E1125">
        <v>6.3</v>
      </c>
      <c r="F1125">
        <v>7.1</v>
      </c>
      <c r="G1125">
        <v>0</v>
      </c>
      <c r="H1125" t="str">
        <f t="shared" si="17"/>
        <v>No Night Usage</v>
      </c>
      <c r="I1125">
        <v>3.3</v>
      </c>
      <c r="J1125" s="3">
        <v>10</v>
      </c>
      <c r="K1125">
        <v>11.7</v>
      </c>
      <c r="L1125" t="s">
        <v>20</v>
      </c>
      <c r="M1125">
        <v>9</v>
      </c>
      <c r="N1125">
        <v>0</v>
      </c>
      <c r="O1125">
        <v>0</v>
      </c>
      <c r="P1125">
        <v>0</v>
      </c>
      <c r="Q1125">
        <v>1</v>
      </c>
      <c r="R1125">
        <v>1</v>
      </c>
      <c r="S1125">
        <v>1</v>
      </c>
      <c r="T1125" t="str">
        <f>IF(mental_health[Sleep_Hours]&lt;5,"Low",IF(mental_health[Sleep_Hours]&lt;7,"Medium","Good"))</f>
        <v>Low</v>
      </c>
      <c r="U1125" t="str">
        <f>IF(mental_health[Stress_Level]&lt;=3,"Low",IF(mental_health[Stress_Level]&lt;=7,"Medium","High"))</f>
        <v>High</v>
      </c>
      <c r="V1125" t="str">
        <f>IF(mental_health[Daily_Screen_Time]&lt;=4,"Low",IF(mental_health[Daily_Screen_Time]&lt;=8,"Medium","High"))</f>
        <v>Medium</v>
      </c>
    </row>
    <row r="1126" spans="1:22" x14ac:dyDescent="0.3">
      <c r="A1126">
        <v>1125</v>
      </c>
      <c r="B1126">
        <v>43</v>
      </c>
      <c r="C1126" t="s">
        <v>18</v>
      </c>
      <c r="D1126" t="s">
        <v>19</v>
      </c>
      <c r="E1126">
        <v>10.5</v>
      </c>
      <c r="F1126">
        <v>5.7</v>
      </c>
      <c r="G1126">
        <v>1</v>
      </c>
      <c r="H1126" t="str">
        <f t="shared" si="17"/>
        <v>Night Usage</v>
      </c>
      <c r="I1126">
        <v>3.1</v>
      </c>
      <c r="J1126" s="3">
        <v>10</v>
      </c>
      <c r="K1126">
        <v>11.7</v>
      </c>
      <c r="L1126" t="s">
        <v>20</v>
      </c>
      <c r="M1126">
        <v>10</v>
      </c>
      <c r="N1126">
        <v>3</v>
      </c>
      <c r="O1126">
        <v>0</v>
      </c>
      <c r="P1126">
        <v>1</v>
      </c>
      <c r="Q1126">
        <v>0</v>
      </c>
      <c r="R1126">
        <v>1</v>
      </c>
      <c r="S1126">
        <v>1</v>
      </c>
      <c r="T1126" t="str">
        <f>IF(mental_health[Sleep_Hours]&lt;5,"Low",IF(mental_health[Sleep_Hours]&lt;7,"Medium","Good"))</f>
        <v>Low</v>
      </c>
      <c r="U1126" t="str">
        <f>IF(mental_health[Stress_Level]&lt;=3,"Low",IF(mental_health[Stress_Level]&lt;=7,"Medium","High"))</f>
        <v>High</v>
      </c>
      <c r="V1126" t="str">
        <f>IF(mental_health[Daily_Screen_Time]&lt;=4,"Low",IF(mental_health[Daily_Screen_Time]&lt;=8,"Medium","High"))</f>
        <v>High</v>
      </c>
    </row>
    <row r="1127" spans="1:22" x14ac:dyDescent="0.3">
      <c r="A1127">
        <v>1126</v>
      </c>
      <c r="B1127">
        <v>36</v>
      </c>
      <c r="C1127" t="s">
        <v>18</v>
      </c>
      <c r="D1127" t="s">
        <v>22</v>
      </c>
      <c r="E1127">
        <v>5.6</v>
      </c>
      <c r="F1127">
        <v>1.3</v>
      </c>
      <c r="G1127">
        <v>0</v>
      </c>
      <c r="H1127" t="str">
        <f t="shared" si="17"/>
        <v>No Night Usage</v>
      </c>
      <c r="I1127">
        <v>7</v>
      </c>
      <c r="J1127" s="3">
        <v>3</v>
      </c>
      <c r="K1127">
        <v>2.4</v>
      </c>
      <c r="L1127" t="s">
        <v>20</v>
      </c>
      <c r="M1127">
        <v>4</v>
      </c>
      <c r="N1127">
        <v>4</v>
      </c>
      <c r="O1127">
        <v>0</v>
      </c>
      <c r="P1127">
        <v>0</v>
      </c>
      <c r="Q1127">
        <v>0</v>
      </c>
      <c r="R1127">
        <v>0</v>
      </c>
      <c r="S1127">
        <v>0</v>
      </c>
      <c r="T1127" t="str">
        <f>IF(mental_health[Sleep_Hours]&lt;5,"Low",IF(mental_health[Sleep_Hours]&lt;7,"Medium","Good"))</f>
        <v>Good</v>
      </c>
      <c r="U1127" t="str">
        <f>IF(mental_health[Stress_Level]&lt;=3,"Low",IF(mental_health[Stress_Level]&lt;=7,"Medium","High"))</f>
        <v>Low</v>
      </c>
      <c r="V1127" t="str">
        <f>IF(mental_health[Daily_Screen_Time]&lt;=4,"Low",IF(mental_health[Daily_Screen_Time]&lt;=8,"Medium","High"))</f>
        <v>Medium</v>
      </c>
    </row>
    <row r="1128" spans="1:22" x14ac:dyDescent="0.3">
      <c r="A1128">
        <v>1127</v>
      </c>
      <c r="B1128">
        <v>22</v>
      </c>
      <c r="C1128" t="s">
        <v>18</v>
      </c>
      <c r="D1128" t="s">
        <v>24</v>
      </c>
      <c r="E1128">
        <v>9.9</v>
      </c>
      <c r="F1128">
        <v>5</v>
      </c>
      <c r="G1128">
        <v>0</v>
      </c>
      <c r="H1128" t="str">
        <f t="shared" si="17"/>
        <v>No Night Usage</v>
      </c>
      <c r="I1128">
        <v>4.7</v>
      </c>
      <c r="J1128" s="3">
        <v>4</v>
      </c>
      <c r="K1128">
        <v>11.5</v>
      </c>
      <c r="L1128" t="s">
        <v>21</v>
      </c>
      <c r="M1128">
        <v>9</v>
      </c>
      <c r="N1128">
        <v>4</v>
      </c>
      <c r="O1128">
        <v>0</v>
      </c>
      <c r="P1128">
        <v>1</v>
      </c>
      <c r="Q1128">
        <v>0</v>
      </c>
      <c r="R1128">
        <v>1</v>
      </c>
      <c r="S1128">
        <v>1</v>
      </c>
      <c r="T1128" t="str">
        <f>IF(mental_health[Sleep_Hours]&lt;5,"Low",IF(mental_health[Sleep_Hours]&lt;7,"Medium","Good"))</f>
        <v>Low</v>
      </c>
      <c r="U1128" t="str">
        <f>IF(mental_health[Stress_Level]&lt;=3,"Low",IF(mental_health[Stress_Level]&lt;=7,"Medium","High"))</f>
        <v>Medium</v>
      </c>
      <c r="V1128" t="str">
        <f>IF(mental_health[Daily_Screen_Time]&lt;=4,"Low",IF(mental_health[Daily_Screen_Time]&lt;=8,"Medium","High"))</f>
        <v>High</v>
      </c>
    </row>
    <row r="1129" spans="1:22" x14ac:dyDescent="0.3">
      <c r="A1129">
        <v>1128</v>
      </c>
      <c r="B1129">
        <v>32</v>
      </c>
      <c r="C1129" t="s">
        <v>23</v>
      </c>
      <c r="D1129" t="s">
        <v>22</v>
      </c>
      <c r="E1129">
        <v>11.4</v>
      </c>
      <c r="F1129">
        <v>6.3</v>
      </c>
      <c r="G1129">
        <v>1</v>
      </c>
      <c r="H1129" t="str">
        <f t="shared" si="17"/>
        <v>Night Usage</v>
      </c>
      <c r="I1129">
        <v>4.5</v>
      </c>
      <c r="J1129" s="3">
        <v>10</v>
      </c>
      <c r="K1129">
        <v>12</v>
      </c>
      <c r="L1129" t="s">
        <v>20</v>
      </c>
      <c r="M1129">
        <v>5</v>
      </c>
      <c r="N1129">
        <v>2</v>
      </c>
      <c r="O1129">
        <v>1</v>
      </c>
      <c r="P1129">
        <v>1</v>
      </c>
      <c r="Q1129">
        <v>0</v>
      </c>
      <c r="R1129">
        <v>1</v>
      </c>
      <c r="S1129">
        <v>1</v>
      </c>
      <c r="T1129" t="str">
        <f>IF(mental_health[Sleep_Hours]&lt;5,"Low",IF(mental_health[Sleep_Hours]&lt;7,"Medium","Good"))</f>
        <v>Low</v>
      </c>
      <c r="U1129" t="str">
        <f>IF(mental_health[Stress_Level]&lt;=3,"Low",IF(mental_health[Stress_Level]&lt;=7,"Medium","High"))</f>
        <v>High</v>
      </c>
      <c r="V1129" t="str">
        <f>IF(mental_health[Daily_Screen_Time]&lt;=4,"Low",IF(mental_health[Daily_Screen_Time]&lt;=8,"Medium","High"))</f>
        <v>High</v>
      </c>
    </row>
    <row r="1130" spans="1:22" x14ac:dyDescent="0.3">
      <c r="A1130">
        <v>1129</v>
      </c>
      <c r="B1130">
        <v>35</v>
      </c>
      <c r="C1130" t="s">
        <v>18</v>
      </c>
      <c r="D1130" t="s">
        <v>24</v>
      </c>
      <c r="E1130">
        <v>8.1999999999999993</v>
      </c>
      <c r="F1130">
        <v>2</v>
      </c>
      <c r="G1130">
        <v>0</v>
      </c>
      <c r="H1130" t="str">
        <f t="shared" si="17"/>
        <v>No Night Usage</v>
      </c>
      <c r="I1130">
        <v>5</v>
      </c>
      <c r="J1130" s="3">
        <v>4</v>
      </c>
      <c r="K1130">
        <v>11.4</v>
      </c>
      <c r="L1130" t="s">
        <v>20</v>
      </c>
      <c r="M1130">
        <v>7</v>
      </c>
      <c r="N1130">
        <v>2</v>
      </c>
      <c r="O1130">
        <v>0</v>
      </c>
      <c r="P1130">
        <v>0</v>
      </c>
      <c r="Q1130">
        <v>0</v>
      </c>
      <c r="R1130">
        <v>1</v>
      </c>
      <c r="S1130">
        <v>0</v>
      </c>
      <c r="T1130" t="str">
        <f>IF(mental_health[Sleep_Hours]&lt;5,"Low",IF(mental_health[Sleep_Hours]&lt;7,"Medium","Good"))</f>
        <v>Medium</v>
      </c>
      <c r="U1130" t="str">
        <f>IF(mental_health[Stress_Level]&lt;=3,"Low",IF(mental_health[Stress_Level]&lt;=7,"Medium","High"))</f>
        <v>Medium</v>
      </c>
      <c r="V1130" t="str">
        <f>IF(mental_health[Daily_Screen_Time]&lt;=4,"Low",IF(mental_health[Daily_Screen_Time]&lt;=8,"Medium","High"))</f>
        <v>High</v>
      </c>
    </row>
    <row r="1131" spans="1:22" x14ac:dyDescent="0.3">
      <c r="A1131">
        <v>1130</v>
      </c>
      <c r="B1131">
        <v>56</v>
      </c>
      <c r="C1131" t="s">
        <v>18</v>
      </c>
      <c r="D1131" t="s">
        <v>22</v>
      </c>
      <c r="E1131">
        <v>9.4</v>
      </c>
      <c r="F1131">
        <v>2.6</v>
      </c>
      <c r="G1131">
        <v>0</v>
      </c>
      <c r="H1131" t="str">
        <f t="shared" si="17"/>
        <v>No Night Usage</v>
      </c>
      <c r="I1131">
        <v>4.5999999999999996</v>
      </c>
      <c r="J1131" s="3">
        <v>2</v>
      </c>
      <c r="K1131">
        <v>8.6999999999999993</v>
      </c>
      <c r="L1131" t="s">
        <v>25</v>
      </c>
      <c r="M1131">
        <v>3</v>
      </c>
      <c r="N1131">
        <v>4</v>
      </c>
      <c r="O1131">
        <v>0</v>
      </c>
      <c r="P1131">
        <v>1</v>
      </c>
      <c r="Q1131">
        <v>1</v>
      </c>
      <c r="R1131">
        <v>0</v>
      </c>
      <c r="S1131">
        <v>0</v>
      </c>
      <c r="T1131" t="str">
        <f>IF(mental_health[Sleep_Hours]&lt;5,"Low",IF(mental_health[Sleep_Hours]&lt;7,"Medium","Good"))</f>
        <v>Low</v>
      </c>
      <c r="U1131" t="str">
        <f>IF(mental_health[Stress_Level]&lt;=3,"Low",IF(mental_health[Stress_Level]&lt;=7,"Medium","High"))</f>
        <v>Low</v>
      </c>
      <c r="V1131" t="str">
        <f>IF(mental_health[Daily_Screen_Time]&lt;=4,"Low",IF(mental_health[Daily_Screen_Time]&lt;=8,"Medium","High"))</f>
        <v>High</v>
      </c>
    </row>
    <row r="1132" spans="1:22" x14ac:dyDescent="0.3">
      <c r="A1132">
        <v>1131</v>
      </c>
      <c r="B1132">
        <v>35</v>
      </c>
      <c r="C1132" t="s">
        <v>23</v>
      </c>
      <c r="D1132" t="s">
        <v>22</v>
      </c>
      <c r="E1132">
        <v>10.1</v>
      </c>
      <c r="F1132">
        <v>7.2</v>
      </c>
      <c r="G1132">
        <v>1</v>
      </c>
      <c r="H1132" t="str">
        <f t="shared" si="17"/>
        <v>Night Usage</v>
      </c>
      <c r="I1132">
        <v>6.1</v>
      </c>
      <c r="J1132" s="3">
        <v>5</v>
      </c>
      <c r="K1132">
        <v>9</v>
      </c>
      <c r="L1132" t="s">
        <v>20</v>
      </c>
      <c r="M1132">
        <v>3</v>
      </c>
      <c r="N1132">
        <v>1</v>
      </c>
      <c r="O1132">
        <v>1</v>
      </c>
      <c r="P1132">
        <v>1</v>
      </c>
      <c r="Q1132">
        <v>0</v>
      </c>
      <c r="R1132">
        <v>0</v>
      </c>
      <c r="S1132">
        <v>1</v>
      </c>
      <c r="T1132" t="str">
        <f>IF(mental_health[Sleep_Hours]&lt;5,"Low",IF(mental_health[Sleep_Hours]&lt;7,"Medium","Good"))</f>
        <v>Medium</v>
      </c>
      <c r="U1132" t="str">
        <f>IF(mental_health[Stress_Level]&lt;=3,"Low",IF(mental_health[Stress_Level]&lt;=7,"Medium","High"))</f>
        <v>Medium</v>
      </c>
      <c r="V1132" t="str">
        <f>IF(mental_health[Daily_Screen_Time]&lt;=4,"Low",IF(mental_health[Daily_Screen_Time]&lt;=8,"Medium","High"))</f>
        <v>High</v>
      </c>
    </row>
    <row r="1133" spans="1:22" x14ac:dyDescent="0.3">
      <c r="A1133">
        <v>1132</v>
      </c>
      <c r="B1133">
        <v>37</v>
      </c>
      <c r="C1133" t="s">
        <v>23</v>
      </c>
      <c r="D1133" t="s">
        <v>22</v>
      </c>
      <c r="E1133">
        <v>10.5</v>
      </c>
      <c r="F1133">
        <v>1.1000000000000001</v>
      </c>
      <c r="G1133">
        <v>0</v>
      </c>
      <c r="H1133" t="str">
        <f t="shared" si="17"/>
        <v>No Night Usage</v>
      </c>
      <c r="I1133">
        <v>5.6</v>
      </c>
      <c r="J1133" s="3">
        <v>5</v>
      </c>
      <c r="K1133">
        <v>3.2</v>
      </c>
      <c r="L1133" t="s">
        <v>21</v>
      </c>
      <c r="M1133">
        <v>3</v>
      </c>
      <c r="N1133">
        <v>4</v>
      </c>
      <c r="O1133">
        <v>1</v>
      </c>
      <c r="P1133">
        <v>1</v>
      </c>
      <c r="Q1133">
        <v>1</v>
      </c>
      <c r="R1133">
        <v>1</v>
      </c>
      <c r="S1133">
        <v>1</v>
      </c>
      <c r="T1133" t="str">
        <f>IF(mental_health[Sleep_Hours]&lt;5,"Low",IF(mental_health[Sleep_Hours]&lt;7,"Medium","Good"))</f>
        <v>Medium</v>
      </c>
      <c r="U1133" t="str">
        <f>IF(mental_health[Stress_Level]&lt;=3,"Low",IF(mental_health[Stress_Level]&lt;=7,"Medium","High"))</f>
        <v>Medium</v>
      </c>
      <c r="V1133" t="str">
        <f>IF(mental_health[Daily_Screen_Time]&lt;=4,"Low",IF(mental_health[Daily_Screen_Time]&lt;=8,"Medium","High"))</f>
        <v>High</v>
      </c>
    </row>
    <row r="1134" spans="1:22" x14ac:dyDescent="0.3">
      <c r="A1134">
        <v>1133</v>
      </c>
      <c r="B1134">
        <v>43</v>
      </c>
      <c r="C1134" t="s">
        <v>23</v>
      </c>
      <c r="D1134" t="s">
        <v>24</v>
      </c>
      <c r="E1134">
        <v>6</v>
      </c>
      <c r="F1134">
        <v>6.3</v>
      </c>
      <c r="G1134">
        <v>1</v>
      </c>
      <c r="H1134" t="str">
        <f t="shared" si="17"/>
        <v>Night Usage</v>
      </c>
      <c r="I1134">
        <v>6.1</v>
      </c>
      <c r="J1134" s="3">
        <v>5</v>
      </c>
      <c r="K1134">
        <v>10.7</v>
      </c>
      <c r="L1134" t="s">
        <v>25</v>
      </c>
      <c r="M1134">
        <v>8</v>
      </c>
      <c r="N1134">
        <v>0</v>
      </c>
      <c r="O1134">
        <v>0</v>
      </c>
      <c r="P1134">
        <v>1</v>
      </c>
      <c r="Q1134">
        <v>1</v>
      </c>
      <c r="R1134">
        <v>1</v>
      </c>
      <c r="S1134">
        <v>1</v>
      </c>
      <c r="T1134" t="str">
        <f>IF(mental_health[Sleep_Hours]&lt;5,"Low",IF(mental_health[Sleep_Hours]&lt;7,"Medium","Good"))</f>
        <v>Medium</v>
      </c>
      <c r="U1134" t="str">
        <f>IF(mental_health[Stress_Level]&lt;=3,"Low",IF(mental_health[Stress_Level]&lt;=7,"Medium","High"))</f>
        <v>Medium</v>
      </c>
      <c r="V1134" t="str">
        <f>IF(mental_health[Daily_Screen_Time]&lt;=4,"Low",IF(mental_health[Daily_Screen_Time]&lt;=8,"Medium","High"))</f>
        <v>Medium</v>
      </c>
    </row>
    <row r="1135" spans="1:22" x14ac:dyDescent="0.3">
      <c r="A1135">
        <v>1134</v>
      </c>
      <c r="B1135">
        <v>55</v>
      </c>
      <c r="C1135" t="s">
        <v>18</v>
      </c>
      <c r="D1135" t="s">
        <v>24</v>
      </c>
      <c r="E1135">
        <v>2.5</v>
      </c>
      <c r="F1135">
        <v>4.3</v>
      </c>
      <c r="G1135">
        <v>0</v>
      </c>
      <c r="H1135" t="str">
        <f t="shared" si="17"/>
        <v>No Night Usage</v>
      </c>
      <c r="I1135">
        <v>7</v>
      </c>
      <c r="J1135" s="3">
        <v>10</v>
      </c>
      <c r="K1135">
        <v>2.6</v>
      </c>
      <c r="L1135" t="s">
        <v>25</v>
      </c>
      <c r="M1135">
        <v>6</v>
      </c>
      <c r="N1135">
        <v>3</v>
      </c>
      <c r="O1135">
        <v>0</v>
      </c>
      <c r="P1135">
        <v>1</v>
      </c>
      <c r="Q1135">
        <v>0</v>
      </c>
      <c r="R1135">
        <v>0</v>
      </c>
      <c r="S1135">
        <v>1</v>
      </c>
      <c r="T1135" t="str">
        <f>IF(mental_health[Sleep_Hours]&lt;5,"Low",IF(mental_health[Sleep_Hours]&lt;7,"Medium","Good"))</f>
        <v>Good</v>
      </c>
      <c r="U1135" t="str">
        <f>IF(mental_health[Stress_Level]&lt;=3,"Low",IF(mental_health[Stress_Level]&lt;=7,"Medium","High"))</f>
        <v>High</v>
      </c>
      <c r="V1135" t="str">
        <f>IF(mental_health[Daily_Screen_Time]&lt;=4,"Low",IF(mental_health[Daily_Screen_Time]&lt;=8,"Medium","High"))</f>
        <v>Low</v>
      </c>
    </row>
    <row r="1136" spans="1:22" x14ac:dyDescent="0.3">
      <c r="A1136">
        <v>1135</v>
      </c>
      <c r="B1136">
        <v>22</v>
      </c>
      <c r="C1136" t="s">
        <v>18</v>
      </c>
      <c r="D1136" t="s">
        <v>22</v>
      </c>
      <c r="E1136">
        <v>6</v>
      </c>
      <c r="F1136">
        <v>4.0999999999999996</v>
      </c>
      <c r="G1136">
        <v>1</v>
      </c>
      <c r="H1136" t="str">
        <f t="shared" si="17"/>
        <v>Night Usage</v>
      </c>
      <c r="I1136">
        <v>5.3</v>
      </c>
      <c r="J1136" s="3">
        <v>1</v>
      </c>
      <c r="K1136">
        <v>5.2</v>
      </c>
      <c r="L1136" t="s">
        <v>20</v>
      </c>
      <c r="M1136">
        <v>9</v>
      </c>
      <c r="N1136">
        <v>4</v>
      </c>
      <c r="O1136">
        <v>0</v>
      </c>
      <c r="P1136">
        <v>0</v>
      </c>
      <c r="Q1136">
        <v>0</v>
      </c>
      <c r="R1136">
        <v>1</v>
      </c>
      <c r="S1136">
        <v>0</v>
      </c>
      <c r="T1136" t="str">
        <f>IF(mental_health[Sleep_Hours]&lt;5,"Low",IF(mental_health[Sleep_Hours]&lt;7,"Medium","Good"))</f>
        <v>Medium</v>
      </c>
      <c r="U1136" t="str">
        <f>IF(mental_health[Stress_Level]&lt;=3,"Low",IF(mental_health[Stress_Level]&lt;=7,"Medium","High"))</f>
        <v>Low</v>
      </c>
      <c r="V1136" t="str">
        <f>IF(mental_health[Daily_Screen_Time]&lt;=4,"Low",IF(mental_health[Daily_Screen_Time]&lt;=8,"Medium","High"))</f>
        <v>Medium</v>
      </c>
    </row>
    <row r="1137" spans="1:22" x14ac:dyDescent="0.3">
      <c r="A1137">
        <v>1136</v>
      </c>
      <c r="B1137">
        <v>16</v>
      </c>
      <c r="C1137" t="s">
        <v>18</v>
      </c>
      <c r="D1137" t="s">
        <v>19</v>
      </c>
      <c r="E1137">
        <v>8.6999999999999993</v>
      </c>
      <c r="F1137">
        <v>1</v>
      </c>
      <c r="G1137">
        <v>1</v>
      </c>
      <c r="H1137" t="str">
        <f t="shared" si="17"/>
        <v>Night Usage</v>
      </c>
      <c r="I1137">
        <v>4.5</v>
      </c>
      <c r="J1137" s="3">
        <v>6</v>
      </c>
      <c r="K1137">
        <v>11.9</v>
      </c>
      <c r="L1137" t="s">
        <v>25</v>
      </c>
      <c r="M1137">
        <v>9</v>
      </c>
      <c r="N1137">
        <v>4</v>
      </c>
      <c r="O1137">
        <v>0</v>
      </c>
      <c r="P1137">
        <v>1</v>
      </c>
      <c r="Q1137">
        <v>0</v>
      </c>
      <c r="R1137">
        <v>0</v>
      </c>
      <c r="S1137">
        <v>1</v>
      </c>
      <c r="T1137" t="str">
        <f>IF(mental_health[Sleep_Hours]&lt;5,"Low",IF(mental_health[Sleep_Hours]&lt;7,"Medium","Good"))</f>
        <v>Low</v>
      </c>
      <c r="U1137" t="str">
        <f>IF(mental_health[Stress_Level]&lt;=3,"Low",IF(mental_health[Stress_Level]&lt;=7,"Medium","High"))</f>
        <v>Medium</v>
      </c>
      <c r="V1137" t="str">
        <f>IF(mental_health[Daily_Screen_Time]&lt;=4,"Low",IF(mental_health[Daily_Screen_Time]&lt;=8,"Medium","High"))</f>
        <v>High</v>
      </c>
    </row>
    <row r="1138" spans="1:22" x14ac:dyDescent="0.3">
      <c r="A1138">
        <v>1137</v>
      </c>
      <c r="B1138">
        <v>47</v>
      </c>
      <c r="C1138" t="s">
        <v>23</v>
      </c>
      <c r="D1138" t="s">
        <v>22</v>
      </c>
      <c r="E1138">
        <v>6.5</v>
      </c>
      <c r="F1138">
        <v>6.7</v>
      </c>
      <c r="G1138">
        <v>1</v>
      </c>
      <c r="H1138" t="str">
        <f t="shared" si="17"/>
        <v>Night Usage</v>
      </c>
      <c r="I1138">
        <v>4</v>
      </c>
      <c r="J1138" s="3">
        <v>2</v>
      </c>
      <c r="K1138">
        <v>6.2</v>
      </c>
      <c r="L1138" t="s">
        <v>20</v>
      </c>
      <c r="M1138">
        <v>8</v>
      </c>
      <c r="N1138">
        <v>3</v>
      </c>
      <c r="O1138">
        <v>0</v>
      </c>
      <c r="P1138">
        <v>0</v>
      </c>
      <c r="Q1138">
        <v>1</v>
      </c>
      <c r="R1138">
        <v>1</v>
      </c>
      <c r="S1138">
        <v>1</v>
      </c>
      <c r="T1138" t="str">
        <f>IF(mental_health[Sleep_Hours]&lt;5,"Low",IF(mental_health[Sleep_Hours]&lt;7,"Medium","Good"))</f>
        <v>Low</v>
      </c>
      <c r="U1138" t="str">
        <f>IF(mental_health[Stress_Level]&lt;=3,"Low",IF(mental_health[Stress_Level]&lt;=7,"Medium","High"))</f>
        <v>Low</v>
      </c>
      <c r="V1138" t="str">
        <f>IF(mental_health[Daily_Screen_Time]&lt;=4,"Low",IF(mental_health[Daily_Screen_Time]&lt;=8,"Medium","High"))</f>
        <v>Medium</v>
      </c>
    </row>
    <row r="1139" spans="1:22" x14ac:dyDescent="0.3">
      <c r="A1139">
        <v>1138</v>
      </c>
      <c r="B1139">
        <v>28</v>
      </c>
      <c r="C1139" t="s">
        <v>18</v>
      </c>
      <c r="D1139" t="s">
        <v>24</v>
      </c>
      <c r="E1139">
        <v>9.5</v>
      </c>
      <c r="F1139">
        <v>3.5</v>
      </c>
      <c r="G1139">
        <v>1</v>
      </c>
      <c r="H1139" t="str">
        <f t="shared" si="17"/>
        <v>Night Usage</v>
      </c>
      <c r="I1139">
        <v>5.0999999999999996</v>
      </c>
      <c r="J1139" s="3">
        <v>7</v>
      </c>
      <c r="K1139">
        <v>3.3</v>
      </c>
      <c r="L1139" t="s">
        <v>25</v>
      </c>
      <c r="M1139">
        <v>1</v>
      </c>
      <c r="N1139">
        <v>3</v>
      </c>
      <c r="O1139">
        <v>1</v>
      </c>
      <c r="P1139">
        <v>1</v>
      </c>
      <c r="Q1139">
        <v>0</v>
      </c>
      <c r="R1139">
        <v>1</v>
      </c>
      <c r="S1139">
        <v>0</v>
      </c>
      <c r="T1139" t="str">
        <f>IF(mental_health[Sleep_Hours]&lt;5,"Low",IF(mental_health[Sleep_Hours]&lt;7,"Medium","Good"))</f>
        <v>Medium</v>
      </c>
      <c r="U1139" t="str">
        <f>IF(mental_health[Stress_Level]&lt;=3,"Low",IF(mental_health[Stress_Level]&lt;=7,"Medium","High"))</f>
        <v>Medium</v>
      </c>
      <c r="V1139" t="str">
        <f>IF(mental_health[Daily_Screen_Time]&lt;=4,"Low",IF(mental_health[Daily_Screen_Time]&lt;=8,"Medium","High"))</f>
        <v>High</v>
      </c>
    </row>
    <row r="1140" spans="1:22" x14ac:dyDescent="0.3">
      <c r="A1140">
        <v>1139</v>
      </c>
      <c r="B1140">
        <v>45</v>
      </c>
      <c r="C1140" t="s">
        <v>18</v>
      </c>
      <c r="D1140" t="s">
        <v>22</v>
      </c>
      <c r="E1140">
        <v>5.6</v>
      </c>
      <c r="F1140">
        <v>4.8</v>
      </c>
      <c r="G1140">
        <v>1</v>
      </c>
      <c r="H1140" t="str">
        <f t="shared" si="17"/>
        <v>Night Usage</v>
      </c>
      <c r="I1140">
        <v>7.5</v>
      </c>
      <c r="J1140" s="3">
        <v>4</v>
      </c>
      <c r="K1140">
        <v>11.7</v>
      </c>
      <c r="L1140" t="s">
        <v>21</v>
      </c>
      <c r="M1140">
        <v>6</v>
      </c>
      <c r="N1140">
        <v>0</v>
      </c>
      <c r="O1140">
        <v>1</v>
      </c>
      <c r="P1140">
        <v>0</v>
      </c>
      <c r="Q1140">
        <v>0</v>
      </c>
      <c r="R1140">
        <v>0</v>
      </c>
      <c r="S1140">
        <v>1</v>
      </c>
      <c r="T1140" t="str">
        <f>IF(mental_health[Sleep_Hours]&lt;5,"Low",IF(mental_health[Sleep_Hours]&lt;7,"Medium","Good"))</f>
        <v>Good</v>
      </c>
      <c r="U1140" t="str">
        <f>IF(mental_health[Stress_Level]&lt;=3,"Low",IF(mental_health[Stress_Level]&lt;=7,"Medium","High"))</f>
        <v>Medium</v>
      </c>
      <c r="V1140" t="str">
        <f>IF(mental_health[Daily_Screen_Time]&lt;=4,"Low",IF(mental_health[Daily_Screen_Time]&lt;=8,"Medium","High"))</f>
        <v>Medium</v>
      </c>
    </row>
    <row r="1141" spans="1:22" x14ac:dyDescent="0.3">
      <c r="A1141">
        <v>1140</v>
      </c>
      <c r="B1141">
        <v>38</v>
      </c>
      <c r="C1141" t="s">
        <v>23</v>
      </c>
      <c r="D1141" t="s">
        <v>24</v>
      </c>
      <c r="E1141">
        <v>8.3000000000000007</v>
      </c>
      <c r="F1141">
        <v>5.7</v>
      </c>
      <c r="G1141">
        <v>0</v>
      </c>
      <c r="H1141" t="str">
        <f t="shared" si="17"/>
        <v>No Night Usage</v>
      </c>
      <c r="I1141">
        <v>7.5</v>
      </c>
      <c r="J1141" s="3">
        <v>5</v>
      </c>
      <c r="K1141">
        <v>11.8</v>
      </c>
      <c r="L1141" t="s">
        <v>20</v>
      </c>
      <c r="M1141">
        <v>4</v>
      </c>
      <c r="N1141">
        <v>3</v>
      </c>
      <c r="O1141">
        <v>0</v>
      </c>
      <c r="P1141">
        <v>0</v>
      </c>
      <c r="Q1141">
        <v>1</v>
      </c>
      <c r="R1141">
        <v>0</v>
      </c>
      <c r="S1141">
        <v>0</v>
      </c>
      <c r="T1141" t="str">
        <f>IF(mental_health[Sleep_Hours]&lt;5,"Low",IF(mental_health[Sleep_Hours]&lt;7,"Medium","Good"))</f>
        <v>Good</v>
      </c>
      <c r="U1141" t="str">
        <f>IF(mental_health[Stress_Level]&lt;=3,"Low",IF(mental_health[Stress_Level]&lt;=7,"Medium","High"))</f>
        <v>Medium</v>
      </c>
      <c r="V1141" t="str">
        <f>IF(mental_health[Daily_Screen_Time]&lt;=4,"Low",IF(mental_health[Daily_Screen_Time]&lt;=8,"Medium","High"))</f>
        <v>High</v>
      </c>
    </row>
    <row r="1142" spans="1:22" x14ac:dyDescent="0.3">
      <c r="A1142">
        <v>1141</v>
      </c>
      <c r="B1142">
        <v>34</v>
      </c>
      <c r="C1142" t="s">
        <v>23</v>
      </c>
      <c r="D1142" t="s">
        <v>24</v>
      </c>
      <c r="E1142">
        <v>3.9</v>
      </c>
      <c r="F1142">
        <v>5.9</v>
      </c>
      <c r="G1142">
        <v>0</v>
      </c>
      <c r="H1142" t="str">
        <f t="shared" si="17"/>
        <v>No Night Usage</v>
      </c>
      <c r="I1142">
        <v>7</v>
      </c>
      <c r="J1142" s="3">
        <v>5</v>
      </c>
      <c r="K1142">
        <v>3.9</v>
      </c>
      <c r="L1142" t="s">
        <v>21</v>
      </c>
      <c r="M1142">
        <v>4</v>
      </c>
      <c r="N1142">
        <v>2</v>
      </c>
      <c r="O1142">
        <v>0</v>
      </c>
      <c r="P1142">
        <v>0</v>
      </c>
      <c r="Q1142">
        <v>0</v>
      </c>
      <c r="R1142">
        <v>0</v>
      </c>
      <c r="S1142">
        <v>1</v>
      </c>
      <c r="T1142" t="str">
        <f>IF(mental_health[Sleep_Hours]&lt;5,"Low",IF(mental_health[Sleep_Hours]&lt;7,"Medium","Good"))</f>
        <v>Good</v>
      </c>
      <c r="U1142" t="str">
        <f>IF(mental_health[Stress_Level]&lt;=3,"Low",IF(mental_health[Stress_Level]&lt;=7,"Medium","High"))</f>
        <v>Medium</v>
      </c>
      <c r="V1142" t="str">
        <f>IF(mental_health[Daily_Screen_Time]&lt;=4,"Low",IF(mental_health[Daily_Screen_Time]&lt;=8,"Medium","High"))</f>
        <v>Low</v>
      </c>
    </row>
    <row r="1143" spans="1:22" x14ac:dyDescent="0.3">
      <c r="A1143">
        <v>1142</v>
      </c>
      <c r="B1143">
        <v>47</v>
      </c>
      <c r="C1143" t="s">
        <v>23</v>
      </c>
      <c r="D1143" t="s">
        <v>24</v>
      </c>
      <c r="E1143">
        <v>9.5</v>
      </c>
      <c r="F1143">
        <v>7.7</v>
      </c>
      <c r="G1143">
        <v>1</v>
      </c>
      <c r="H1143" t="str">
        <f t="shared" si="17"/>
        <v>Night Usage</v>
      </c>
      <c r="I1143">
        <v>4.4000000000000004</v>
      </c>
      <c r="J1143" s="3">
        <v>5</v>
      </c>
      <c r="K1143">
        <v>10.6</v>
      </c>
      <c r="L1143" t="s">
        <v>20</v>
      </c>
      <c r="M1143">
        <v>3</v>
      </c>
      <c r="N1143">
        <v>4</v>
      </c>
      <c r="O1143">
        <v>1</v>
      </c>
      <c r="P1143">
        <v>1</v>
      </c>
      <c r="Q1143">
        <v>1</v>
      </c>
      <c r="R1143">
        <v>0</v>
      </c>
      <c r="S1143">
        <v>0</v>
      </c>
      <c r="T1143" t="str">
        <f>IF(mental_health[Sleep_Hours]&lt;5,"Low",IF(mental_health[Sleep_Hours]&lt;7,"Medium","Good"))</f>
        <v>Low</v>
      </c>
      <c r="U1143" t="str">
        <f>IF(mental_health[Stress_Level]&lt;=3,"Low",IF(mental_health[Stress_Level]&lt;=7,"Medium","High"))</f>
        <v>Medium</v>
      </c>
      <c r="V1143" t="str">
        <f>IF(mental_health[Daily_Screen_Time]&lt;=4,"Low",IF(mental_health[Daily_Screen_Time]&lt;=8,"Medium","High"))</f>
        <v>High</v>
      </c>
    </row>
    <row r="1144" spans="1:22" x14ac:dyDescent="0.3">
      <c r="A1144">
        <v>1143</v>
      </c>
      <c r="B1144">
        <v>45</v>
      </c>
      <c r="C1144" t="s">
        <v>23</v>
      </c>
      <c r="D1144" t="s">
        <v>22</v>
      </c>
      <c r="E1144">
        <v>7.5</v>
      </c>
      <c r="F1144">
        <v>4.7</v>
      </c>
      <c r="G1144">
        <v>0</v>
      </c>
      <c r="H1144" t="str">
        <f t="shared" si="17"/>
        <v>No Night Usage</v>
      </c>
      <c r="I1144">
        <v>6.5</v>
      </c>
      <c r="J1144" s="3">
        <v>2</v>
      </c>
      <c r="K1144">
        <v>5.9</v>
      </c>
      <c r="L1144" t="s">
        <v>21</v>
      </c>
      <c r="M1144">
        <v>9</v>
      </c>
      <c r="N1144">
        <v>3</v>
      </c>
      <c r="O1144">
        <v>1</v>
      </c>
      <c r="P1144">
        <v>0</v>
      </c>
      <c r="Q1144">
        <v>1</v>
      </c>
      <c r="R1144">
        <v>0</v>
      </c>
      <c r="S1144">
        <v>0</v>
      </c>
      <c r="T1144" t="str">
        <f>IF(mental_health[Sleep_Hours]&lt;5,"Low",IF(mental_health[Sleep_Hours]&lt;7,"Medium","Good"))</f>
        <v>Medium</v>
      </c>
      <c r="U1144" t="str">
        <f>IF(mental_health[Stress_Level]&lt;=3,"Low",IF(mental_health[Stress_Level]&lt;=7,"Medium","High"))</f>
        <v>Low</v>
      </c>
      <c r="V1144" t="str">
        <f>IF(mental_health[Daily_Screen_Time]&lt;=4,"Low",IF(mental_health[Daily_Screen_Time]&lt;=8,"Medium","High"))</f>
        <v>Medium</v>
      </c>
    </row>
    <row r="1145" spans="1:22" x14ac:dyDescent="0.3">
      <c r="A1145">
        <v>1144</v>
      </c>
      <c r="B1145">
        <v>44</v>
      </c>
      <c r="C1145" t="s">
        <v>23</v>
      </c>
      <c r="D1145" t="s">
        <v>24</v>
      </c>
      <c r="E1145">
        <v>4</v>
      </c>
      <c r="F1145">
        <v>3.8</v>
      </c>
      <c r="G1145">
        <v>1</v>
      </c>
      <c r="H1145" t="str">
        <f t="shared" si="17"/>
        <v>Night Usage</v>
      </c>
      <c r="I1145">
        <v>6.4</v>
      </c>
      <c r="J1145" s="3">
        <v>5</v>
      </c>
      <c r="K1145">
        <v>5.8</v>
      </c>
      <c r="L1145" t="s">
        <v>21</v>
      </c>
      <c r="M1145">
        <v>2</v>
      </c>
      <c r="N1145">
        <v>0</v>
      </c>
      <c r="O1145">
        <v>0</v>
      </c>
      <c r="P1145">
        <v>1</v>
      </c>
      <c r="Q1145">
        <v>0</v>
      </c>
      <c r="R1145">
        <v>0</v>
      </c>
      <c r="S1145">
        <v>0</v>
      </c>
      <c r="T1145" t="str">
        <f>IF(mental_health[Sleep_Hours]&lt;5,"Low",IF(mental_health[Sleep_Hours]&lt;7,"Medium","Good"))</f>
        <v>Medium</v>
      </c>
      <c r="U1145" t="str">
        <f>IF(mental_health[Stress_Level]&lt;=3,"Low",IF(mental_health[Stress_Level]&lt;=7,"Medium","High"))</f>
        <v>Medium</v>
      </c>
      <c r="V1145" t="str">
        <f>IF(mental_health[Daily_Screen_Time]&lt;=4,"Low",IF(mental_health[Daily_Screen_Time]&lt;=8,"Medium","High"))</f>
        <v>Low</v>
      </c>
    </row>
    <row r="1146" spans="1:22" x14ac:dyDescent="0.3">
      <c r="A1146">
        <v>1145</v>
      </c>
      <c r="B1146">
        <v>44</v>
      </c>
      <c r="C1146" t="s">
        <v>18</v>
      </c>
      <c r="D1146" t="s">
        <v>24</v>
      </c>
      <c r="E1146">
        <v>4.9000000000000004</v>
      </c>
      <c r="F1146">
        <v>7.7</v>
      </c>
      <c r="G1146">
        <v>0</v>
      </c>
      <c r="H1146" t="str">
        <f t="shared" si="17"/>
        <v>No Night Usage</v>
      </c>
      <c r="I1146">
        <v>5.9</v>
      </c>
      <c r="J1146" s="3">
        <v>3</v>
      </c>
      <c r="K1146">
        <v>4.5999999999999996</v>
      </c>
      <c r="L1146" t="s">
        <v>25</v>
      </c>
      <c r="M1146">
        <v>1</v>
      </c>
      <c r="N1146">
        <v>3</v>
      </c>
      <c r="O1146">
        <v>0</v>
      </c>
      <c r="P1146">
        <v>1</v>
      </c>
      <c r="Q1146">
        <v>1</v>
      </c>
      <c r="R1146">
        <v>0</v>
      </c>
      <c r="S1146">
        <v>1</v>
      </c>
      <c r="T1146" t="str">
        <f>IF(mental_health[Sleep_Hours]&lt;5,"Low",IF(mental_health[Sleep_Hours]&lt;7,"Medium","Good"))</f>
        <v>Medium</v>
      </c>
      <c r="U1146" t="str">
        <f>IF(mental_health[Stress_Level]&lt;=3,"Low",IF(mental_health[Stress_Level]&lt;=7,"Medium","High"))</f>
        <v>Low</v>
      </c>
      <c r="V1146" t="str">
        <f>IF(mental_health[Daily_Screen_Time]&lt;=4,"Low",IF(mental_health[Daily_Screen_Time]&lt;=8,"Medium","High"))</f>
        <v>Medium</v>
      </c>
    </row>
    <row r="1147" spans="1:22" x14ac:dyDescent="0.3">
      <c r="A1147">
        <v>1146</v>
      </c>
      <c r="B1147">
        <v>45</v>
      </c>
      <c r="C1147" t="s">
        <v>23</v>
      </c>
      <c r="D1147" t="s">
        <v>22</v>
      </c>
      <c r="E1147">
        <v>9.5</v>
      </c>
      <c r="F1147">
        <v>5.5</v>
      </c>
      <c r="G1147">
        <v>0</v>
      </c>
      <c r="H1147" t="str">
        <f t="shared" si="17"/>
        <v>No Night Usage</v>
      </c>
      <c r="I1147">
        <v>6.3</v>
      </c>
      <c r="J1147" s="3">
        <v>4</v>
      </c>
      <c r="K1147">
        <v>2.4</v>
      </c>
      <c r="L1147" t="s">
        <v>20</v>
      </c>
      <c r="M1147">
        <v>10</v>
      </c>
      <c r="N1147">
        <v>4</v>
      </c>
      <c r="O1147">
        <v>0</v>
      </c>
      <c r="P1147">
        <v>0</v>
      </c>
      <c r="Q1147">
        <v>1</v>
      </c>
      <c r="R1147">
        <v>1</v>
      </c>
      <c r="S1147">
        <v>0</v>
      </c>
      <c r="T1147" t="str">
        <f>IF(mental_health[Sleep_Hours]&lt;5,"Low",IF(mental_health[Sleep_Hours]&lt;7,"Medium","Good"))</f>
        <v>Medium</v>
      </c>
      <c r="U1147" t="str">
        <f>IF(mental_health[Stress_Level]&lt;=3,"Low",IF(mental_health[Stress_Level]&lt;=7,"Medium","High"))</f>
        <v>Medium</v>
      </c>
      <c r="V1147" t="str">
        <f>IF(mental_health[Daily_Screen_Time]&lt;=4,"Low",IF(mental_health[Daily_Screen_Time]&lt;=8,"Medium","High"))</f>
        <v>High</v>
      </c>
    </row>
    <row r="1148" spans="1:22" x14ac:dyDescent="0.3">
      <c r="A1148">
        <v>1147</v>
      </c>
      <c r="B1148">
        <v>31</v>
      </c>
      <c r="C1148" t="s">
        <v>18</v>
      </c>
      <c r="D1148" t="s">
        <v>24</v>
      </c>
      <c r="E1148">
        <v>6.8</v>
      </c>
      <c r="F1148">
        <v>3.1</v>
      </c>
      <c r="G1148">
        <v>1</v>
      </c>
      <c r="H1148" t="str">
        <f t="shared" si="17"/>
        <v>Night Usage</v>
      </c>
      <c r="I1148">
        <v>6</v>
      </c>
      <c r="J1148" s="3">
        <v>2</v>
      </c>
      <c r="K1148">
        <v>4.7</v>
      </c>
      <c r="L1148" t="s">
        <v>25</v>
      </c>
      <c r="M1148">
        <v>3</v>
      </c>
      <c r="N1148">
        <v>1</v>
      </c>
      <c r="O1148">
        <v>0</v>
      </c>
      <c r="P1148">
        <v>0</v>
      </c>
      <c r="Q1148">
        <v>1</v>
      </c>
      <c r="R1148">
        <v>1</v>
      </c>
      <c r="S1148">
        <v>0</v>
      </c>
      <c r="T1148" t="str">
        <f>IF(mental_health[Sleep_Hours]&lt;5,"Low",IF(mental_health[Sleep_Hours]&lt;7,"Medium","Good"))</f>
        <v>Medium</v>
      </c>
      <c r="U1148" t="str">
        <f>IF(mental_health[Stress_Level]&lt;=3,"Low",IF(mental_health[Stress_Level]&lt;=7,"Medium","High"))</f>
        <v>Low</v>
      </c>
      <c r="V1148" t="str">
        <f>IF(mental_health[Daily_Screen_Time]&lt;=4,"Low",IF(mental_health[Daily_Screen_Time]&lt;=8,"Medium","High"))</f>
        <v>Medium</v>
      </c>
    </row>
    <row r="1149" spans="1:22" x14ac:dyDescent="0.3">
      <c r="A1149">
        <v>1148</v>
      </c>
      <c r="B1149">
        <v>55</v>
      </c>
      <c r="C1149" t="s">
        <v>18</v>
      </c>
      <c r="D1149" t="s">
        <v>22</v>
      </c>
      <c r="E1149">
        <v>4.2</v>
      </c>
      <c r="F1149">
        <v>1.9</v>
      </c>
      <c r="G1149">
        <v>1</v>
      </c>
      <c r="H1149" t="str">
        <f t="shared" si="17"/>
        <v>Night Usage</v>
      </c>
      <c r="I1149">
        <v>6.4</v>
      </c>
      <c r="J1149" s="3">
        <v>4</v>
      </c>
      <c r="K1149">
        <v>2.5</v>
      </c>
      <c r="L1149" t="s">
        <v>21</v>
      </c>
      <c r="M1149">
        <v>4</v>
      </c>
      <c r="N1149">
        <v>3</v>
      </c>
      <c r="O1149">
        <v>0</v>
      </c>
      <c r="P1149">
        <v>1</v>
      </c>
      <c r="Q1149">
        <v>0</v>
      </c>
      <c r="R1149">
        <v>1</v>
      </c>
      <c r="S1149">
        <v>0</v>
      </c>
      <c r="T1149" t="str">
        <f>IF(mental_health[Sleep_Hours]&lt;5,"Low",IF(mental_health[Sleep_Hours]&lt;7,"Medium","Good"))</f>
        <v>Medium</v>
      </c>
      <c r="U1149" t="str">
        <f>IF(mental_health[Stress_Level]&lt;=3,"Low",IF(mental_health[Stress_Level]&lt;=7,"Medium","High"))</f>
        <v>Medium</v>
      </c>
      <c r="V1149" t="str">
        <f>IF(mental_health[Daily_Screen_Time]&lt;=4,"Low",IF(mental_health[Daily_Screen_Time]&lt;=8,"Medium","High"))</f>
        <v>Medium</v>
      </c>
    </row>
    <row r="1150" spans="1:22" x14ac:dyDescent="0.3">
      <c r="A1150">
        <v>1149</v>
      </c>
      <c r="B1150">
        <v>34</v>
      </c>
      <c r="C1150" t="s">
        <v>23</v>
      </c>
      <c r="D1150" t="s">
        <v>24</v>
      </c>
      <c r="E1150">
        <v>11.7</v>
      </c>
      <c r="F1150">
        <v>6.9</v>
      </c>
      <c r="G1150">
        <v>0</v>
      </c>
      <c r="H1150" t="str">
        <f t="shared" si="17"/>
        <v>No Night Usage</v>
      </c>
      <c r="I1150">
        <v>7.3</v>
      </c>
      <c r="J1150" s="3">
        <v>9</v>
      </c>
      <c r="K1150">
        <v>11.2</v>
      </c>
      <c r="L1150" t="s">
        <v>20</v>
      </c>
      <c r="M1150">
        <v>4</v>
      </c>
      <c r="N1150">
        <v>2</v>
      </c>
      <c r="O1150">
        <v>0</v>
      </c>
      <c r="P1150">
        <v>1</v>
      </c>
      <c r="Q1150">
        <v>1</v>
      </c>
      <c r="R1150">
        <v>1</v>
      </c>
      <c r="S1150">
        <v>0</v>
      </c>
      <c r="T1150" t="str">
        <f>IF(mental_health[Sleep_Hours]&lt;5,"Low",IF(mental_health[Sleep_Hours]&lt;7,"Medium","Good"))</f>
        <v>Good</v>
      </c>
      <c r="U1150" t="str">
        <f>IF(mental_health[Stress_Level]&lt;=3,"Low",IF(mental_health[Stress_Level]&lt;=7,"Medium","High"))</f>
        <v>High</v>
      </c>
      <c r="V1150" t="str">
        <f>IF(mental_health[Daily_Screen_Time]&lt;=4,"Low",IF(mental_health[Daily_Screen_Time]&lt;=8,"Medium","High"))</f>
        <v>High</v>
      </c>
    </row>
    <row r="1151" spans="1:22" x14ac:dyDescent="0.3">
      <c r="A1151">
        <v>1150</v>
      </c>
      <c r="B1151">
        <v>33</v>
      </c>
      <c r="C1151" t="s">
        <v>23</v>
      </c>
      <c r="D1151" t="s">
        <v>19</v>
      </c>
      <c r="E1151">
        <v>9.1999999999999993</v>
      </c>
      <c r="F1151">
        <v>3.5</v>
      </c>
      <c r="G1151">
        <v>0</v>
      </c>
      <c r="H1151" t="str">
        <f t="shared" si="17"/>
        <v>No Night Usage</v>
      </c>
      <c r="I1151">
        <v>3.7</v>
      </c>
      <c r="J1151" s="3">
        <v>8</v>
      </c>
      <c r="K1151">
        <v>8.6</v>
      </c>
      <c r="L1151" t="s">
        <v>21</v>
      </c>
      <c r="M1151">
        <v>6</v>
      </c>
      <c r="N1151">
        <v>4</v>
      </c>
      <c r="O1151">
        <v>1</v>
      </c>
      <c r="P1151">
        <v>1</v>
      </c>
      <c r="Q1151">
        <v>1</v>
      </c>
      <c r="R1151">
        <v>0</v>
      </c>
      <c r="S1151">
        <v>1</v>
      </c>
      <c r="T1151" t="str">
        <f>IF(mental_health[Sleep_Hours]&lt;5,"Low",IF(mental_health[Sleep_Hours]&lt;7,"Medium","Good"))</f>
        <v>Low</v>
      </c>
      <c r="U1151" t="str">
        <f>IF(mental_health[Stress_Level]&lt;=3,"Low",IF(mental_health[Stress_Level]&lt;=7,"Medium","High"))</f>
        <v>High</v>
      </c>
      <c r="V1151" t="str">
        <f>IF(mental_health[Daily_Screen_Time]&lt;=4,"Low",IF(mental_health[Daily_Screen_Time]&lt;=8,"Medium","High"))</f>
        <v>High</v>
      </c>
    </row>
    <row r="1152" spans="1:22" x14ac:dyDescent="0.3">
      <c r="A1152">
        <v>1151</v>
      </c>
      <c r="B1152">
        <v>16</v>
      </c>
      <c r="C1152" t="s">
        <v>23</v>
      </c>
      <c r="D1152" t="s">
        <v>19</v>
      </c>
      <c r="E1152">
        <v>11.6</v>
      </c>
      <c r="F1152">
        <v>5.6</v>
      </c>
      <c r="G1152">
        <v>1</v>
      </c>
      <c r="H1152" t="str">
        <f t="shared" si="17"/>
        <v>Night Usage</v>
      </c>
      <c r="I1152">
        <v>7.5</v>
      </c>
      <c r="J1152" s="3">
        <v>3</v>
      </c>
      <c r="K1152">
        <v>10.9</v>
      </c>
      <c r="L1152" t="s">
        <v>21</v>
      </c>
      <c r="M1152">
        <v>1</v>
      </c>
      <c r="N1152">
        <v>0</v>
      </c>
      <c r="O1152">
        <v>1</v>
      </c>
      <c r="P1152">
        <v>0</v>
      </c>
      <c r="Q1152">
        <v>0</v>
      </c>
      <c r="R1152">
        <v>1</v>
      </c>
      <c r="S1152">
        <v>1</v>
      </c>
      <c r="T1152" t="str">
        <f>IF(mental_health[Sleep_Hours]&lt;5,"Low",IF(mental_health[Sleep_Hours]&lt;7,"Medium","Good"))</f>
        <v>Good</v>
      </c>
      <c r="U1152" t="str">
        <f>IF(mental_health[Stress_Level]&lt;=3,"Low",IF(mental_health[Stress_Level]&lt;=7,"Medium","High"))</f>
        <v>Low</v>
      </c>
      <c r="V1152" t="str">
        <f>IF(mental_health[Daily_Screen_Time]&lt;=4,"Low",IF(mental_health[Daily_Screen_Time]&lt;=8,"Medium","High"))</f>
        <v>High</v>
      </c>
    </row>
    <row r="1153" spans="1:22" x14ac:dyDescent="0.3">
      <c r="A1153">
        <v>1152</v>
      </c>
      <c r="B1153">
        <v>29</v>
      </c>
      <c r="C1153" t="s">
        <v>18</v>
      </c>
      <c r="D1153" t="s">
        <v>24</v>
      </c>
      <c r="E1153">
        <v>6.3</v>
      </c>
      <c r="F1153">
        <v>4.3</v>
      </c>
      <c r="G1153">
        <v>0</v>
      </c>
      <c r="H1153" t="str">
        <f t="shared" si="17"/>
        <v>No Night Usage</v>
      </c>
      <c r="I1153">
        <v>3.8</v>
      </c>
      <c r="J1153" s="3">
        <v>1</v>
      </c>
      <c r="K1153">
        <v>9.1999999999999993</v>
      </c>
      <c r="L1153" t="s">
        <v>21</v>
      </c>
      <c r="M1153">
        <v>1</v>
      </c>
      <c r="N1153">
        <v>4</v>
      </c>
      <c r="O1153">
        <v>1</v>
      </c>
      <c r="P1153">
        <v>1</v>
      </c>
      <c r="Q1153">
        <v>1</v>
      </c>
      <c r="R1153">
        <v>1</v>
      </c>
      <c r="S1153">
        <v>0</v>
      </c>
      <c r="T1153" t="str">
        <f>IF(mental_health[Sleep_Hours]&lt;5,"Low",IF(mental_health[Sleep_Hours]&lt;7,"Medium","Good"))</f>
        <v>Low</v>
      </c>
      <c r="U1153" t="str">
        <f>IF(mental_health[Stress_Level]&lt;=3,"Low",IF(mental_health[Stress_Level]&lt;=7,"Medium","High"))</f>
        <v>Low</v>
      </c>
      <c r="V1153" t="str">
        <f>IF(mental_health[Daily_Screen_Time]&lt;=4,"Low",IF(mental_health[Daily_Screen_Time]&lt;=8,"Medium","High"))</f>
        <v>Medium</v>
      </c>
    </row>
    <row r="1154" spans="1:22" x14ac:dyDescent="0.3">
      <c r="A1154">
        <v>1153</v>
      </c>
      <c r="B1154">
        <v>17</v>
      </c>
      <c r="C1154" t="s">
        <v>23</v>
      </c>
      <c r="D1154" t="s">
        <v>19</v>
      </c>
      <c r="E1154">
        <v>6.8</v>
      </c>
      <c r="F1154">
        <v>2.4</v>
      </c>
      <c r="G1154">
        <v>0</v>
      </c>
      <c r="H1154" t="str">
        <f t="shared" ref="H1154:H1217" si="18">IF(G1154=1,"Night Usage","No Night Usage")</f>
        <v>No Night Usage</v>
      </c>
      <c r="I1154">
        <v>3.4</v>
      </c>
      <c r="J1154" s="3">
        <v>1</v>
      </c>
      <c r="K1154">
        <v>3.3</v>
      </c>
      <c r="L1154" t="s">
        <v>21</v>
      </c>
      <c r="M1154">
        <v>2</v>
      </c>
      <c r="N1154">
        <v>1</v>
      </c>
      <c r="O1154">
        <v>1</v>
      </c>
      <c r="P1154">
        <v>1</v>
      </c>
      <c r="Q1154">
        <v>0</v>
      </c>
      <c r="R1154">
        <v>0</v>
      </c>
      <c r="S1154">
        <v>1</v>
      </c>
      <c r="T1154" t="str">
        <f>IF(mental_health[Sleep_Hours]&lt;5,"Low",IF(mental_health[Sleep_Hours]&lt;7,"Medium","Good"))</f>
        <v>Low</v>
      </c>
      <c r="U1154" t="str">
        <f>IF(mental_health[Stress_Level]&lt;=3,"Low",IF(mental_health[Stress_Level]&lt;=7,"Medium","High"))</f>
        <v>Low</v>
      </c>
      <c r="V1154" t="str">
        <f>IF(mental_health[Daily_Screen_Time]&lt;=4,"Low",IF(mental_health[Daily_Screen_Time]&lt;=8,"Medium","High"))</f>
        <v>Medium</v>
      </c>
    </row>
    <row r="1155" spans="1:22" x14ac:dyDescent="0.3">
      <c r="A1155">
        <v>1154</v>
      </c>
      <c r="B1155">
        <v>43</v>
      </c>
      <c r="C1155" t="s">
        <v>23</v>
      </c>
      <c r="D1155" t="s">
        <v>22</v>
      </c>
      <c r="E1155">
        <v>11</v>
      </c>
      <c r="F1155">
        <v>5.2</v>
      </c>
      <c r="G1155">
        <v>1</v>
      </c>
      <c r="H1155" t="str">
        <f t="shared" si="18"/>
        <v>Night Usage</v>
      </c>
      <c r="I1155">
        <v>8.9</v>
      </c>
      <c r="J1155" s="3">
        <v>6</v>
      </c>
      <c r="K1155">
        <v>11.4</v>
      </c>
      <c r="L1155" t="s">
        <v>25</v>
      </c>
      <c r="M1155">
        <v>4</v>
      </c>
      <c r="N1155">
        <v>0</v>
      </c>
      <c r="O1155">
        <v>0</v>
      </c>
      <c r="P1155">
        <v>1</v>
      </c>
      <c r="Q1155">
        <v>1</v>
      </c>
      <c r="R1155">
        <v>1</v>
      </c>
      <c r="S1155">
        <v>1</v>
      </c>
      <c r="T1155" t="str">
        <f>IF(mental_health[Sleep_Hours]&lt;5,"Low",IF(mental_health[Sleep_Hours]&lt;7,"Medium","Good"))</f>
        <v>Good</v>
      </c>
      <c r="U1155" t="str">
        <f>IF(mental_health[Stress_Level]&lt;=3,"Low",IF(mental_health[Stress_Level]&lt;=7,"Medium","High"))</f>
        <v>Medium</v>
      </c>
      <c r="V1155" t="str">
        <f>IF(mental_health[Daily_Screen_Time]&lt;=4,"Low",IF(mental_health[Daily_Screen_Time]&lt;=8,"Medium","High"))</f>
        <v>High</v>
      </c>
    </row>
    <row r="1156" spans="1:22" x14ac:dyDescent="0.3">
      <c r="A1156">
        <v>1155</v>
      </c>
      <c r="B1156">
        <v>45</v>
      </c>
      <c r="C1156" t="s">
        <v>23</v>
      </c>
      <c r="D1156" t="s">
        <v>19</v>
      </c>
      <c r="E1156">
        <v>7.3</v>
      </c>
      <c r="F1156">
        <v>1.4</v>
      </c>
      <c r="G1156">
        <v>0</v>
      </c>
      <c r="H1156" t="str">
        <f t="shared" si="18"/>
        <v>No Night Usage</v>
      </c>
      <c r="I1156">
        <v>8.6999999999999993</v>
      </c>
      <c r="J1156" s="3">
        <v>3</v>
      </c>
      <c r="K1156">
        <v>11</v>
      </c>
      <c r="L1156" t="s">
        <v>21</v>
      </c>
      <c r="M1156">
        <v>7</v>
      </c>
      <c r="N1156">
        <v>1</v>
      </c>
      <c r="O1156">
        <v>1</v>
      </c>
      <c r="P1156">
        <v>1</v>
      </c>
      <c r="Q1156">
        <v>0</v>
      </c>
      <c r="R1156">
        <v>0</v>
      </c>
      <c r="S1156">
        <v>1</v>
      </c>
      <c r="T1156" t="str">
        <f>IF(mental_health[Sleep_Hours]&lt;5,"Low",IF(mental_health[Sleep_Hours]&lt;7,"Medium","Good"))</f>
        <v>Good</v>
      </c>
      <c r="U1156" t="str">
        <f>IF(mental_health[Stress_Level]&lt;=3,"Low",IF(mental_health[Stress_Level]&lt;=7,"Medium","High"))</f>
        <v>Low</v>
      </c>
      <c r="V1156" t="str">
        <f>IF(mental_health[Daily_Screen_Time]&lt;=4,"Low",IF(mental_health[Daily_Screen_Time]&lt;=8,"Medium","High"))</f>
        <v>Medium</v>
      </c>
    </row>
    <row r="1157" spans="1:22" x14ac:dyDescent="0.3">
      <c r="A1157">
        <v>1156</v>
      </c>
      <c r="B1157">
        <v>53</v>
      </c>
      <c r="C1157" t="s">
        <v>23</v>
      </c>
      <c r="D1157" t="s">
        <v>24</v>
      </c>
      <c r="E1157">
        <v>9.1</v>
      </c>
      <c r="F1157">
        <v>3.9</v>
      </c>
      <c r="G1157">
        <v>1</v>
      </c>
      <c r="H1157" t="str">
        <f t="shared" si="18"/>
        <v>Night Usage</v>
      </c>
      <c r="I1157">
        <v>3.4</v>
      </c>
      <c r="J1157" s="3">
        <v>4</v>
      </c>
      <c r="K1157">
        <v>5.5</v>
      </c>
      <c r="L1157" t="s">
        <v>25</v>
      </c>
      <c r="M1157">
        <v>6</v>
      </c>
      <c r="N1157">
        <v>1</v>
      </c>
      <c r="O1157">
        <v>1</v>
      </c>
      <c r="P1157">
        <v>1</v>
      </c>
      <c r="Q1157">
        <v>1</v>
      </c>
      <c r="R1157">
        <v>0</v>
      </c>
      <c r="S1157">
        <v>0</v>
      </c>
      <c r="T1157" t="str">
        <f>IF(mental_health[Sleep_Hours]&lt;5,"Low",IF(mental_health[Sleep_Hours]&lt;7,"Medium","Good"))</f>
        <v>Low</v>
      </c>
      <c r="U1157" t="str">
        <f>IF(mental_health[Stress_Level]&lt;=3,"Low",IF(mental_health[Stress_Level]&lt;=7,"Medium","High"))</f>
        <v>Medium</v>
      </c>
      <c r="V1157" t="str">
        <f>IF(mental_health[Daily_Screen_Time]&lt;=4,"Low",IF(mental_health[Daily_Screen_Time]&lt;=8,"Medium","High"))</f>
        <v>High</v>
      </c>
    </row>
    <row r="1158" spans="1:22" x14ac:dyDescent="0.3">
      <c r="A1158">
        <v>1157</v>
      </c>
      <c r="B1158">
        <v>19</v>
      </c>
      <c r="C1158" t="s">
        <v>23</v>
      </c>
      <c r="D1158" t="s">
        <v>24</v>
      </c>
      <c r="E1158">
        <v>4.5</v>
      </c>
      <c r="F1158">
        <v>4.8</v>
      </c>
      <c r="G1158">
        <v>1</v>
      </c>
      <c r="H1158" t="str">
        <f t="shared" si="18"/>
        <v>Night Usage</v>
      </c>
      <c r="I1158">
        <v>5.7</v>
      </c>
      <c r="J1158" s="3">
        <v>1</v>
      </c>
      <c r="K1158">
        <v>3.1</v>
      </c>
      <c r="L1158" t="s">
        <v>21</v>
      </c>
      <c r="M1158">
        <v>9</v>
      </c>
      <c r="N1158">
        <v>2</v>
      </c>
      <c r="O1158">
        <v>0</v>
      </c>
      <c r="P1158">
        <v>1</v>
      </c>
      <c r="Q1158">
        <v>1</v>
      </c>
      <c r="R1158">
        <v>0</v>
      </c>
      <c r="S1158">
        <v>1</v>
      </c>
      <c r="T1158" t="str">
        <f>IF(mental_health[Sleep_Hours]&lt;5,"Low",IF(mental_health[Sleep_Hours]&lt;7,"Medium","Good"))</f>
        <v>Medium</v>
      </c>
      <c r="U1158" t="str">
        <f>IF(mental_health[Stress_Level]&lt;=3,"Low",IF(mental_health[Stress_Level]&lt;=7,"Medium","High"))</f>
        <v>Low</v>
      </c>
      <c r="V1158" t="str">
        <f>IF(mental_health[Daily_Screen_Time]&lt;=4,"Low",IF(mental_health[Daily_Screen_Time]&lt;=8,"Medium","High"))</f>
        <v>Medium</v>
      </c>
    </row>
    <row r="1159" spans="1:22" x14ac:dyDescent="0.3">
      <c r="A1159">
        <v>1158</v>
      </c>
      <c r="B1159">
        <v>16</v>
      </c>
      <c r="C1159" t="s">
        <v>18</v>
      </c>
      <c r="D1159" t="s">
        <v>22</v>
      </c>
      <c r="E1159">
        <v>6.5</v>
      </c>
      <c r="F1159">
        <v>4.0999999999999996</v>
      </c>
      <c r="G1159">
        <v>1</v>
      </c>
      <c r="H1159" t="str">
        <f t="shared" si="18"/>
        <v>Night Usage</v>
      </c>
      <c r="I1159">
        <v>4.0999999999999996</v>
      </c>
      <c r="J1159" s="3">
        <v>8</v>
      </c>
      <c r="K1159">
        <v>9</v>
      </c>
      <c r="L1159" t="s">
        <v>20</v>
      </c>
      <c r="M1159">
        <v>7</v>
      </c>
      <c r="N1159">
        <v>3</v>
      </c>
      <c r="O1159">
        <v>1</v>
      </c>
      <c r="P1159">
        <v>1</v>
      </c>
      <c r="Q1159">
        <v>0</v>
      </c>
      <c r="R1159">
        <v>1</v>
      </c>
      <c r="S1159">
        <v>1</v>
      </c>
      <c r="T1159" t="str">
        <f>IF(mental_health[Sleep_Hours]&lt;5,"Low",IF(mental_health[Sleep_Hours]&lt;7,"Medium","Good"))</f>
        <v>Low</v>
      </c>
      <c r="U1159" t="str">
        <f>IF(mental_health[Stress_Level]&lt;=3,"Low",IF(mental_health[Stress_Level]&lt;=7,"Medium","High"))</f>
        <v>High</v>
      </c>
      <c r="V1159" t="str">
        <f>IF(mental_health[Daily_Screen_Time]&lt;=4,"Low",IF(mental_health[Daily_Screen_Time]&lt;=8,"Medium","High"))</f>
        <v>Medium</v>
      </c>
    </row>
    <row r="1160" spans="1:22" x14ac:dyDescent="0.3">
      <c r="A1160">
        <v>1159</v>
      </c>
      <c r="B1160">
        <v>23</v>
      </c>
      <c r="C1160" t="s">
        <v>18</v>
      </c>
      <c r="D1160" t="s">
        <v>24</v>
      </c>
      <c r="E1160">
        <v>3.2</v>
      </c>
      <c r="F1160">
        <v>6.2</v>
      </c>
      <c r="G1160">
        <v>0</v>
      </c>
      <c r="H1160" t="str">
        <f t="shared" si="18"/>
        <v>No Night Usage</v>
      </c>
      <c r="I1160">
        <v>5.9</v>
      </c>
      <c r="J1160" s="3">
        <v>1</v>
      </c>
      <c r="K1160">
        <v>9.3000000000000007</v>
      </c>
      <c r="L1160" t="s">
        <v>21</v>
      </c>
      <c r="M1160">
        <v>5</v>
      </c>
      <c r="N1160">
        <v>2</v>
      </c>
      <c r="O1160">
        <v>0</v>
      </c>
      <c r="P1160">
        <v>1</v>
      </c>
      <c r="Q1160">
        <v>0</v>
      </c>
      <c r="R1160">
        <v>0</v>
      </c>
      <c r="S1160">
        <v>0</v>
      </c>
      <c r="T1160" t="str">
        <f>IF(mental_health[Sleep_Hours]&lt;5,"Low",IF(mental_health[Sleep_Hours]&lt;7,"Medium","Good"))</f>
        <v>Medium</v>
      </c>
      <c r="U1160" t="str">
        <f>IF(mental_health[Stress_Level]&lt;=3,"Low",IF(mental_health[Stress_Level]&lt;=7,"Medium","High"))</f>
        <v>Low</v>
      </c>
      <c r="V1160" t="str">
        <f>IF(mental_health[Daily_Screen_Time]&lt;=4,"Low",IF(mental_health[Daily_Screen_Time]&lt;=8,"Medium","High"))</f>
        <v>Low</v>
      </c>
    </row>
    <row r="1161" spans="1:22" x14ac:dyDescent="0.3">
      <c r="A1161">
        <v>1160</v>
      </c>
      <c r="B1161">
        <v>44</v>
      </c>
      <c r="C1161" t="s">
        <v>18</v>
      </c>
      <c r="D1161" t="s">
        <v>22</v>
      </c>
      <c r="E1161">
        <v>4.0999999999999996</v>
      </c>
      <c r="F1161">
        <v>6.8</v>
      </c>
      <c r="G1161">
        <v>0</v>
      </c>
      <c r="H1161" t="str">
        <f t="shared" si="18"/>
        <v>No Night Usage</v>
      </c>
      <c r="I1161">
        <v>8</v>
      </c>
      <c r="J1161" s="3">
        <v>5</v>
      </c>
      <c r="K1161">
        <v>11</v>
      </c>
      <c r="L1161" t="s">
        <v>21</v>
      </c>
      <c r="M1161">
        <v>6</v>
      </c>
      <c r="N1161">
        <v>2</v>
      </c>
      <c r="O1161">
        <v>0</v>
      </c>
      <c r="P1161">
        <v>1</v>
      </c>
      <c r="Q1161">
        <v>0</v>
      </c>
      <c r="R1161">
        <v>0</v>
      </c>
      <c r="S1161">
        <v>1</v>
      </c>
      <c r="T1161" t="str">
        <f>IF(mental_health[Sleep_Hours]&lt;5,"Low",IF(mental_health[Sleep_Hours]&lt;7,"Medium","Good"))</f>
        <v>Good</v>
      </c>
      <c r="U1161" t="str">
        <f>IF(mental_health[Stress_Level]&lt;=3,"Low",IF(mental_health[Stress_Level]&lt;=7,"Medium","High"))</f>
        <v>Medium</v>
      </c>
      <c r="V1161" t="str">
        <f>IF(mental_health[Daily_Screen_Time]&lt;=4,"Low",IF(mental_health[Daily_Screen_Time]&lt;=8,"Medium","High"))</f>
        <v>Medium</v>
      </c>
    </row>
    <row r="1162" spans="1:22" x14ac:dyDescent="0.3">
      <c r="A1162">
        <v>1161</v>
      </c>
      <c r="B1162">
        <v>54</v>
      </c>
      <c r="C1162" t="s">
        <v>23</v>
      </c>
      <c r="D1162" t="s">
        <v>19</v>
      </c>
      <c r="E1162">
        <v>2</v>
      </c>
      <c r="F1162">
        <v>6.4</v>
      </c>
      <c r="G1162">
        <v>1</v>
      </c>
      <c r="H1162" t="str">
        <f t="shared" si="18"/>
        <v>Night Usage</v>
      </c>
      <c r="I1162">
        <v>8.6999999999999993</v>
      </c>
      <c r="J1162" s="3">
        <v>6</v>
      </c>
      <c r="K1162">
        <v>2.5</v>
      </c>
      <c r="L1162" t="s">
        <v>20</v>
      </c>
      <c r="M1162">
        <v>10</v>
      </c>
      <c r="N1162">
        <v>2</v>
      </c>
      <c r="O1162">
        <v>1</v>
      </c>
      <c r="P1162">
        <v>1</v>
      </c>
      <c r="Q1162">
        <v>1</v>
      </c>
      <c r="R1162">
        <v>0</v>
      </c>
      <c r="S1162">
        <v>0</v>
      </c>
      <c r="T1162" t="str">
        <f>IF(mental_health[Sleep_Hours]&lt;5,"Low",IF(mental_health[Sleep_Hours]&lt;7,"Medium","Good"))</f>
        <v>Good</v>
      </c>
      <c r="U1162" t="str">
        <f>IF(mental_health[Stress_Level]&lt;=3,"Low",IF(mental_health[Stress_Level]&lt;=7,"Medium","High"))</f>
        <v>Medium</v>
      </c>
      <c r="V1162" t="str">
        <f>IF(mental_health[Daily_Screen_Time]&lt;=4,"Low",IF(mental_health[Daily_Screen_Time]&lt;=8,"Medium","High"))</f>
        <v>Low</v>
      </c>
    </row>
    <row r="1163" spans="1:22" x14ac:dyDescent="0.3">
      <c r="A1163">
        <v>1162</v>
      </c>
      <c r="B1163">
        <v>18</v>
      </c>
      <c r="C1163" t="s">
        <v>23</v>
      </c>
      <c r="D1163" t="s">
        <v>19</v>
      </c>
      <c r="E1163">
        <v>2.4</v>
      </c>
      <c r="F1163">
        <v>1.3</v>
      </c>
      <c r="G1163">
        <v>1</v>
      </c>
      <c r="H1163" t="str">
        <f t="shared" si="18"/>
        <v>Night Usage</v>
      </c>
      <c r="I1163">
        <v>6.8</v>
      </c>
      <c r="J1163" s="3">
        <v>2</v>
      </c>
      <c r="K1163">
        <v>3.4</v>
      </c>
      <c r="L1163" t="s">
        <v>20</v>
      </c>
      <c r="M1163">
        <v>9</v>
      </c>
      <c r="N1163">
        <v>0</v>
      </c>
      <c r="O1163">
        <v>1</v>
      </c>
      <c r="P1163">
        <v>1</v>
      </c>
      <c r="Q1163">
        <v>0</v>
      </c>
      <c r="R1163">
        <v>1</v>
      </c>
      <c r="S1163">
        <v>1</v>
      </c>
      <c r="T1163" t="str">
        <f>IF(mental_health[Sleep_Hours]&lt;5,"Low",IF(mental_health[Sleep_Hours]&lt;7,"Medium","Good"))</f>
        <v>Medium</v>
      </c>
      <c r="U1163" t="str">
        <f>IF(mental_health[Stress_Level]&lt;=3,"Low",IF(mental_health[Stress_Level]&lt;=7,"Medium","High"))</f>
        <v>Low</v>
      </c>
      <c r="V1163" t="str">
        <f>IF(mental_health[Daily_Screen_Time]&lt;=4,"Low",IF(mental_health[Daily_Screen_Time]&lt;=8,"Medium","High"))</f>
        <v>Low</v>
      </c>
    </row>
    <row r="1164" spans="1:22" x14ac:dyDescent="0.3">
      <c r="A1164">
        <v>1163</v>
      </c>
      <c r="B1164">
        <v>47</v>
      </c>
      <c r="C1164" t="s">
        <v>23</v>
      </c>
      <c r="D1164" t="s">
        <v>22</v>
      </c>
      <c r="E1164">
        <v>11.8</v>
      </c>
      <c r="F1164">
        <v>2.4</v>
      </c>
      <c r="G1164">
        <v>0</v>
      </c>
      <c r="H1164" t="str">
        <f t="shared" si="18"/>
        <v>No Night Usage</v>
      </c>
      <c r="I1164">
        <v>5.0999999999999996</v>
      </c>
      <c r="J1164" s="3">
        <v>7</v>
      </c>
      <c r="K1164">
        <v>8</v>
      </c>
      <c r="L1164" t="s">
        <v>21</v>
      </c>
      <c r="M1164">
        <v>1</v>
      </c>
      <c r="N1164">
        <v>3</v>
      </c>
      <c r="O1164">
        <v>1</v>
      </c>
      <c r="P1164">
        <v>1</v>
      </c>
      <c r="Q1164">
        <v>0</v>
      </c>
      <c r="R1164">
        <v>1</v>
      </c>
      <c r="S1164">
        <v>1</v>
      </c>
      <c r="T1164" t="str">
        <f>IF(mental_health[Sleep_Hours]&lt;5,"Low",IF(mental_health[Sleep_Hours]&lt;7,"Medium","Good"))</f>
        <v>Medium</v>
      </c>
      <c r="U1164" t="str">
        <f>IF(mental_health[Stress_Level]&lt;=3,"Low",IF(mental_health[Stress_Level]&lt;=7,"Medium","High"))</f>
        <v>Medium</v>
      </c>
      <c r="V1164" t="str">
        <f>IF(mental_health[Daily_Screen_Time]&lt;=4,"Low",IF(mental_health[Daily_Screen_Time]&lt;=8,"Medium","High"))</f>
        <v>High</v>
      </c>
    </row>
    <row r="1165" spans="1:22" x14ac:dyDescent="0.3">
      <c r="A1165">
        <v>1164</v>
      </c>
      <c r="B1165">
        <v>25</v>
      </c>
      <c r="C1165" t="s">
        <v>18</v>
      </c>
      <c r="D1165" t="s">
        <v>22</v>
      </c>
      <c r="E1165">
        <v>4.4000000000000004</v>
      </c>
      <c r="F1165">
        <v>4.8</v>
      </c>
      <c r="G1165">
        <v>0</v>
      </c>
      <c r="H1165" t="str">
        <f t="shared" si="18"/>
        <v>No Night Usage</v>
      </c>
      <c r="I1165">
        <v>6.6</v>
      </c>
      <c r="J1165" s="3">
        <v>7</v>
      </c>
      <c r="K1165">
        <v>8.1999999999999993</v>
      </c>
      <c r="L1165" t="s">
        <v>21</v>
      </c>
      <c r="M1165">
        <v>9</v>
      </c>
      <c r="N1165">
        <v>3</v>
      </c>
      <c r="O1165">
        <v>0</v>
      </c>
      <c r="P1165">
        <v>0</v>
      </c>
      <c r="Q1165">
        <v>1</v>
      </c>
      <c r="R1165">
        <v>0</v>
      </c>
      <c r="S1165">
        <v>0</v>
      </c>
      <c r="T1165" t="str">
        <f>IF(mental_health[Sleep_Hours]&lt;5,"Low",IF(mental_health[Sleep_Hours]&lt;7,"Medium","Good"))</f>
        <v>Medium</v>
      </c>
      <c r="U1165" t="str">
        <f>IF(mental_health[Stress_Level]&lt;=3,"Low",IF(mental_health[Stress_Level]&lt;=7,"Medium","High"))</f>
        <v>Medium</v>
      </c>
      <c r="V1165" t="str">
        <f>IF(mental_health[Daily_Screen_Time]&lt;=4,"Low",IF(mental_health[Daily_Screen_Time]&lt;=8,"Medium","High"))</f>
        <v>Medium</v>
      </c>
    </row>
    <row r="1166" spans="1:22" x14ac:dyDescent="0.3">
      <c r="A1166">
        <v>1165</v>
      </c>
      <c r="B1166">
        <v>25</v>
      </c>
      <c r="C1166" t="s">
        <v>23</v>
      </c>
      <c r="D1166" t="s">
        <v>24</v>
      </c>
      <c r="E1166">
        <v>8.6</v>
      </c>
      <c r="F1166">
        <v>7.5</v>
      </c>
      <c r="G1166">
        <v>0</v>
      </c>
      <c r="H1166" t="str">
        <f t="shared" si="18"/>
        <v>No Night Usage</v>
      </c>
      <c r="I1166">
        <v>4.9000000000000004</v>
      </c>
      <c r="J1166" s="3">
        <v>1</v>
      </c>
      <c r="K1166">
        <v>2.2999999999999998</v>
      </c>
      <c r="L1166" t="s">
        <v>25</v>
      </c>
      <c r="M1166">
        <v>6</v>
      </c>
      <c r="N1166">
        <v>0</v>
      </c>
      <c r="O1166">
        <v>1</v>
      </c>
      <c r="P1166">
        <v>1</v>
      </c>
      <c r="Q1166">
        <v>0</v>
      </c>
      <c r="R1166">
        <v>0</v>
      </c>
      <c r="S1166">
        <v>0</v>
      </c>
      <c r="T1166" t="str">
        <f>IF(mental_health[Sleep_Hours]&lt;5,"Low",IF(mental_health[Sleep_Hours]&lt;7,"Medium","Good"))</f>
        <v>Low</v>
      </c>
      <c r="U1166" t="str">
        <f>IF(mental_health[Stress_Level]&lt;=3,"Low",IF(mental_health[Stress_Level]&lt;=7,"Medium","High"))</f>
        <v>Low</v>
      </c>
      <c r="V1166" t="str">
        <f>IF(mental_health[Daily_Screen_Time]&lt;=4,"Low",IF(mental_health[Daily_Screen_Time]&lt;=8,"Medium","High"))</f>
        <v>High</v>
      </c>
    </row>
    <row r="1167" spans="1:22" x14ac:dyDescent="0.3">
      <c r="A1167">
        <v>1166</v>
      </c>
      <c r="B1167">
        <v>34</v>
      </c>
      <c r="C1167" t="s">
        <v>23</v>
      </c>
      <c r="D1167" t="s">
        <v>19</v>
      </c>
      <c r="E1167">
        <v>10.4</v>
      </c>
      <c r="F1167">
        <v>6.8</v>
      </c>
      <c r="G1167">
        <v>1</v>
      </c>
      <c r="H1167" t="str">
        <f t="shared" si="18"/>
        <v>Night Usage</v>
      </c>
      <c r="I1167">
        <v>8.5</v>
      </c>
      <c r="J1167" s="3">
        <v>4</v>
      </c>
      <c r="K1167">
        <v>6</v>
      </c>
      <c r="L1167" t="s">
        <v>20</v>
      </c>
      <c r="M1167">
        <v>4</v>
      </c>
      <c r="N1167">
        <v>2</v>
      </c>
      <c r="O1167">
        <v>0</v>
      </c>
      <c r="P1167">
        <v>1</v>
      </c>
      <c r="Q1167">
        <v>0</v>
      </c>
      <c r="R1167">
        <v>0</v>
      </c>
      <c r="S1167">
        <v>1</v>
      </c>
      <c r="T1167" t="str">
        <f>IF(mental_health[Sleep_Hours]&lt;5,"Low",IF(mental_health[Sleep_Hours]&lt;7,"Medium","Good"))</f>
        <v>Good</v>
      </c>
      <c r="U1167" t="str">
        <f>IF(mental_health[Stress_Level]&lt;=3,"Low",IF(mental_health[Stress_Level]&lt;=7,"Medium","High"))</f>
        <v>Medium</v>
      </c>
      <c r="V1167" t="str">
        <f>IF(mental_health[Daily_Screen_Time]&lt;=4,"Low",IF(mental_health[Daily_Screen_Time]&lt;=8,"Medium","High"))</f>
        <v>High</v>
      </c>
    </row>
    <row r="1168" spans="1:22" x14ac:dyDescent="0.3">
      <c r="A1168">
        <v>1167</v>
      </c>
      <c r="B1168">
        <v>49</v>
      </c>
      <c r="C1168" t="s">
        <v>23</v>
      </c>
      <c r="D1168" t="s">
        <v>22</v>
      </c>
      <c r="E1168">
        <v>7.5</v>
      </c>
      <c r="F1168">
        <v>6.9</v>
      </c>
      <c r="G1168">
        <v>1</v>
      </c>
      <c r="H1168" t="str">
        <f t="shared" si="18"/>
        <v>Night Usage</v>
      </c>
      <c r="I1168">
        <v>8.1999999999999993</v>
      </c>
      <c r="J1168" s="3">
        <v>4</v>
      </c>
      <c r="K1168">
        <v>7.8</v>
      </c>
      <c r="L1168" t="s">
        <v>20</v>
      </c>
      <c r="M1168">
        <v>5</v>
      </c>
      <c r="N1168">
        <v>2</v>
      </c>
      <c r="O1168">
        <v>1</v>
      </c>
      <c r="P1168">
        <v>1</v>
      </c>
      <c r="Q1168">
        <v>0</v>
      </c>
      <c r="R1168">
        <v>0</v>
      </c>
      <c r="S1168">
        <v>0</v>
      </c>
      <c r="T1168" t="str">
        <f>IF(mental_health[Sleep_Hours]&lt;5,"Low",IF(mental_health[Sleep_Hours]&lt;7,"Medium","Good"))</f>
        <v>Good</v>
      </c>
      <c r="U1168" t="str">
        <f>IF(mental_health[Stress_Level]&lt;=3,"Low",IF(mental_health[Stress_Level]&lt;=7,"Medium","High"))</f>
        <v>Medium</v>
      </c>
      <c r="V1168" t="str">
        <f>IF(mental_health[Daily_Screen_Time]&lt;=4,"Low",IF(mental_health[Daily_Screen_Time]&lt;=8,"Medium","High"))</f>
        <v>Medium</v>
      </c>
    </row>
    <row r="1169" spans="1:22" x14ac:dyDescent="0.3">
      <c r="A1169">
        <v>1168</v>
      </c>
      <c r="B1169">
        <v>48</v>
      </c>
      <c r="C1169" t="s">
        <v>18</v>
      </c>
      <c r="D1169" t="s">
        <v>19</v>
      </c>
      <c r="E1169">
        <v>3.5</v>
      </c>
      <c r="F1169">
        <v>3.1</v>
      </c>
      <c r="G1169">
        <v>0</v>
      </c>
      <c r="H1169" t="str">
        <f t="shared" si="18"/>
        <v>No Night Usage</v>
      </c>
      <c r="I1169">
        <v>6.3</v>
      </c>
      <c r="J1169" s="3">
        <v>5</v>
      </c>
      <c r="K1169">
        <v>9.4</v>
      </c>
      <c r="L1169" t="s">
        <v>25</v>
      </c>
      <c r="M1169">
        <v>1</v>
      </c>
      <c r="N1169">
        <v>1</v>
      </c>
      <c r="O1169">
        <v>0</v>
      </c>
      <c r="P1169">
        <v>1</v>
      </c>
      <c r="Q1169">
        <v>1</v>
      </c>
      <c r="R1169">
        <v>0</v>
      </c>
      <c r="S1169">
        <v>0</v>
      </c>
      <c r="T1169" t="str">
        <f>IF(mental_health[Sleep_Hours]&lt;5,"Low",IF(mental_health[Sleep_Hours]&lt;7,"Medium","Good"))</f>
        <v>Medium</v>
      </c>
      <c r="U1169" t="str">
        <f>IF(mental_health[Stress_Level]&lt;=3,"Low",IF(mental_health[Stress_Level]&lt;=7,"Medium","High"))</f>
        <v>Medium</v>
      </c>
      <c r="V1169" t="str">
        <f>IF(mental_health[Daily_Screen_Time]&lt;=4,"Low",IF(mental_health[Daily_Screen_Time]&lt;=8,"Medium","High"))</f>
        <v>Low</v>
      </c>
    </row>
    <row r="1170" spans="1:22" x14ac:dyDescent="0.3">
      <c r="A1170">
        <v>1169</v>
      </c>
      <c r="B1170">
        <v>38</v>
      </c>
      <c r="C1170" t="s">
        <v>23</v>
      </c>
      <c r="D1170" t="s">
        <v>22</v>
      </c>
      <c r="E1170">
        <v>9.3000000000000007</v>
      </c>
      <c r="F1170">
        <v>4</v>
      </c>
      <c r="G1170">
        <v>0</v>
      </c>
      <c r="H1170" t="str">
        <f t="shared" si="18"/>
        <v>No Night Usage</v>
      </c>
      <c r="I1170">
        <v>4.9000000000000004</v>
      </c>
      <c r="J1170" s="3">
        <v>1</v>
      </c>
      <c r="K1170">
        <v>5.2</v>
      </c>
      <c r="L1170" t="s">
        <v>21</v>
      </c>
      <c r="M1170">
        <v>7</v>
      </c>
      <c r="N1170">
        <v>1</v>
      </c>
      <c r="O1170">
        <v>1</v>
      </c>
      <c r="P1170">
        <v>1</v>
      </c>
      <c r="Q1170">
        <v>0</v>
      </c>
      <c r="R1170">
        <v>0</v>
      </c>
      <c r="S1170">
        <v>0</v>
      </c>
      <c r="T1170" t="str">
        <f>IF(mental_health[Sleep_Hours]&lt;5,"Low",IF(mental_health[Sleep_Hours]&lt;7,"Medium","Good"))</f>
        <v>Low</v>
      </c>
      <c r="U1170" t="str">
        <f>IF(mental_health[Stress_Level]&lt;=3,"Low",IF(mental_health[Stress_Level]&lt;=7,"Medium","High"))</f>
        <v>Low</v>
      </c>
      <c r="V1170" t="str">
        <f>IF(mental_health[Daily_Screen_Time]&lt;=4,"Low",IF(mental_health[Daily_Screen_Time]&lt;=8,"Medium","High"))</f>
        <v>High</v>
      </c>
    </row>
    <row r="1171" spans="1:22" x14ac:dyDescent="0.3">
      <c r="A1171">
        <v>1170</v>
      </c>
      <c r="B1171">
        <v>43</v>
      </c>
      <c r="C1171" t="s">
        <v>18</v>
      </c>
      <c r="D1171" t="s">
        <v>19</v>
      </c>
      <c r="E1171">
        <v>8</v>
      </c>
      <c r="F1171">
        <v>4.3</v>
      </c>
      <c r="G1171">
        <v>0</v>
      </c>
      <c r="H1171" t="str">
        <f t="shared" si="18"/>
        <v>No Night Usage</v>
      </c>
      <c r="I1171">
        <v>4.8</v>
      </c>
      <c r="J1171" s="3">
        <v>1</v>
      </c>
      <c r="K1171">
        <v>6.8</v>
      </c>
      <c r="L1171" t="s">
        <v>21</v>
      </c>
      <c r="M1171">
        <v>8</v>
      </c>
      <c r="N1171">
        <v>4</v>
      </c>
      <c r="O1171">
        <v>1</v>
      </c>
      <c r="P1171">
        <v>0</v>
      </c>
      <c r="Q1171">
        <v>1</v>
      </c>
      <c r="R1171">
        <v>1</v>
      </c>
      <c r="S1171">
        <v>0</v>
      </c>
      <c r="T1171" t="str">
        <f>IF(mental_health[Sleep_Hours]&lt;5,"Low",IF(mental_health[Sleep_Hours]&lt;7,"Medium","Good"))</f>
        <v>Low</v>
      </c>
      <c r="U1171" t="str">
        <f>IF(mental_health[Stress_Level]&lt;=3,"Low",IF(mental_health[Stress_Level]&lt;=7,"Medium","High"))</f>
        <v>Low</v>
      </c>
      <c r="V1171" t="str">
        <f>IF(mental_health[Daily_Screen_Time]&lt;=4,"Low",IF(mental_health[Daily_Screen_Time]&lt;=8,"Medium","High"))</f>
        <v>Medium</v>
      </c>
    </row>
    <row r="1172" spans="1:22" x14ac:dyDescent="0.3">
      <c r="A1172">
        <v>1171</v>
      </c>
      <c r="B1172">
        <v>47</v>
      </c>
      <c r="C1172" t="s">
        <v>23</v>
      </c>
      <c r="D1172" t="s">
        <v>24</v>
      </c>
      <c r="E1172">
        <v>9.3000000000000007</v>
      </c>
      <c r="F1172">
        <v>2.1</v>
      </c>
      <c r="G1172">
        <v>1</v>
      </c>
      <c r="H1172" t="str">
        <f t="shared" si="18"/>
        <v>Night Usage</v>
      </c>
      <c r="I1172">
        <v>3.2</v>
      </c>
      <c r="J1172" s="3">
        <v>7</v>
      </c>
      <c r="K1172">
        <v>10.1</v>
      </c>
      <c r="L1172" t="s">
        <v>20</v>
      </c>
      <c r="M1172">
        <v>5</v>
      </c>
      <c r="N1172">
        <v>1</v>
      </c>
      <c r="O1172">
        <v>0</v>
      </c>
      <c r="P1172">
        <v>1</v>
      </c>
      <c r="Q1172">
        <v>0</v>
      </c>
      <c r="R1172">
        <v>1</v>
      </c>
      <c r="S1172">
        <v>1</v>
      </c>
      <c r="T1172" t="str">
        <f>IF(mental_health[Sleep_Hours]&lt;5,"Low",IF(mental_health[Sleep_Hours]&lt;7,"Medium","Good"))</f>
        <v>Low</v>
      </c>
      <c r="U1172" t="str">
        <f>IF(mental_health[Stress_Level]&lt;=3,"Low",IF(mental_health[Stress_Level]&lt;=7,"Medium","High"))</f>
        <v>Medium</v>
      </c>
      <c r="V1172" t="str">
        <f>IF(mental_health[Daily_Screen_Time]&lt;=4,"Low",IF(mental_health[Daily_Screen_Time]&lt;=8,"Medium","High"))</f>
        <v>High</v>
      </c>
    </row>
    <row r="1173" spans="1:22" x14ac:dyDescent="0.3">
      <c r="A1173">
        <v>1172</v>
      </c>
      <c r="B1173">
        <v>22</v>
      </c>
      <c r="C1173" t="s">
        <v>18</v>
      </c>
      <c r="D1173" t="s">
        <v>19</v>
      </c>
      <c r="E1173">
        <v>9.6999999999999993</v>
      </c>
      <c r="F1173">
        <v>1.2</v>
      </c>
      <c r="G1173">
        <v>1</v>
      </c>
      <c r="H1173" t="str">
        <f t="shared" si="18"/>
        <v>Night Usage</v>
      </c>
      <c r="I1173">
        <v>7.9</v>
      </c>
      <c r="J1173" s="3">
        <v>9</v>
      </c>
      <c r="K1173">
        <v>11.5</v>
      </c>
      <c r="L1173" t="s">
        <v>25</v>
      </c>
      <c r="M1173">
        <v>2</v>
      </c>
      <c r="N1173">
        <v>3</v>
      </c>
      <c r="O1173">
        <v>1</v>
      </c>
      <c r="P1173">
        <v>0</v>
      </c>
      <c r="Q1173">
        <v>1</v>
      </c>
      <c r="R1173">
        <v>1</v>
      </c>
      <c r="S1173">
        <v>0</v>
      </c>
      <c r="T1173" t="str">
        <f>IF(mental_health[Sleep_Hours]&lt;5,"Low",IF(mental_health[Sleep_Hours]&lt;7,"Medium","Good"))</f>
        <v>Good</v>
      </c>
      <c r="U1173" t="str">
        <f>IF(mental_health[Stress_Level]&lt;=3,"Low",IF(mental_health[Stress_Level]&lt;=7,"Medium","High"))</f>
        <v>High</v>
      </c>
      <c r="V1173" t="str">
        <f>IF(mental_health[Daily_Screen_Time]&lt;=4,"Low",IF(mental_health[Daily_Screen_Time]&lt;=8,"Medium","High"))</f>
        <v>High</v>
      </c>
    </row>
    <row r="1174" spans="1:22" x14ac:dyDescent="0.3">
      <c r="A1174">
        <v>1173</v>
      </c>
      <c r="B1174">
        <v>44</v>
      </c>
      <c r="C1174" t="s">
        <v>18</v>
      </c>
      <c r="D1174" t="s">
        <v>19</v>
      </c>
      <c r="E1174">
        <v>11.8</v>
      </c>
      <c r="F1174">
        <v>7.6</v>
      </c>
      <c r="G1174">
        <v>0</v>
      </c>
      <c r="H1174" t="str">
        <f t="shared" si="18"/>
        <v>No Night Usage</v>
      </c>
      <c r="I1174">
        <v>5.7</v>
      </c>
      <c r="J1174" s="3">
        <v>1</v>
      </c>
      <c r="K1174">
        <v>4.3</v>
      </c>
      <c r="L1174" t="s">
        <v>21</v>
      </c>
      <c r="M1174">
        <v>8</v>
      </c>
      <c r="N1174">
        <v>0</v>
      </c>
      <c r="O1174">
        <v>1</v>
      </c>
      <c r="P1174">
        <v>1</v>
      </c>
      <c r="Q1174">
        <v>0</v>
      </c>
      <c r="R1174">
        <v>1</v>
      </c>
      <c r="S1174">
        <v>0</v>
      </c>
      <c r="T1174" t="str">
        <f>IF(mental_health[Sleep_Hours]&lt;5,"Low",IF(mental_health[Sleep_Hours]&lt;7,"Medium","Good"))</f>
        <v>Medium</v>
      </c>
      <c r="U1174" t="str">
        <f>IF(mental_health[Stress_Level]&lt;=3,"Low",IF(mental_health[Stress_Level]&lt;=7,"Medium","High"))</f>
        <v>Low</v>
      </c>
      <c r="V1174" t="str">
        <f>IF(mental_health[Daily_Screen_Time]&lt;=4,"Low",IF(mental_health[Daily_Screen_Time]&lt;=8,"Medium","High"))</f>
        <v>High</v>
      </c>
    </row>
    <row r="1175" spans="1:22" x14ac:dyDescent="0.3">
      <c r="A1175">
        <v>1174</v>
      </c>
      <c r="B1175">
        <v>23</v>
      </c>
      <c r="C1175" t="s">
        <v>18</v>
      </c>
      <c r="D1175" t="s">
        <v>19</v>
      </c>
      <c r="E1175">
        <v>7.7</v>
      </c>
      <c r="F1175">
        <v>2.7</v>
      </c>
      <c r="G1175">
        <v>0</v>
      </c>
      <c r="H1175" t="str">
        <f t="shared" si="18"/>
        <v>No Night Usage</v>
      </c>
      <c r="I1175">
        <v>5</v>
      </c>
      <c r="J1175" s="3">
        <v>2</v>
      </c>
      <c r="K1175">
        <v>4.5</v>
      </c>
      <c r="L1175" t="s">
        <v>20</v>
      </c>
      <c r="M1175">
        <v>10</v>
      </c>
      <c r="N1175">
        <v>2</v>
      </c>
      <c r="O1175">
        <v>0</v>
      </c>
      <c r="P1175">
        <v>0</v>
      </c>
      <c r="Q1175">
        <v>1</v>
      </c>
      <c r="R1175">
        <v>0</v>
      </c>
      <c r="S1175">
        <v>1</v>
      </c>
      <c r="T1175" t="str">
        <f>IF(mental_health[Sleep_Hours]&lt;5,"Low",IF(mental_health[Sleep_Hours]&lt;7,"Medium","Good"))</f>
        <v>Medium</v>
      </c>
      <c r="U1175" t="str">
        <f>IF(mental_health[Stress_Level]&lt;=3,"Low",IF(mental_health[Stress_Level]&lt;=7,"Medium","High"))</f>
        <v>Low</v>
      </c>
      <c r="V1175" t="str">
        <f>IF(mental_health[Daily_Screen_Time]&lt;=4,"Low",IF(mental_health[Daily_Screen_Time]&lt;=8,"Medium","High"))</f>
        <v>Medium</v>
      </c>
    </row>
    <row r="1176" spans="1:22" x14ac:dyDescent="0.3">
      <c r="A1176">
        <v>1175</v>
      </c>
      <c r="B1176">
        <v>16</v>
      </c>
      <c r="C1176" t="s">
        <v>23</v>
      </c>
      <c r="D1176" t="s">
        <v>19</v>
      </c>
      <c r="E1176">
        <v>5.4</v>
      </c>
      <c r="F1176">
        <v>2.7</v>
      </c>
      <c r="G1176">
        <v>1</v>
      </c>
      <c r="H1176" t="str">
        <f t="shared" si="18"/>
        <v>Night Usage</v>
      </c>
      <c r="I1176">
        <v>5.8</v>
      </c>
      <c r="J1176" s="3">
        <v>6</v>
      </c>
      <c r="K1176">
        <v>11.4</v>
      </c>
      <c r="L1176" t="s">
        <v>21</v>
      </c>
      <c r="M1176">
        <v>7</v>
      </c>
      <c r="N1176">
        <v>4</v>
      </c>
      <c r="O1176">
        <v>1</v>
      </c>
      <c r="P1176">
        <v>0</v>
      </c>
      <c r="Q1176">
        <v>1</v>
      </c>
      <c r="R1176">
        <v>0</v>
      </c>
      <c r="S1176">
        <v>0</v>
      </c>
      <c r="T1176" t="str">
        <f>IF(mental_health[Sleep_Hours]&lt;5,"Low",IF(mental_health[Sleep_Hours]&lt;7,"Medium","Good"))</f>
        <v>Medium</v>
      </c>
      <c r="U1176" t="str">
        <f>IF(mental_health[Stress_Level]&lt;=3,"Low",IF(mental_health[Stress_Level]&lt;=7,"Medium","High"))</f>
        <v>Medium</v>
      </c>
      <c r="V1176" t="str">
        <f>IF(mental_health[Daily_Screen_Time]&lt;=4,"Low",IF(mental_health[Daily_Screen_Time]&lt;=8,"Medium","High"))</f>
        <v>Medium</v>
      </c>
    </row>
    <row r="1177" spans="1:22" x14ac:dyDescent="0.3">
      <c r="A1177">
        <v>1176</v>
      </c>
      <c r="B1177">
        <v>18</v>
      </c>
      <c r="C1177" t="s">
        <v>23</v>
      </c>
      <c r="D1177" t="s">
        <v>19</v>
      </c>
      <c r="E1177">
        <v>8.5</v>
      </c>
      <c r="F1177">
        <v>1.6</v>
      </c>
      <c r="G1177">
        <v>1</v>
      </c>
      <c r="H1177" t="str">
        <f t="shared" si="18"/>
        <v>Night Usage</v>
      </c>
      <c r="I1177">
        <v>7.9</v>
      </c>
      <c r="J1177" s="3">
        <v>6</v>
      </c>
      <c r="K1177">
        <v>6</v>
      </c>
      <c r="L1177" t="s">
        <v>21</v>
      </c>
      <c r="M1177">
        <v>10</v>
      </c>
      <c r="N1177">
        <v>1</v>
      </c>
      <c r="O1177">
        <v>1</v>
      </c>
      <c r="P1177">
        <v>1</v>
      </c>
      <c r="Q1177">
        <v>1</v>
      </c>
      <c r="R1177">
        <v>0</v>
      </c>
      <c r="S1177">
        <v>0</v>
      </c>
      <c r="T1177" t="str">
        <f>IF(mental_health[Sleep_Hours]&lt;5,"Low",IF(mental_health[Sleep_Hours]&lt;7,"Medium","Good"))</f>
        <v>Good</v>
      </c>
      <c r="U1177" t="str">
        <f>IF(mental_health[Stress_Level]&lt;=3,"Low",IF(mental_health[Stress_Level]&lt;=7,"Medium","High"))</f>
        <v>Medium</v>
      </c>
      <c r="V1177" t="str">
        <f>IF(mental_health[Daily_Screen_Time]&lt;=4,"Low",IF(mental_health[Daily_Screen_Time]&lt;=8,"Medium","High"))</f>
        <v>High</v>
      </c>
    </row>
    <row r="1178" spans="1:22" x14ac:dyDescent="0.3">
      <c r="A1178">
        <v>1177</v>
      </c>
      <c r="B1178">
        <v>39</v>
      </c>
      <c r="C1178" t="s">
        <v>18</v>
      </c>
      <c r="D1178" t="s">
        <v>24</v>
      </c>
      <c r="E1178">
        <v>2.7</v>
      </c>
      <c r="F1178">
        <v>7.5</v>
      </c>
      <c r="G1178">
        <v>0</v>
      </c>
      <c r="H1178" t="str">
        <f t="shared" si="18"/>
        <v>No Night Usage</v>
      </c>
      <c r="I1178">
        <v>3.7</v>
      </c>
      <c r="J1178" s="3">
        <v>2</v>
      </c>
      <c r="K1178">
        <v>9.1999999999999993</v>
      </c>
      <c r="L1178" t="s">
        <v>21</v>
      </c>
      <c r="M1178">
        <v>9</v>
      </c>
      <c r="N1178">
        <v>4</v>
      </c>
      <c r="O1178">
        <v>0</v>
      </c>
      <c r="P1178">
        <v>0</v>
      </c>
      <c r="Q1178">
        <v>0</v>
      </c>
      <c r="R1178">
        <v>0</v>
      </c>
      <c r="S1178">
        <v>1</v>
      </c>
      <c r="T1178" t="str">
        <f>IF(mental_health[Sleep_Hours]&lt;5,"Low",IF(mental_health[Sleep_Hours]&lt;7,"Medium","Good"))</f>
        <v>Low</v>
      </c>
      <c r="U1178" t="str">
        <f>IF(mental_health[Stress_Level]&lt;=3,"Low",IF(mental_health[Stress_Level]&lt;=7,"Medium","High"))</f>
        <v>Low</v>
      </c>
      <c r="V1178" t="str">
        <f>IF(mental_health[Daily_Screen_Time]&lt;=4,"Low",IF(mental_health[Daily_Screen_Time]&lt;=8,"Medium","High"))</f>
        <v>Low</v>
      </c>
    </row>
    <row r="1179" spans="1:22" x14ac:dyDescent="0.3">
      <c r="A1179">
        <v>1178</v>
      </c>
      <c r="B1179">
        <v>38</v>
      </c>
      <c r="C1179" t="s">
        <v>18</v>
      </c>
      <c r="D1179" t="s">
        <v>22</v>
      </c>
      <c r="E1179">
        <v>11</v>
      </c>
      <c r="F1179">
        <v>5.0999999999999996</v>
      </c>
      <c r="G1179">
        <v>0</v>
      </c>
      <c r="H1179" t="str">
        <f t="shared" si="18"/>
        <v>No Night Usage</v>
      </c>
      <c r="I1179">
        <v>8.1</v>
      </c>
      <c r="J1179" s="3">
        <v>9</v>
      </c>
      <c r="K1179">
        <v>8.1</v>
      </c>
      <c r="L1179" t="s">
        <v>20</v>
      </c>
      <c r="M1179">
        <v>4</v>
      </c>
      <c r="N1179">
        <v>0</v>
      </c>
      <c r="O1179">
        <v>1</v>
      </c>
      <c r="P1179">
        <v>0</v>
      </c>
      <c r="Q1179">
        <v>1</v>
      </c>
      <c r="R1179">
        <v>0</v>
      </c>
      <c r="S1179">
        <v>1</v>
      </c>
      <c r="T1179" t="str">
        <f>IF(mental_health[Sleep_Hours]&lt;5,"Low",IF(mental_health[Sleep_Hours]&lt;7,"Medium","Good"))</f>
        <v>Good</v>
      </c>
      <c r="U1179" t="str">
        <f>IF(mental_health[Stress_Level]&lt;=3,"Low",IF(mental_health[Stress_Level]&lt;=7,"Medium","High"))</f>
        <v>High</v>
      </c>
      <c r="V1179" t="str">
        <f>IF(mental_health[Daily_Screen_Time]&lt;=4,"Low",IF(mental_health[Daily_Screen_Time]&lt;=8,"Medium","High"))</f>
        <v>High</v>
      </c>
    </row>
    <row r="1180" spans="1:22" x14ac:dyDescent="0.3">
      <c r="A1180">
        <v>1179</v>
      </c>
      <c r="B1180">
        <v>23</v>
      </c>
      <c r="C1180" t="s">
        <v>23</v>
      </c>
      <c r="D1180" t="s">
        <v>19</v>
      </c>
      <c r="E1180">
        <v>3.2</v>
      </c>
      <c r="F1180">
        <v>5.7</v>
      </c>
      <c r="G1180">
        <v>0</v>
      </c>
      <c r="H1180" t="str">
        <f t="shared" si="18"/>
        <v>No Night Usage</v>
      </c>
      <c r="I1180">
        <v>8.4</v>
      </c>
      <c r="J1180" s="3">
        <v>4</v>
      </c>
      <c r="K1180">
        <v>4.9000000000000004</v>
      </c>
      <c r="L1180" t="s">
        <v>25</v>
      </c>
      <c r="M1180">
        <v>9</v>
      </c>
      <c r="N1180">
        <v>0</v>
      </c>
      <c r="O1180">
        <v>0</v>
      </c>
      <c r="P1180">
        <v>1</v>
      </c>
      <c r="Q1180">
        <v>0</v>
      </c>
      <c r="R1180">
        <v>1</v>
      </c>
      <c r="S1180">
        <v>1</v>
      </c>
      <c r="T1180" t="str">
        <f>IF(mental_health[Sleep_Hours]&lt;5,"Low",IF(mental_health[Sleep_Hours]&lt;7,"Medium","Good"))</f>
        <v>Good</v>
      </c>
      <c r="U1180" t="str">
        <f>IF(mental_health[Stress_Level]&lt;=3,"Low",IF(mental_health[Stress_Level]&lt;=7,"Medium","High"))</f>
        <v>Medium</v>
      </c>
      <c r="V1180" t="str">
        <f>IF(mental_health[Daily_Screen_Time]&lt;=4,"Low",IF(mental_health[Daily_Screen_Time]&lt;=8,"Medium","High"))</f>
        <v>Low</v>
      </c>
    </row>
    <row r="1181" spans="1:22" x14ac:dyDescent="0.3">
      <c r="A1181">
        <v>1180</v>
      </c>
      <c r="B1181">
        <v>52</v>
      </c>
      <c r="C1181" t="s">
        <v>23</v>
      </c>
      <c r="D1181" t="s">
        <v>24</v>
      </c>
      <c r="E1181">
        <v>5.3</v>
      </c>
      <c r="F1181">
        <v>7.4</v>
      </c>
      <c r="G1181">
        <v>1</v>
      </c>
      <c r="H1181" t="str">
        <f t="shared" si="18"/>
        <v>Night Usage</v>
      </c>
      <c r="I1181">
        <v>8.6999999999999993</v>
      </c>
      <c r="J1181" s="3">
        <v>7</v>
      </c>
      <c r="K1181">
        <v>8.5</v>
      </c>
      <c r="L1181" t="s">
        <v>25</v>
      </c>
      <c r="M1181">
        <v>4</v>
      </c>
      <c r="N1181">
        <v>4</v>
      </c>
      <c r="O1181">
        <v>1</v>
      </c>
      <c r="P1181">
        <v>0</v>
      </c>
      <c r="Q1181">
        <v>0</v>
      </c>
      <c r="R1181">
        <v>1</v>
      </c>
      <c r="S1181">
        <v>0</v>
      </c>
      <c r="T1181" t="str">
        <f>IF(mental_health[Sleep_Hours]&lt;5,"Low",IF(mental_health[Sleep_Hours]&lt;7,"Medium","Good"))</f>
        <v>Good</v>
      </c>
      <c r="U1181" t="str">
        <f>IF(mental_health[Stress_Level]&lt;=3,"Low",IF(mental_health[Stress_Level]&lt;=7,"Medium","High"))</f>
        <v>Medium</v>
      </c>
      <c r="V1181" t="str">
        <f>IF(mental_health[Daily_Screen_Time]&lt;=4,"Low",IF(mental_health[Daily_Screen_Time]&lt;=8,"Medium","High"))</f>
        <v>Medium</v>
      </c>
    </row>
    <row r="1182" spans="1:22" x14ac:dyDescent="0.3">
      <c r="A1182">
        <v>1181</v>
      </c>
      <c r="B1182">
        <v>18</v>
      </c>
      <c r="C1182" t="s">
        <v>18</v>
      </c>
      <c r="D1182" t="s">
        <v>19</v>
      </c>
      <c r="E1182">
        <v>10.199999999999999</v>
      </c>
      <c r="F1182">
        <v>3.4</v>
      </c>
      <c r="G1182">
        <v>0</v>
      </c>
      <c r="H1182" t="str">
        <f t="shared" si="18"/>
        <v>No Night Usage</v>
      </c>
      <c r="I1182">
        <v>5.4</v>
      </c>
      <c r="J1182" s="3">
        <v>6</v>
      </c>
      <c r="K1182">
        <v>8.6</v>
      </c>
      <c r="L1182" t="s">
        <v>21</v>
      </c>
      <c r="M1182">
        <v>3</v>
      </c>
      <c r="N1182">
        <v>4</v>
      </c>
      <c r="O1182">
        <v>1</v>
      </c>
      <c r="P1182">
        <v>0</v>
      </c>
      <c r="Q1182">
        <v>1</v>
      </c>
      <c r="R1182">
        <v>1</v>
      </c>
      <c r="S1182">
        <v>0</v>
      </c>
      <c r="T1182" t="str">
        <f>IF(mental_health[Sleep_Hours]&lt;5,"Low",IF(mental_health[Sleep_Hours]&lt;7,"Medium","Good"))</f>
        <v>Medium</v>
      </c>
      <c r="U1182" t="str">
        <f>IF(mental_health[Stress_Level]&lt;=3,"Low",IF(mental_health[Stress_Level]&lt;=7,"Medium","High"))</f>
        <v>Medium</v>
      </c>
      <c r="V1182" t="str">
        <f>IF(mental_health[Daily_Screen_Time]&lt;=4,"Low",IF(mental_health[Daily_Screen_Time]&lt;=8,"Medium","High"))</f>
        <v>High</v>
      </c>
    </row>
    <row r="1183" spans="1:22" x14ac:dyDescent="0.3">
      <c r="A1183">
        <v>1182</v>
      </c>
      <c r="B1183">
        <v>48</v>
      </c>
      <c r="C1183" t="s">
        <v>23</v>
      </c>
      <c r="D1183" t="s">
        <v>19</v>
      </c>
      <c r="E1183">
        <v>8</v>
      </c>
      <c r="F1183">
        <v>5.4</v>
      </c>
      <c r="G1183">
        <v>1</v>
      </c>
      <c r="H1183" t="str">
        <f t="shared" si="18"/>
        <v>Night Usage</v>
      </c>
      <c r="I1183">
        <v>4.3</v>
      </c>
      <c r="J1183" s="3">
        <v>3</v>
      </c>
      <c r="K1183">
        <v>7.9</v>
      </c>
      <c r="L1183" t="s">
        <v>25</v>
      </c>
      <c r="M1183">
        <v>3</v>
      </c>
      <c r="N1183">
        <v>4</v>
      </c>
      <c r="O1183">
        <v>0</v>
      </c>
      <c r="P1183">
        <v>0</v>
      </c>
      <c r="Q1183">
        <v>1</v>
      </c>
      <c r="R1183">
        <v>1</v>
      </c>
      <c r="S1183">
        <v>1</v>
      </c>
      <c r="T1183" t="str">
        <f>IF(mental_health[Sleep_Hours]&lt;5,"Low",IF(mental_health[Sleep_Hours]&lt;7,"Medium","Good"))</f>
        <v>Low</v>
      </c>
      <c r="U1183" t="str">
        <f>IF(mental_health[Stress_Level]&lt;=3,"Low",IF(mental_health[Stress_Level]&lt;=7,"Medium","High"))</f>
        <v>Low</v>
      </c>
      <c r="V1183" t="str">
        <f>IF(mental_health[Daily_Screen_Time]&lt;=4,"Low",IF(mental_health[Daily_Screen_Time]&lt;=8,"Medium","High"))</f>
        <v>Medium</v>
      </c>
    </row>
    <row r="1184" spans="1:22" x14ac:dyDescent="0.3">
      <c r="A1184">
        <v>1183</v>
      </c>
      <c r="B1184">
        <v>43</v>
      </c>
      <c r="C1184" t="s">
        <v>23</v>
      </c>
      <c r="D1184" t="s">
        <v>22</v>
      </c>
      <c r="E1184">
        <v>5.9</v>
      </c>
      <c r="F1184">
        <v>1.3</v>
      </c>
      <c r="G1184">
        <v>1</v>
      </c>
      <c r="H1184" t="str">
        <f t="shared" si="18"/>
        <v>Night Usage</v>
      </c>
      <c r="I1184">
        <v>5.2</v>
      </c>
      <c r="J1184" s="3">
        <v>8</v>
      </c>
      <c r="K1184">
        <v>3</v>
      </c>
      <c r="L1184" t="s">
        <v>21</v>
      </c>
      <c r="M1184">
        <v>10</v>
      </c>
      <c r="N1184">
        <v>2</v>
      </c>
      <c r="O1184">
        <v>1</v>
      </c>
      <c r="P1184">
        <v>1</v>
      </c>
      <c r="Q1184">
        <v>0</v>
      </c>
      <c r="R1184">
        <v>1</v>
      </c>
      <c r="S1184">
        <v>1</v>
      </c>
      <c r="T1184" t="str">
        <f>IF(mental_health[Sleep_Hours]&lt;5,"Low",IF(mental_health[Sleep_Hours]&lt;7,"Medium","Good"))</f>
        <v>Medium</v>
      </c>
      <c r="U1184" t="str">
        <f>IF(mental_health[Stress_Level]&lt;=3,"Low",IF(mental_health[Stress_Level]&lt;=7,"Medium","High"))</f>
        <v>High</v>
      </c>
      <c r="V1184" t="str">
        <f>IF(mental_health[Daily_Screen_Time]&lt;=4,"Low",IF(mental_health[Daily_Screen_Time]&lt;=8,"Medium","High"))</f>
        <v>Medium</v>
      </c>
    </row>
    <row r="1185" spans="1:22" x14ac:dyDescent="0.3">
      <c r="A1185">
        <v>1184</v>
      </c>
      <c r="B1185">
        <v>23</v>
      </c>
      <c r="C1185" t="s">
        <v>23</v>
      </c>
      <c r="D1185" t="s">
        <v>19</v>
      </c>
      <c r="E1185">
        <v>6.7</v>
      </c>
      <c r="F1185">
        <v>2.2999999999999998</v>
      </c>
      <c r="G1185">
        <v>0</v>
      </c>
      <c r="H1185" t="str">
        <f t="shared" si="18"/>
        <v>No Night Usage</v>
      </c>
      <c r="I1185">
        <v>5</v>
      </c>
      <c r="J1185" s="3">
        <v>7</v>
      </c>
      <c r="K1185">
        <v>12</v>
      </c>
      <c r="L1185" t="s">
        <v>20</v>
      </c>
      <c r="M1185">
        <v>2</v>
      </c>
      <c r="N1185">
        <v>3</v>
      </c>
      <c r="O1185">
        <v>0</v>
      </c>
      <c r="P1185">
        <v>1</v>
      </c>
      <c r="Q1185">
        <v>0</v>
      </c>
      <c r="R1185">
        <v>0</v>
      </c>
      <c r="S1185">
        <v>1</v>
      </c>
      <c r="T1185" t="str">
        <f>IF(mental_health[Sleep_Hours]&lt;5,"Low",IF(mental_health[Sleep_Hours]&lt;7,"Medium","Good"))</f>
        <v>Medium</v>
      </c>
      <c r="U1185" t="str">
        <f>IF(mental_health[Stress_Level]&lt;=3,"Low",IF(mental_health[Stress_Level]&lt;=7,"Medium","High"))</f>
        <v>Medium</v>
      </c>
      <c r="V1185" t="str">
        <f>IF(mental_health[Daily_Screen_Time]&lt;=4,"Low",IF(mental_health[Daily_Screen_Time]&lt;=8,"Medium","High"))</f>
        <v>Medium</v>
      </c>
    </row>
    <row r="1186" spans="1:22" x14ac:dyDescent="0.3">
      <c r="A1186">
        <v>1185</v>
      </c>
      <c r="B1186">
        <v>49</v>
      </c>
      <c r="C1186" t="s">
        <v>23</v>
      </c>
      <c r="D1186" t="s">
        <v>24</v>
      </c>
      <c r="E1186">
        <v>10.5</v>
      </c>
      <c r="F1186">
        <v>6.8</v>
      </c>
      <c r="G1186">
        <v>0</v>
      </c>
      <c r="H1186" t="str">
        <f t="shared" si="18"/>
        <v>No Night Usage</v>
      </c>
      <c r="I1186">
        <v>4.0999999999999996</v>
      </c>
      <c r="J1186" s="3">
        <v>9</v>
      </c>
      <c r="K1186">
        <v>6</v>
      </c>
      <c r="L1186" t="s">
        <v>20</v>
      </c>
      <c r="M1186">
        <v>10</v>
      </c>
      <c r="N1186">
        <v>1</v>
      </c>
      <c r="O1186">
        <v>0</v>
      </c>
      <c r="P1186">
        <v>1</v>
      </c>
      <c r="Q1186">
        <v>1</v>
      </c>
      <c r="R1186">
        <v>0</v>
      </c>
      <c r="S1186">
        <v>1</v>
      </c>
      <c r="T1186" t="str">
        <f>IF(mental_health[Sleep_Hours]&lt;5,"Low",IF(mental_health[Sleep_Hours]&lt;7,"Medium","Good"))</f>
        <v>Low</v>
      </c>
      <c r="U1186" t="str">
        <f>IF(mental_health[Stress_Level]&lt;=3,"Low",IF(mental_health[Stress_Level]&lt;=7,"Medium","High"))</f>
        <v>High</v>
      </c>
      <c r="V1186" t="str">
        <f>IF(mental_health[Daily_Screen_Time]&lt;=4,"Low",IF(mental_health[Daily_Screen_Time]&lt;=8,"Medium","High"))</f>
        <v>High</v>
      </c>
    </row>
    <row r="1187" spans="1:22" x14ac:dyDescent="0.3">
      <c r="A1187">
        <v>1186</v>
      </c>
      <c r="B1187">
        <v>50</v>
      </c>
      <c r="C1187" t="s">
        <v>18</v>
      </c>
      <c r="D1187" t="s">
        <v>24</v>
      </c>
      <c r="E1187">
        <v>5.4</v>
      </c>
      <c r="F1187">
        <v>6.4</v>
      </c>
      <c r="G1187">
        <v>1</v>
      </c>
      <c r="H1187" t="str">
        <f t="shared" si="18"/>
        <v>Night Usage</v>
      </c>
      <c r="I1187">
        <v>6.6</v>
      </c>
      <c r="J1187" s="3">
        <v>3</v>
      </c>
      <c r="K1187">
        <v>8.4</v>
      </c>
      <c r="L1187" t="s">
        <v>20</v>
      </c>
      <c r="M1187">
        <v>3</v>
      </c>
      <c r="N1187">
        <v>1</v>
      </c>
      <c r="O1187">
        <v>1</v>
      </c>
      <c r="P1187">
        <v>1</v>
      </c>
      <c r="Q1187">
        <v>0</v>
      </c>
      <c r="R1187">
        <v>0</v>
      </c>
      <c r="S1187">
        <v>1</v>
      </c>
      <c r="T1187" t="str">
        <f>IF(mental_health[Sleep_Hours]&lt;5,"Low",IF(mental_health[Sleep_Hours]&lt;7,"Medium","Good"))</f>
        <v>Medium</v>
      </c>
      <c r="U1187" t="str">
        <f>IF(mental_health[Stress_Level]&lt;=3,"Low",IF(mental_health[Stress_Level]&lt;=7,"Medium","High"))</f>
        <v>Low</v>
      </c>
      <c r="V1187" t="str">
        <f>IF(mental_health[Daily_Screen_Time]&lt;=4,"Low",IF(mental_health[Daily_Screen_Time]&lt;=8,"Medium","High"))</f>
        <v>Medium</v>
      </c>
    </row>
    <row r="1188" spans="1:22" x14ac:dyDescent="0.3">
      <c r="A1188">
        <v>1187</v>
      </c>
      <c r="B1188">
        <v>47</v>
      </c>
      <c r="C1188" t="s">
        <v>23</v>
      </c>
      <c r="D1188" t="s">
        <v>22</v>
      </c>
      <c r="E1188">
        <v>10.7</v>
      </c>
      <c r="F1188">
        <v>3.5</v>
      </c>
      <c r="G1188">
        <v>0</v>
      </c>
      <c r="H1188" t="str">
        <f t="shared" si="18"/>
        <v>No Night Usage</v>
      </c>
      <c r="I1188">
        <v>5.9</v>
      </c>
      <c r="J1188" s="3">
        <v>1</v>
      </c>
      <c r="K1188">
        <v>10.9</v>
      </c>
      <c r="L1188" t="s">
        <v>21</v>
      </c>
      <c r="M1188">
        <v>8</v>
      </c>
      <c r="N1188">
        <v>1</v>
      </c>
      <c r="O1188">
        <v>0</v>
      </c>
      <c r="P1188">
        <v>0</v>
      </c>
      <c r="Q1188">
        <v>1</v>
      </c>
      <c r="R1188">
        <v>1</v>
      </c>
      <c r="S1188">
        <v>0</v>
      </c>
      <c r="T1188" t="str">
        <f>IF(mental_health[Sleep_Hours]&lt;5,"Low",IF(mental_health[Sleep_Hours]&lt;7,"Medium","Good"))</f>
        <v>Medium</v>
      </c>
      <c r="U1188" t="str">
        <f>IF(mental_health[Stress_Level]&lt;=3,"Low",IF(mental_health[Stress_Level]&lt;=7,"Medium","High"))</f>
        <v>Low</v>
      </c>
      <c r="V1188" t="str">
        <f>IF(mental_health[Daily_Screen_Time]&lt;=4,"Low",IF(mental_health[Daily_Screen_Time]&lt;=8,"Medium","High"))</f>
        <v>High</v>
      </c>
    </row>
    <row r="1189" spans="1:22" x14ac:dyDescent="0.3">
      <c r="A1189">
        <v>1188</v>
      </c>
      <c r="B1189">
        <v>39</v>
      </c>
      <c r="C1189" t="s">
        <v>23</v>
      </c>
      <c r="D1189" t="s">
        <v>19</v>
      </c>
      <c r="E1189">
        <v>2.9</v>
      </c>
      <c r="F1189">
        <v>3.6</v>
      </c>
      <c r="G1189">
        <v>1</v>
      </c>
      <c r="H1189" t="str">
        <f t="shared" si="18"/>
        <v>Night Usage</v>
      </c>
      <c r="I1189">
        <v>8.1999999999999993</v>
      </c>
      <c r="J1189" s="3">
        <v>2</v>
      </c>
      <c r="K1189">
        <v>6.2</v>
      </c>
      <c r="L1189" t="s">
        <v>25</v>
      </c>
      <c r="M1189">
        <v>8</v>
      </c>
      <c r="N1189">
        <v>4</v>
      </c>
      <c r="O1189">
        <v>1</v>
      </c>
      <c r="P1189">
        <v>1</v>
      </c>
      <c r="Q1189">
        <v>0</v>
      </c>
      <c r="R1189">
        <v>1</v>
      </c>
      <c r="S1189">
        <v>1</v>
      </c>
      <c r="T1189" t="str">
        <f>IF(mental_health[Sleep_Hours]&lt;5,"Low",IF(mental_health[Sleep_Hours]&lt;7,"Medium","Good"))</f>
        <v>Good</v>
      </c>
      <c r="U1189" t="str">
        <f>IF(mental_health[Stress_Level]&lt;=3,"Low",IF(mental_health[Stress_Level]&lt;=7,"Medium","High"))</f>
        <v>Low</v>
      </c>
      <c r="V1189" t="str">
        <f>IF(mental_health[Daily_Screen_Time]&lt;=4,"Low",IF(mental_health[Daily_Screen_Time]&lt;=8,"Medium","High"))</f>
        <v>Low</v>
      </c>
    </row>
    <row r="1190" spans="1:22" x14ac:dyDescent="0.3">
      <c r="A1190">
        <v>1189</v>
      </c>
      <c r="B1190">
        <v>29</v>
      </c>
      <c r="C1190" t="s">
        <v>18</v>
      </c>
      <c r="D1190" t="s">
        <v>24</v>
      </c>
      <c r="E1190">
        <v>9.8000000000000007</v>
      </c>
      <c r="F1190">
        <v>4.7</v>
      </c>
      <c r="G1190">
        <v>0</v>
      </c>
      <c r="H1190" t="str">
        <f t="shared" si="18"/>
        <v>No Night Usage</v>
      </c>
      <c r="I1190">
        <v>3.2</v>
      </c>
      <c r="J1190" s="3">
        <v>1</v>
      </c>
      <c r="K1190">
        <v>9.6999999999999993</v>
      </c>
      <c r="L1190" t="s">
        <v>20</v>
      </c>
      <c r="M1190">
        <v>2</v>
      </c>
      <c r="N1190">
        <v>4</v>
      </c>
      <c r="O1190">
        <v>0</v>
      </c>
      <c r="P1190">
        <v>0</v>
      </c>
      <c r="Q1190">
        <v>0</v>
      </c>
      <c r="R1190">
        <v>0</v>
      </c>
      <c r="S1190">
        <v>1</v>
      </c>
      <c r="T1190" t="str">
        <f>IF(mental_health[Sleep_Hours]&lt;5,"Low",IF(mental_health[Sleep_Hours]&lt;7,"Medium","Good"))</f>
        <v>Low</v>
      </c>
      <c r="U1190" t="str">
        <f>IF(mental_health[Stress_Level]&lt;=3,"Low",IF(mental_health[Stress_Level]&lt;=7,"Medium","High"))</f>
        <v>Low</v>
      </c>
      <c r="V1190" t="str">
        <f>IF(mental_health[Daily_Screen_Time]&lt;=4,"Low",IF(mental_health[Daily_Screen_Time]&lt;=8,"Medium","High"))</f>
        <v>High</v>
      </c>
    </row>
    <row r="1191" spans="1:22" x14ac:dyDescent="0.3">
      <c r="A1191">
        <v>1190</v>
      </c>
      <c r="B1191">
        <v>47</v>
      </c>
      <c r="C1191" t="s">
        <v>18</v>
      </c>
      <c r="D1191" t="s">
        <v>19</v>
      </c>
      <c r="E1191">
        <v>10.5</v>
      </c>
      <c r="F1191">
        <v>1</v>
      </c>
      <c r="G1191">
        <v>0</v>
      </c>
      <c r="H1191" t="str">
        <f t="shared" si="18"/>
        <v>No Night Usage</v>
      </c>
      <c r="I1191">
        <v>6.9</v>
      </c>
      <c r="J1191" s="3">
        <v>5</v>
      </c>
      <c r="K1191">
        <v>11.7</v>
      </c>
      <c r="L1191" t="s">
        <v>21</v>
      </c>
      <c r="M1191">
        <v>2</v>
      </c>
      <c r="N1191">
        <v>4</v>
      </c>
      <c r="O1191">
        <v>1</v>
      </c>
      <c r="P1191">
        <v>1</v>
      </c>
      <c r="Q1191">
        <v>0</v>
      </c>
      <c r="R1191">
        <v>0</v>
      </c>
      <c r="S1191">
        <v>1</v>
      </c>
      <c r="T1191" t="str">
        <f>IF(mental_health[Sleep_Hours]&lt;5,"Low",IF(mental_health[Sleep_Hours]&lt;7,"Medium","Good"))</f>
        <v>Medium</v>
      </c>
      <c r="U1191" t="str">
        <f>IF(mental_health[Stress_Level]&lt;=3,"Low",IF(mental_health[Stress_Level]&lt;=7,"Medium","High"))</f>
        <v>Medium</v>
      </c>
      <c r="V1191" t="str">
        <f>IF(mental_health[Daily_Screen_Time]&lt;=4,"Low",IF(mental_health[Daily_Screen_Time]&lt;=8,"Medium","High"))</f>
        <v>High</v>
      </c>
    </row>
    <row r="1192" spans="1:22" x14ac:dyDescent="0.3">
      <c r="A1192">
        <v>1191</v>
      </c>
      <c r="B1192">
        <v>58</v>
      </c>
      <c r="C1192" t="s">
        <v>23</v>
      </c>
      <c r="D1192" t="s">
        <v>19</v>
      </c>
      <c r="E1192">
        <v>3.8</v>
      </c>
      <c r="F1192">
        <v>2.7</v>
      </c>
      <c r="G1192">
        <v>0</v>
      </c>
      <c r="H1192" t="str">
        <f t="shared" si="18"/>
        <v>No Night Usage</v>
      </c>
      <c r="I1192">
        <v>7.6</v>
      </c>
      <c r="J1192" s="3">
        <v>10</v>
      </c>
      <c r="K1192">
        <v>5.6</v>
      </c>
      <c r="L1192" t="s">
        <v>25</v>
      </c>
      <c r="M1192">
        <v>2</v>
      </c>
      <c r="N1192">
        <v>2</v>
      </c>
      <c r="O1192">
        <v>1</v>
      </c>
      <c r="P1192">
        <v>1</v>
      </c>
      <c r="Q1192">
        <v>0</v>
      </c>
      <c r="R1192">
        <v>1</v>
      </c>
      <c r="S1192">
        <v>1</v>
      </c>
      <c r="T1192" t="str">
        <f>IF(mental_health[Sleep_Hours]&lt;5,"Low",IF(mental_health[Sleep_Hours]&lt;7,"Medium","Good"))</f>
        <v>Good</v>
      </c>
      <c r="U1192" t="str">
        <f>IF(mental_health[Stress_Level]&lt;=3,"Low",IF(mental_health[Stress_Level]&lt;=7,"Medium","High"))</f>
        <v>High</v>
      </c>
      <c r="V1192" t="str">
        <f>IF(mental_health[Daily_Screen_Time]&lt;=4,"Low",IF(mental_health[Daily_Screen_Time]&lt;=8,"Medium","High"))</f>
        <v>Low</v>
      </c>
    </row>
    <row r="1193" spans="1:22" x14ac:dyDescent="0.3">
      <c r="A1193">
        <v>1192</v>
      </c>
      <c r="B1193">
        <v>31</v>
      </c>
      <c r="C1193" t="s">
        <v>23</v>
      </c>
      <c r="D1193" t="s">
        <v>19</v>
      </c>
      <c r="E1193">
        <v>6.3</v>
      </c>
      <c r="F1193">
        <v>2.5</v>
      </c>
      <c r="G1193">
        <v>0</v>
      </c>
      <c r="H1193" t="str">
        <f t="shared" si="18"/>
        <v>No Night Usage</v>
      </c>
      <c r="I1193">
        <v>7.6</v>
      </c>
      <c r="J1193" s="3">
        <v>2</v>
      </c>
      <c r="K1193">
        <v>6.1</v>
      </c>
      <c r="L1193" t="s">
        <v>25</v>
      </c>
      <c r="M1193">
        <v>10</v>
      </c>
      <c r="N1193">
        <v>2</v>
      </c>
      <c r="O1193">
        <v>0</v>
      </c>
      <c r="P1193">
        <v>0</v>
      </c>
      <c r="Q1193">
        <v>0</v>
      </c>
      <c r="R1193">
        <v>0</v>
      </c>
      <c r="S1193">
        <v>0</v>
      </c>
      <c r="T1193" t="str">
        <f>IF(mental_health[Sleep_Hours]&lt;5,"Low",IF(mental_health[Sleep_Hours]&lt;7,"Medium","Good"))</f>
        <v>Good</v>
      </c>
      <c r="U1193" t="str">
        <f>IF(mental_health[Stress_Level]&lt;=3,"Low",IF(mental_health[Stress_Level]&lt;=7,"Medium","High"))</f>
        <v>Low</v>
      </c>
      <c r="V1193" t="str">
        <f>IF(mental_health[Daily_Screen_Time]&lt;=4,"Low",IF(mental_health[Daily_Screen_Time]&lt;=8,"Medium","High"))</f>
        <v>Medium</v>
      </c>
    </row>
    <row r="1194" spans="1:22" x14ac:dyDescent="0.3">
      <c r="A1194">
        <v>1193</v>
      </c>
      <c r="B1194">
        <v>19</v>
      </c>
      <c r="C1194" t="s">
        <v>23</v>
      </c>
      <c r="D1194" t="s">
        <v>22</v>
      </c>
      <c r="E1194">
        <v>3.7</v>
      </c>
      <c r="F1194">
        <v>2.8</v>
      </c>
      <c r="G1194">
        <v>1</v>
      </c>
      <c r="H1194" t="str">
        <f t="shared" si="18"/>
        <v>Night Usage</v>
      </c>
      <c r="I1194">
        <v>8.3000000000000007</v>
      </c>
      <c r="J1194" s="3">
        <v>3</v>
      </c>
      <c r="K1194">
        <v>11.1</v>
      </c>
      <c r="L1194" t="s">
        <v>25</v>
      </c>
      <c r="M1194">
        <v>7</v>
      </c>
      <c r="N1194">
        <v>2</v>
      </c>
      <c r="O1194">
        <v>1</v>
      </c>
      <c r="P1194">
        <v>0</v>
      </c>
      <c r="Q1194">
        <v>1</v>
      </c>
      <c r="R1194">
        <v>0</v>
      </c>
      <c r="S1194">
        <v>1</v>
      </c>
      <c r="T1194" t="str">
        <f>IF(mental_health[Sleep_Hours]&lt;5,"Low",IF(mental_health[Sleep_Hours]&lt;7,"Medium","Good"))</f>
        <v>Good</v>
      </c>
      <c r="U1194" t="str">
        <f>IF(mental_health[Stress_Level]&lt;=3,"Low",IF(mental_health[Stress_Level]&lt;=7,"Medium","High"))</f>
        <v>Low</v>
      </c>
      <c r="V1194" t="str">
        <f>IF(mental_health[Daily_Screen_Time]&lt;=4,"Low",IF(mental_health[Daily_Screen_Time]&lt;=8,"Medium","High"))</f>
        <v>Low</v>
      </c>
    </row>
    <row r="1195" spans="1:22" x14ac:dyDescent="0.3">
      <c r="A1195">
        <v>1194</v>
      </c>
      <c r="B1195">
        <v>52</v>
      </c>
      <c r="C1195" t="s">
        <v>23</v>
      </c>
      <c r="D1195" t="s">
        <v>19</v>
      </c>
      <c r="E1195">
        <v>9.1</v>
      </c>
      <c r="F1195">
        <v>6.6</v>
      </c>
      <c r="G1195">
        <v>1</v>
      </c>
      <c r="H1195" t="str">
        <f t="shared" si="18"/>
        <v>Night Usage</v>
      </c>
      <c r="I1195">
        <v>7.4</v>
      </c>
      <c r="J1195" s="3">
        <v>8</v>
      </c>
      <c r="K1195">
        <v>3.6</v>
      </c>
      <c r="L1195" t="s">
        <v>21</v>
      </c>
      <c r="M1195">
        <v>6</v>
      </c>
      <c r="N1195">
        <v>2</v>
      </c>
      <c r="O1195">
        <v>1</v>
      </c>
      <c r="P1195">
        <v>1</v>
      </c>
      <c r="Q1195">
        <v>1</v>
      </c>
      <c r="R1195">
        <v>1</v>
      </c>
      <c r="S1195">
        <v>0</v>
      </c>
      <c r="T1195" t="str">
        <f>IF(mental_health[Sleep_Hours]&lt;5,"Low",IF(mental_health[Sleep_Hours]&lt;7,"Medium","Good"))</f>
        <v>Good</v>
      </c>
      <c r="U1195" t="str">
        <f>IF(mental_health[Stress_Level]&lt;=3,"Low",IF(mental_health[Stress_Level]&lt;=7,"Medium","High"))</f>
        <v>High</v>
      </c>
      <c r="V1195" t="str">
        <f>IF(mental_health[Daily_Screen_Time]&lt;=4,"Low",IF(mental_health[Daily_Screen_Time]&lt;=8,"Medium","High"))</f>
        <v>High</v>
      </c>
    </row>
    <row r="1196" spans="1:22" x14ac:dyDescent="0.3">
      <c r="A1196">
        <v>1195</v>
      </c>
      <c r="B1196">
        <v>36</v>
      </c>
      <c r="C1196" t="s">
        <v>18</v>
      </c>
      <c r="D1196" t="s">
        <v>24</v>
      </c>
      <c r="E1196">
        <v>7.4</v>
      </c>
      <c r="F1196">
        <v>3</v>
      </c>
      <c r="G1196">
        <v>1</v>
      </c>
      <c r="H1196" t="str">
        <f t="shared" si="18"/>
        <v>Night Usage</v>
      </c>
      <c r="I1196">
        <v>8.6</v>
      </c>
      <c r="J1196" s="3">
        <v>10</v>
      </c>
      <c r="K1196">
        <v>2.2999999999999998</v>
      </c>
      <c r="L1196" t="s">
        <v>21</v>
      </c>
      <c r="M1196">
        <v>1</v>
      </c>
      <c r="N1196">
        <v>0</v>
      </c>
      <c r="O1196">
        <v>1</v>
      </c>
      <c r="P1196">
        <v>1</v>
      </c>
      <c r="Q1196">
        <v>1</v>
      </c>
      <c r="R1196">
        <v>1</v>
      </c>
      <c r="S1196">
        <v>1</v>
      </c>
      <c r="T1196" t="str">
        <f>IF(mental_health[Sleep_Hours]&lt;5,"Low",IF(mental_health[Sleep_Hours]&lt;7,"Medium","Good"))</f>
        <v>Good</v>
      </c>
      <c r="U1196" t="str">
        <f>IF(mental_health[Stress_Level]&lt;=3,"Low",IF(mental_health[Stress_Level]&lt;=7,"Medium","High"))</f>
        <v>High</v>
      </c>
      <c r="V1196" t="str">
        <f>IF(mental_health[Daily_Screen_Time]&lt;=4,"Low",IF(mental_health[Daily_Screen_Time]&lt;=8,"Medium","High"))</f>
        <v>Medium</v>
      </c>
    </row>
    <row r="1197" spans="1:22" x14ac:dyDescent="0.3">
      <c r="A1197">
        <v>1196</v>
      </c>
      <c r="B1197">
        <v>29</v>
      </c>
      <c r="C1197" t="s">
        <v>18</v>
      </c>
      <c r="D1197" t="s">
        <v>19</v>
      </c>
      <c r="E1197">
        <v>8.4</v>
      </c>
      <c r="F1197">
        <v>2.2999999999999998</v>
      </c>
      <c r="G1197">
        <v>0</v>
      </c>
      <c r="H1197" t="str">
        <f t="shared" si="18"/>
        <v>No Night Usage</v>
      </c>
      <c r="I1197">
        <v>5</v>
      </c>
      <c r="J1197" s="3">
        <v>5</v>
      </c>
      <c r="K1197">
        <v>11.1</v>
      </c>
      <c r="L1197" t="s">
        <v>21</v>
      </c>
      <c r="M1197">
        <v>2</v>
      </c>
      <c r="N1197">
        <v>2</v>
      </c>
      <c r="O1197">
        <v>0</v>
      </c>
      <c r="P1197">
        <v>1</v>
      </c>
      <c r="Q1197">
        <v>1</v>
      </c>
      <c r="R1197">
        <v>1</v>
      </c>
      <c r="S1197">
        <v>0</v>
      </c>
      <c r="T1197" t="str">
        <f>IF(mental_health[Sleep_Hours]&lt;5,"Low",IF(mental_health[Sleep_Hours]&lt;7,"Medium","Good"))</f>
        <v>Medium</v>
      </c>
      <c r="U1197" t="str">
        <f>IF(mental_health[Stress_Level]&lt;=3,"Low",IF(mental_health[Stress_Level]&lt;=7,"Medium","High"))</f>
        <v>Medium</v>
      </c>
      <c r="V1197" t="str">
        <f>IF(mental_health[Daily_Screen_Time]&lt;=4,"Low",IF(mental_health[Daily_Screen_Time]&lt;=8,"Medium","High"))</f>
        <v>High</v>
      </c>
    </row>
    <row r="1198" spans="1:22" x14ac:dyDescent="0.3">
      <c r="A1198">
        <v>1197</v>
      </c>
      <c r="B1198">
        <v>46</v>
      </c>
      <c r="C1198" t="s">
        <v>18</v>
      </c>
      <c r="D1198" t="s">
        <v>24</v>
      </c>
      <c r="E1198">
        <v>4</v>
      </c>
      <c r="F1198">
        <v>4.5</v>
      </c>
      <c r="G1198">
        <v>1</v>
      </c>
      <c r="H1198" t="str">
        <f t="shared" si="18"/>
        <v>Night Usage</v>
      </c>
      <c r="I1198">
        <v>6</v>
      </c>
      <c r="J1198" s="3">
        <v>4</v>
      </c>
      <c r="K1198">
        <v>10.199999999999999</v>
      </c>
      <c r="L1198" t="s">
        <v>20</v>
      </c>
      <c r="M1198">
        <v>1</v>
      </c>
      <c r="N1198">
        <v>2</v>
      </c>
      <c r="O1198">
        <v>1</v>
      </c>
      <c r="P1198">
        <v>1</v>
      </c>
      <c r="Q1198">
        <v>1</v>
      </c>
      <c r="R1198">
        <v>0</v>
      </c>
      <c r="S1198">
        <v>1</v>
      </c>
      <c r="T1198" t="str">
        <f>IF(mental_health[Sleep_Hours]&lt;5,"Low",IF(mental_health[Sleep_Hours]&lt;7,"Medium","Good"))</f>
        <v>Medium</v>
      </c>
      <c r="U1198" t="str">
        <f>IF(mental_health[Stress_Level]&lt;=3,"Low",IF(mental_health[Stress_Level]&lt;=7,"Medium","High"))</f>
        <v>Medium</v>
      </c>
      <c r="V1198" t="str">
        <f>IF(mental_health[Daily_Screen_Time]&lt;=4,"Low",IF(mental_health[Daily_Screen_Time]&lt;=8,"Medium","High"))</f>
        <v>Low</v>
      </c>
    </row>
    <row r="1199" spans="1:22" x14ac:dyDescent="0.3">
      <c r="A1199">
        <v>1198</v>
      </c>
      <c r="B1199">
        <v>33</v>
      </c>
      <c r="C1199" t="s">
        <v>23</v>
      </c>
      <c r="D1199" t="s">
        <v>19</v>
      </c>
      <c r="E1199">
        <v>4.0999999999999996</v>
      </c>
      <c r="F1199">
        <v>7.1</v>
      </c>
      <c r="G1199">
        <v>1</v>
      </c>
      <c r="H1199" t="str">
        <f t="shared" si="18"/>
        <v>Night Usage</v>
      </c>
      <c r="I1199">
        <v>3.1</v>
      </c>
      <c r="J1199" s="3">
        <v>5</v>
      </c>
      <c r="K1199">
        <v>11.7</v>
      </c>
      <c r="L1199" t="s">
        <v>21</v>
      </c>
      <c r="M1199">
        <v>7</v>
      </c>
      <c r="N1199">
        <v>2</v>
      </c>
      <c r="O1199">
        <v>1</v>
      </c>
      <c r="P1199">
        <v>1</v>
      </c>
      <c r="Q1199">
        <v>1</v>
      </c>
      <c r="R1199">
        <v>1</v>
      </c>
      <c r="S1199">
        <v>1</v>
      </c>
      <c r="T1199" t="str">
        <f>IF(mental_health[Sleep_Hours]&lt;5,"Low",IF(mental_health[Sleep_Hours]&lt;7,"Medium","Good"))</f>
        <v>Low</v>
      </c>
      <c r="U1199" t="str">
        <f>IF(mental_health[Stress_Level]&lt;=3,"Low",IF(mental_health[Stress_Level]&lt;=7,"Medium","High"))</f>
        <v>Medium</v>
      </c>
      <c r="V1199" t="str">
        <f>IF(mental_health[Daily_Screen_Time]&lt;=4,"Low",IF(mental_health[Daily_Screen_Time]&lt;=8,"Medium","High"))</f>
        <v>Medium</v>
      </c>
    </row>
    <row r="1200" spans="1:22" x14ac:dyDescent="0.3">
      <c r="A1200">
        <v>1199</v>
      </c>
      <c r="B1200">
        <v>22</v>
      </c>
      <c r="C1200" t="s">
        <v>23</v>
      </c>
      <c r="D1200" t="s">
        <v>24</v>
      </c>
      <c r="E1200">
        <v>2.4</v>
      </c>
      <c r="F1200">
        <v>2.7</v>
      </c>
      <c r="G1200">
        <v>1</v>
      </c>
      <c r="H1200" t="str">
        <f t="shared" si="18"/>
        <v>Night Usage</v>
      </c>
      <c r="I1200">
        <v>3</v>
      </c>
      <c r="J1200" s="3">
        <v>10</v>
      </c>
      <c r="K1200">
        <v>2.6</v>
      </c>
      <c r="L1200" t="s">
        <v>20</v>
      </c>
      <c r="M1200">
        <v>6</v>
      </c>
      <c r="N1200">
        <v>1</v>
      </c>
      <c r="O1200">
        <v>0</v>
      </c>
      <c r="P1200">
        <v>0</v>
      </c>
      <c r="Q1200">
        <v>0</v>
      </c>
      <c r="R1200">
        <v>1</v>
      </c>
      <c r="S1200">
        <v>1</v>
      </c>
      <c r="T1200" t="str">
        <f>IF(mental_health[Sleep_Hours]&lt;5,"Low",IF(mental_health[Sleep_Hours]&lt;7,"Medium","Good"))</f>
        <v>Low</v>
      </c>
      <c r="U1200" t="str">
        <f>IF(mental_health[Stress_Level]&lt;=3,"Low",IF(mental_health[Stress_Level]&lt;=7,"Medium","High"))</f>
        <v>High</v>
      </c>
      <c r="V1200" t="str">
        <f>IF(mental_health[Daily_Screen_Time]&lt;=4,"Low",IF(mental_health[Daily_Screen_Time]&lt;=8,"Medium","High"))</f>
        <v>Low</v>
      </c>
    </row>
    <row r="1201" spans="1:22" x14ac:dyDescent="0.3">
      <c r="A1201">
        <v>1200</v>
      </c>
      <c r="B1201">
        <v>25</v>
      </c>
      <c r="C1201" t="s">
        <v>23</v>
      </c>
      <c r="D1201" t="s">
        <v>24</v>
      </c>
      <c r="E1201">
        <v>5.2</v>
      </c>
      <c r="F1201">
        <v>1.5</v>
      </c>
      <c r="G1201">
        <v>0</v>
      </c>
      <c r="H1201" t="str">
        <f t="shared" si="18"/>
        <v>No Night Usage</v>
      </c>
      <c r="I1201">
        <v>4.4000000000000004</v>
      </c>
      <c r="J1201" s="3">
        <v>6</v>
      </c>
      <c r="K1201">
        <v>3.6</v>
      </c>
      <c r="L1201" t="s">
        <v>20</v>
      </c>
      <c r="M1201">
        <v>2</v>
      </c>
      <c r="N1201">
        <v>1</v>
      </c>
      <c r="O1201">
        <v>1</v>
      </c>
      <c r="P1201">
        <v>1</v>
      </c>
      <c r="Q1201">
        <v>0</v>
      </c>
      <c r="R1201">
        <v>1</v>
      </c>
      <c r="S1201">
        <v>0</v>
      </c>
      <c r="T1201" t="str">
        <f>IF(mental_health[Sleep_Hours]&lt;5,"Low",IF(mental_health[Sleep_Hours]&lt;7,"Medium","Good"))</f>
        <v>Low</v>
      </c>
      <c r="U1201" t="str">
        <f>IF(mental_health[Stress_Level]&lt;=3,"Low",IF(mental_health[Stress_Level]&lt;=7,"Medium","High"))</f>
        <v>Medium</v>
      </c>
      <c r="V1201" t="str">
        <f>IF(mental_health[Daily_Screen_Time]&lt;=4,"Low",IF(mental_health[Daily_Screen_Time]&lt;=8,"Medium","High"))</f>
        <v>Medium</v>
      </c>
    </row>
    <row r="1202" spans="1:22" x14ac:dyDescent="0.3">
      <c r="A1202">
        <v>1201</v>
      </c>
      <c r="B1202">
        <v>22</v>
      </c>
      <c r="C1202" t="s">
        <v>23</v>
      </c>
      <c r="D1202" t="s">
        <v>19</v>
      </c>
      <c r="E1202">
        <v>7.6</v>
      </c>
      <c r="F1202">
        <v>3.5</v>
      </c>
      <c r="G1202">
        <v>1</v>
      </c>
      <c r="H1202" t="str">
        <f t="shared" si="18"/>
        <v>Night Usage</v>
      </c>
      <c r="I1202">
        <v>3.6</v>
      </c>
      <c r="J1202" s="3">
        <v>7</v>
      </c>
      <c r="K1202">
        <v>3.1</v>
      </c>
      <c r="L1202" t="s">
        <v>20</v>
      </c>
      <c r="M1202">
        <v>2</v>
      </c>
      <c r="N1202">
        <v>1</v>
      </c>
      <c r="O1202">
        <v>0</v>
      </c>
      <c r="P1202">
        <v>0</v>
      </c>
      <c r="Q1202">
        <v>1</v>
      </c>
      <c r="R1202">
        <v>1</v>
      </c>
      <c r="S1202">
        <v>0</v>
      </c>
      <c r="T1202" t="str">
        <f>IF(mental_health[Sleep_Hours]&lt;5,"Low",IF(mental_health[Sleep_Hours]&lt;7,"Medium","Good"))</f>
        <v>Low</v>
      </c>
      <c r="U1202" t="str">
        <f>IF(mental_health[Stress_Level]&lt;=3,"Low",IF(mental_health[Stress_Level]&lt;=7,"Medium","High"))</f>
        <v>Medium</v>
      </c>
      <c r="V1202" t="str">
        <f>IF(mental_health[Daily_Screen_Time]&lt;=4,"Low",IF(mental_health[Daily_Screen_Time]&lt;=8,"Medium","High"))</f>
        <v>Medium</v>
      </c>
    </row>
    <row r="1203" spans="1:22" x14ac:dyDescent="0.3">
      <c r="A1203">
        <v>1202</v>
      </c>
      <c r="B1203">
        <v>48</v>
      </c>
      <c r="C1203" t="s">
        <v>18</v>
      </c>
      <c r="D1203" t="s">
        <v>19</v>
      </c>
      <c r="E1203">
        <v>10.6</v>
      </c>
      <c r="F1203">
        <v>6.2</v>
      </c>
      <c r="G1203">
        <v>0</v>
      </c>
      <c r="H1203" t="str">
        <f t="shared" si="18"/>
        <v>No Night Usage</v>
      </c>
      <c r="I1203">
        <v>4.5999999999999996</v>
      </c>
      <c r="J1203" s="3">
        <v>9</v>
      </c>
      <c r="K1203">
        <v>8.8000000000000007</v>
      </c>
      <c r="L1203" t="s">
        <v>21</v>
      </c>
      <c r="M1203">
        <v>2</v>
      </c>
      <c r="N1203">
        <v>3</v>
      </c>
      <c r="O1203">
        <v>0</v>
      </c>
      <c r="P1203">
        <v>1</v>
      </c>
      <c r="Q1203">
        <v>1</v>
      </c>
      <c r="R1203">
        <v>1</v>
      </c>
      <c r="S1203">
        <v>1</v>
      </c>
      <c r="T1203" t="str">
        <f>IF(mental_health[Sleep_Hours]&lt;5,"Low",IF(mental_health[Sleep_Hours]&lt;7,"Medium","Good"))</f>
        <v>Low</v>
      </c>
      <c r="U1203" t="str">
        <f>IF(mental_health[Stress_Level]&lt;=3,"Low",IF(mental_health[Stress_Level]&lt;=7,"Medium","High"))</f>
        <v>High</v>
      </c>
      <c r="V1203" t="str">
        <f>IF(mental_health[Daily_Screen_Time]&lt;=4,"Low",IF(mental_health[Daily_Screen_Time]&lt;=8,"Medium","High"))</f>
        <v>High</v>
      </c>
    </row>
    <row r="1204" spans="1:22" x14ac:dyDescent="0.3">
      <c r="A1204">
        <v>1203</v>
      </c>
      <c r="B1204">
        <v>38</v>
      </c>
      <c r="C1204" t="s">
        <v>18</v>
      </c>
      <c r="D1204" t="s">
        <v>24</v>
      </c>
      <c r="E1204">
        <v>8.6999999999999993</v>
      </c>
      <c r="F1204">
        <v>4.9000000000000004</v>
      </c>
      <c r="G1204">
        <v>0</v>
      </c>
      <c r="H1204" t="str">
        <f t="shared" si="18"/>
        <v>No Night Usage</v>
      </c>
      <c r="I1204">
        <v>4.0999999999999996</v>
      </c>
      <c r="J1204" s="3">
        <v>1</v>
      </c>
      <c r="K1204">
        <v>8.1</v>
      </c>
      <c r="L1204" t="s">
        <v>20</v>
      </c>
      <c r="M1204">
        <v>8</v>
      </c>
      <c r="N1204">
        <v>0</v>
      </c>
      <c r="O1204">
        <v>1</v>
      </c>
      <c r="P1204">
        <v>1</v>
      </c>
      <c r="Q1204">
        <v>0</v>
      </c>
      <c r="R1204">
        <v>0</v>
      </c>
      <c r="S1204">
        <v>0</v>
      </c>
      <c r="T1204" t="str">
        <f>IF(mental_health[Sleep_Hours]&lt;5,"Low",IF(mental_health[Sleep_Hours]&lt;7,"Medium","Good"))</f>
        <v>Low</v>
      </c>
      <c r="U1204" t="str">
        <f>IF(mental_health[Stress_Level]&lt;=3,"Low",IF(mental_health[Stress_Level]&lt;=7,"Medium","High"))</f>
        <v>Low</v>
      </c>
      <c r="V1204" t="str">
        <f>IF(mental_health[Daily_Screen_Time]&lt;=4,"Low",IF(mental_health[Daily_Screen_Time]&lt;=8,"Medium","High"))</f>
        <v>High</v>
      </c>
    </row>
    <row r="1205" spans="1:22" x14ac:dyDescent="0.3">
      <c r="A1205">
        <v>1204</v>
      </c>
      <c r="B1205">
        <v>36</v>
      </c>
      <c r="C1205" t="s">
        <v>23</v>
      </c>
      <c r="D1205" t="s">
        <v>22</v>
      </c>
      <c r="E1205">
        <v>6.4</v>
      </c>
      <c r="F1205">
        <v>6.7</v>
      </c>
      <c r="G1205">
        <v>1</v>
      </c>
      <c r="H1205" t="str">
        <f t="shared" si="18"/>
        <v>Night Usage</v>
      </c>
      <c r="I1205">
        <v>3.2</v>
      </c>
      <c r="J1205" s="3">
        <v>4</v>
      </c>
      <c r="K1205">
        <v>5.6</v>
      </c>
      <c r="L1205" t="s">
        <v>21</v>
      </c>
      <c r="M1205">
        <v>7</v>
      </c>
      <c r="N1205">
        <v>4</v>
      </c>
      <c r="O1205">
        <v>0</v>
      </c>
      <c r="P1205">
        <v>0</v>
      </c>
      <c r="Q1205">
        <v>0</v>
      </c>
      <c r="R1205">
        <v>0</v>
      </c>
      <c r="S1205">
        <v>0</v>
      </c>
      <c r="T1205" t="str">
        <f>IF(mental_health[Sleep_Hours]&lt;5,"Low",IF(mental_health[Sleep_Hours]&lt;7,"Medium","Good"))</f>
        <v>Low</v>
      </c>
      <c r="U1205" t="str">
        <f>IF(mental_health[Stress_Level]&lt;=3,"Low",IF(mental_health[Stress_Level]&lt;=7,"Medium","High"))</f>
        <v>Medium</v>
      </c>
      <c r="V1205" t="str">
        <f>IF(mental_health[Daily_Screen_Time]&lt;=4,"Low",IF(mental_health[Daily_Screen_Time]&lt;=8,"Medium","High"))</f>
        <v>Medium</v>
      </c>
    </row>
    <row r="1206" spans="1:22" x14ac:dyDescent="0.3">
      <c r="A1206">
        <v>1205</v>
      </c>
      <c r="B1206">
        <v>34</v>
      </c>
      <c r="C1206" t="s">
        <v>18</v>
      </c>
      <c r="D1206" t="s">
        <v>19</v>
      </c>
      <c r="E1206">
        <v>11.5</v>
      </c>
      <c r="F1206">
        <v>7.7</v>
      </c>
      <c r="G1206">
        <v>0</v>
      </c>
      <c r="H1206" t="str">
        <f t="shared" si="18"/>
        <v>No Night Usage</v>
      </c>
      <c r="I1206">
        <v>8.5</v>
      </c>
      <c r="J1206" s="3">
        <v>9</v>
      </c>
      <c r="K1206">
        <v>2.6</v>
      </c>
      <c r="L1206" t="s">
        <v>21</v>
      </c>
      <c r="M1206">
        <v>1</v>
      </c>
      <c r="N1206">
        <v>2</v>
      </c>
      <c r="O1206">
        <v>1</v>
      </c>
      <c r="P1206">
        <v>1</v>
      </c>
      <c r="Q1206">
        <v>0</v>
      </c>
      <c r="R1206">
        <v>1</v>
      </c>
      <c r="S1206">
        <v>0</v>
      </c>
      <c r="T1206" t="str">
        <f>IF(mental_health[Sleep_Hours]&lt;5,"Low",IF(mental_health[Sleep_Hours]&lt;7,"Medium","Good"))</f>
        <v>Good</v>
      </c>
      <c r="U1206" t="str">
        <f>IF(mental_health[Stress_Level]&lt;=3,"Low",IF(mental_health[Stress_Level]&lt;=7,"Medium","High"))</f>
        <v>High</v>
      </c>
      <c r="V1206" t="str">
        <f>IF(mental_health[Daily_Screen_Time]&lt;=4,"Low",IF(mental_health[Daily_Screen_Time]&lt;=8,"Medium","High"))</f>
        <v>High</v>
      </c>
    </row>
    <row r="1207" spans="1:22" x14ac:dyDescent="0.3">
      <c r="A1207">
        <v>1206</v>
      </c>
      <c r="B1207">
        <v>34</v>
      </c>
      <c r="C1207" t="s">
        <v>23</v>
      </c>
      <c r="D1207" t="s">
        <v>22</v>
      </c>
      <c r="E1207">
        <v>9.1999999999999993</v>
      </c>
      <c r="F1207">
        <v>6.5</v>
      </c>
      <c r="G1207">
        <v>1</v>
      </c>
      <c r="H1207" t="str">
        <f t="shared" si="18"/>
        <v>Night Usage</v>
      </c>
      <c r="I1207">
        <v>3</v>
      </c>
      <c r="J1207" s="3">
        <v>5</v>
      </c>
      <c r="K1207">
        <v>8.4</v>
      </c>
      <c r="L1207" t="s">
        <v>20</v>
      </c>
      <c r="M1207">
        <v>4</v>
      </c>
      <c r="N1207">
        <v>1</v>
      </c>
      <c r="O1207">
        <v>1</v>
      </c>
      <c r="P1207">
        <v>0</v>
      </c>
      <c r="Q1207">
        <v>1</v>
      </c>
      <c r="R1207">
        <v>0</v>
      </c>
      <c r="S1207">
        <v>0</v>
      </c>
      <c r="T1207" t="str">
        <f>IF(mental_health[Sleep_Hours]&lt;5,"Low",IF(mental_health[Sleep_Hours]&lt;7,"Medium","Good"))</f>
        <v>Low</v>
      </c>
      <c r="U1207" t="str">
        <f>IF(mental_health[Stress_Level]&lt;=3,"Low",IF(mental_health[Stress_Level]&lt;=7,"Medium","High"))</f>
        <v>Medium</v>
      </c>
      <c r="V1207" t="str">
        <f>IF(mental_health[Daily_Screen_Time]&lt;=4,"Low",IF(mental_health[Daily_Screen_Time]&lt;=8,"Medium","High"))</f>
        <v>High</v>
      </c>
    </row>
    <row r="1208" spans="1:22" x14ac:dyDescent="0.3">
      <c r="A1208">
        <v>1207</v>
      </c>
      <c r="B1208">
        <v>51</v>
      </c>
      <c r="C1208" t="s">
        <v>23</v>
      </c>
      <c r="D1208" t="s">
        <v>19</v>
      </c>
      <c r="E1208">
        <v>11.3</v>
      </c>
      <c r="F1208">
        <v>5.2</v>
      </c>
      <c r="G1208">
        <v>1</v>
      </c>
      <c r="H1208" t="str">
        <f t="shared" si="18"/>
        <v>Night Usage</v>
      </c>
      <c r="I1208">
        <v>7.4</v>
      </c>
      <c r="J1208" s="3">
        <v>8</v>
      </c>
      <c r="K1208">
        <v>7.7</v>
      </c>
      <c r="L1208" t="s">
        <v>20</v>
      </c>
      <c r="M1208">
        <v>4</v>
      </c>
      <c r="N1208">
        <v>0</v>
      </c>
      <c r="O1208">
        <v>1</v>
      </c>
      <c r="P1208">
        <v>0</v>
      </c>
      <c r="Q1208">
        <v>1</v>
      </c>
      <c r="R1208">
        <v>1</v>
      </c>
      <c r="S1208">
        <v>1</v>
      </c>
      <c r="T1208" t="str">
        <f>IF(mental_health[Sleep_Hours]&lt;5,"Low",IF(mental_health[Sleep_Hours]&lt;7,"Medium","Good"))</f>
        <v>Good</v>
      </c>
      <c r="U1208" t="str">
        <f>IF(mental_health[Stress_Level]&lt;=3,"Low",IF(mental_health[Stress_Level]&lt;=7,"Medium","High"))</f>
        <v>High</v>
      </c>
      <c r="V1208" t="str">
        <f>IF(mental_health[Daily_Screen_Time]&lt;=4,"Low",IF(mental_health[Daily_Screen_Time]&lt;=8,"Medium","High"))</f>
        <v>High</v>
      </c>
    </row>
    <row r="1209" spans="1:22" x14ac:dyDescent="0.3">
      <c r="A1209">
        <v>1208</v>
      </c>
      <c r="B1209">
        <v>44</v>
      </c>
      <c r="C1209" t="s">
        <v>18</v>
      </c>
      <c r="D1209" t="s">
        <v>19</v>
      </c>
      <c r="E1209">
        <v>7.3</v>
      </c>
      <c r="F1209">
        <v>4.5</v>
      </c>
      <c r="G1209">
        <v>1</v>
      </c>
      <c r="H1209" t="str">
        <f t="shared" si="18"/>
        <v>Night Usage</v>
      </c>
      <c r="I1209">
        <v>3.9</v>
      </c>
      <c r="J1209" s="3">
        <v>1</v>
      </c>
      <c r="K1209">
        <v>3.1</v>
      </c>
      <c r="L1209" t="s">
        <v>20</v>
      </c>
      <c r="M1209">
        <v>7</v>
      </c>
      <c r="N1209">
        <v>2</v>
      </c>
      <c r="O1209">
        <v>0</v>
      </c>
      <c r="P1209">
        <v>1</v>
      </c>
      <c r="Q1209">
        <v>0</v>
      </c>
      <c r="R1209">
        <v>1</v>
      </c>
      <c r="S1209">
        <v>1</v>
      </c>
      <c r="T1209" t="str">
        <f>IF(mental_health[Sleep_Hours]&lt;5,"Low",IF(mental_health[Sleep_Hours]&lt;7,"Medium","Good"))</f>
        <v>Low</v>
      </c>
      <c r="U1209" t="str">
        <f>IF(mental_health[Stress_Level]&lt;=3,"Low",IF(mental_health[Stress_Level]&lt;=7,"Medium","High"))</f>
        <v>Low</v>
      </c>
      <c r="V1209" t="str">
        <f>IF(mental_health[Daily_Screen_Time]&lt;=4,"Low",IF(mental_health[Daily_Screen_Time]&lt;=8,"Medium","High"))</f>
        <v>Medium</v>
      </c>
    </row>
    <row r="1210" spans="1:22" x14ac:dyDescent="0.3">
      <c r="A1210">
        <v>1209</v>
      </c>
      <c r="B1210">
        <v>33</v>
      </c>
      <c r="C1210" t="s">
        <v>23</v>
      </c>
      <c r="D1210" t="s">
        <v>19</v>
      </c>
      <c r="E1210">
        <v>4.5999999999999996</v>
      </c>
      <c r="F1210">
        <v>1.3</v>
      </c>
      <c r="G1210">
        <v>1</v>
      </c>
      <c r="H1210" t="str">
        <f t="shared" si="18"/>
        <v>Night Usage</v>
      </c>
      <c r="I1210">
        <v>8.5</v>
      </c>
      <c r="J1210" s="3">
        <v>4</v>
      </c>
      <c r="K1210">
        <v>11.1</v>
      </c>
      <c r="L1210" t="s">
        <v>21</v>
      </c>
      <c r="M1210">
        <v>2</v>
      </c>
      <c r="N1210">
        <v>3</v>
      </c>
      <c r="O1210">
        <v>0</v>
      </c>
      <c r="P1210">
        <v>0</v>
      </c>
      <c r="Q1210">
        <v>0</v>
      </c>
      <c r="R1210">
        <v>1</v>
      </c>
      <c r="S1210">
        <v>0</v>
      </c>
      <c r="T1210" t="str">
        <f>IF(mental_health[Sleep_Hours]&lt;5,"Low",IF(mental_health[Sleep_Hours]&lt;7,"Medium","Good"))</f>
        <v>Good</v>
      </c>
      <c r="U1210" t="str">
        <f>IF(mental_health[Stress_Level]&lt;=3,"Low",IF(mental_health[Stress_Level]&lt;=7,"Medium","High"))</f>
        <v>Medium</v>
      </c>
      <c r="V1210" t="str">
        <f>IF(mental_health[Daily_Screen_Time]&lt;=4,"Low",IF(mental_health[Daily_Screen_Time]&lt;=8,"Medium","High"))</f>
        <v>Medium</v>
      </c>
    </row>
    <row r="1211" spans="1:22" x14ac:dyDescent="0.3">
      <c r="A1211">
        <v>1210</v>
      </c>
      <c r="B1211">
        <v>17</v>
      </c>
      <c r="C1211" t="s">
        <v>23</v>
      </c>
      <c r="D1211" t="s">
        <v>19</v>
      </c>
      <c r="E1211">
        <v>2.5</v>
      </c>
      <c r="F1211">
        <v>7.9</v>
      </c>
      <c r="G1211">
        <v>1</v>
      </c>
      <c r="H1211" t="str">
        <f t="shared" si="18"/>
        <v>Night Usage</v>
      </c>
      <c r="I1211">
        <v>8.4</v>
      </c>
      <c r="J1211" s="3">
        <v>9</v>
      </c>
      <c r="K1211">
        <v>4</v>
      </c>
      <c r="L1211" t="s">
        <v>21</v>
      </c>
      <c r="M1211">
        <v>4</v>
      </c>
      <c r="N1211">
        <v>4</v>
      </c>
      <c r="O1211">
        <v>1</v>
      </c>
      <c r="P1211">
        <v>1</v>
      </c>
      <c r="Q1211">
        <v>1</v>
      </c>
      <c r="R1211">
        <v>0</v>
      </c>
      <c r="S1211">
        <v>0</v>
      </c>
      <c r="T1211" t="str">
        <f>IF(mental_health[Sleep_Hours]&lt;5,"Low",IF(mental_health[Sleep_Hours]&lt;7,"Medium","Good"))</f>
        <v>Good</v>
      </c>
      <c r="U1211" t="str">
        <f>IF(mental_health[Stress_Level]&lt;=3,"Low",IF(mental_health[Stress_Level]&lt;=7,"Medium","High"))</f>
        <v>High</v>
      </c>
      <c r="V1211" t="str">
        <f>IF(mental_health[Daily_Screen_Time]&lt;=4,"Low",IF(mental_health[Daily_Screen_Time]&lt;=8,"Medium","High"))</f>
        <v>Low</v>
      </c>
    </row>
    <row r="1212" spans="1:22" x14ac:dyDescent="0.3">
      <c r="A1212">
        <v>1211</v>
      </c>
      <c r="B1212">
        <v>16</v>
      </c>
      <c r="C1212" t="s">
        <v>18</v>
      </c>
      <c r="D1212" t="s">
        <v>22</v>
      </c>
      <c r="E1212">
        <v>9.3000000000000007</v>
      </c>
      <c r="F1212">
        <v>3.7</v>
      </c>
      <c r="G1212">
        <v>0</v>
      </c>
      <c r="H1212" t="str">
        <f t="shared" si="18"/>
        <v>No Night Usage</v>
      </c>
      <c r="I1212">
        <v>6.9</v>
      </c>
      <c r="J1212" s="3">
        <v>1</v>
      </c>
      <c r="K1212">
        <v>9.4</v>
      </c>
      <c r="L1212" t="s">
        <v>20</v>
      </c>
      <c r="M1212">
        <v>1</v>
      </c>
      <c r="N1212">
        <v>2</v>
      </c>
      <c r="O1212">
        <v>1</v>
      </c>
      <c r="P1212">
        <v>1</v>
      </c>
      <c r="Q1212">
        <v>1</v>
      </c>
      <c r="R1212">
        <v>0</v>
      </c>
      <c r="S1212">
        <v>1</v>
      </c>
      <c r="T1212" t="str">
        <f>IF(mental_health[Sleep_Hours]&lt;5,"Low",IF(mental_health[Sleep_Hours]&lt;7,"Medium","Good"))</f>
        <v>Medium</v>
      </c>
      <c r="U1212" t="str">
        <f>IF(mental_health[Stress_Level]&lt;=3,"Low",IF(mental_health[Stress_Level]&lt;=7,"Medium","High"))</f>
        <v>Low</v>
      </c>
      <c r="V1212" t="str">
        <f>IF(mental_health[Daily_Screen_Time]&lt;=4,"Low",IF(mental_health[Daily_Screen_Time]&lt;=8,"Medium","High"))</f>
        <v>High</v>
      </c>
    </row>
    <row r="1213" spans="1:22" x14ac:dyDescent="0.3">
      <c r="A1213">
        <v>1212</v>
      </c>
      <c r="B1213">
        <v>20</v>
      </c>
      <c r="C1213" t="s">
        <v>23</v>
      </c>
      <c r="D1213" t="s">
        <v>19</v>
      </c>
      <c r="E1213">
        <v>3.2</v>
      </c>
      <c r="F1213">
        <v>2.1</v>
      </c>
      <c r="G1213">
        <v>1</v>
      </c>
      <c r="H1213" t="str">
        <f t="shared" si="18"/>
        <v>Night Usage</v>
      </c>
      <c r="I1213">
        <v>7</v>
      </c>
      <c r="J1213" s="3">
        <v>1</v>
      </c>
      <c r="K1213">
        <v>10.9</v>
      </c>
      <c r="L1213" t="s">
        <v>20</v>
      </c>
      <c r="M1213">
        <v>4</v>
      </c>
      <c r="N1213">
        <v>4</v>
      </c>
      <c r="O1213">
        <v>0</v>
      </c>
      <c r="P1213">
        <v>1</v>
      </c>
      <c r="Q1213">
        <v>0</v>
      </c>
      <c r="R1213">
        <v>0</v>
      </c>
      <c r="S1213">
        <v>0</v>
      </c>
      <c r="T1213" t="str">
        <f>IF(mental_health[Sleep_Hours]&lt;5,"Low",IF(mental_health[Sleep_Hours]&lt;7,"Medium","Good"))</f>
        <v>Good</v>
      </c>
      <c r="U1213" t="str">
        <f>IF(mental_health[Stress_Level]&lt;=3,"Low",IF(mental_health[Stress_Level]&lt;=7,"Medium","High"))</f>
        <v>Low</v>
      </c>
      <c r="V1213" t="str">
        <f>IF(mental_health[Daily_Screen_Time]&lt;=4,"Low",IF(mental_health[Daily_Screen_Time]&lt;=8,"Medium","High"))</f>
        <v>Low</v>
      </c>
    </row>
    <row r="1214" spans="1:22" x14ac:dyDescent="0.3">
      <c r="A1214">
        <v>1213</v>
      </c>
      <c r="B1214">
        <v>35</v>
      </c>
      <c r="C1214" t="s">
        <v>23</v>
      </c>
      <c r="D1214" t="s">
        <v>24</v>
      </c>
      <c r="E1214">
        <v>5</v>
      </c>
      <c r="F1214">
        <v>5.7</v>
      </c>
      <c r="G1214">
        <v>0</v>
      </c>
      <c r="H1214" t="str">
        <f t="shared" si="18"/>
        <v>No Night Usage</v>
      </c>
      <c r="I1214">
        <v>3</v>
      </c>
      <c r="J1214" s="3">
        <v>4</v>
      </c>
      <c r="K1214">
        <v>7.8</v>
      </c>
      <c r="L1214" t="s">
        <v>25</v>
      </c>
      <c r="M1214">
        <v>1</v>
      </c>
      <c r="N1214">
        <v>2</v>
      </c>
      <c r="O1214">
        <v>1</v>
      </c>
      <c r="P1214">
        <v>1</v>
      </c>
      <c r="Q1214">
        <v>0</v>
      </c>
      <c r="R1214">
        <v>1</v>
      </c>
      <c r="S1214">
        <v>0</v>
      </c>
      <c r="T1214" t="str">
        <f>IF(mental_health[Sleep_Hours]&lt;5,"Low",IF(mental_health[Sleep_Hours]&lt;7,"Medium","Good"))</f>
        <v>Low</v>
      </c>
      <c r="U1214" t="str">
        <f>IF(mental_health[Stress_Level]&lt;=3,"Low",IF(mental_health[Stress_Level]&lt;=7,"Medium","High"))</f>
        <v>Medium</v>
      </c>
      <c r="V1214" t="str">
        <f>IF(mental_health[Daily_Screen_Time]&lt;=4,"Low",IF(mental_health[Daily_Screen_Time]&lt;=8,"Medium","High"))</f>
        <v>Medium</v>
      </c>
    </row>
    <row r="1215" spans="1:22" x14ac:dyDescent="0.3">
      <c r="A1215">
        <v>1214</v>
      </c>
      <c r="B1215">
        <v>26</v>
      </c>
      <c r="C1215" t="s">
        <v>18</v>
      </c>
      <c r="D1215" t="s">
        <v>24</v>
      </c>
      <c r="E1215">
        <v>7.3</v>
      </c>
      <c r="F1215">
        <v>3</v>
      </c>
      <c r="G1215">
        <v>1</v>
      </c>
      <c r="H1215" t="str">
        <f t="shared" si="18"/>
        <v>Night Usage</v>
      </c>
      <c r="I1215">
        <v>8.9</v>
      </c>
      <c r="J1215" s="3">
        <v>3</v>
      </c>
      <c r="K1215">
        <v>4.5</v>
      </c>
      <c r="L1215" t="s">
        <v>20</v>
      </c>
      <c r="M1215">
        <v>2</v>
      </c>
      <c r="N1215">
        <v>3</v>
      </c>
      <c r="O1215">
        <v>0</v>
      </c>
      <c r="P1215">
        <v>1</v>
      </c>
      <c r="Q1215">
        <v>0</v>
      </c>
      <c r="R1215">
        <v>1</v>
      </c>
      <c r="S1215">
        <v>0</v>
      </c>
      <c r="T1215" t="str">
        <f>IF(mental_health[Sleep_Hours]&lt;5,"Low",IF(mental_health[Sleep_Hours]&lt;7,"Medium","Good"))</f>
        <v>Good</v>
      </c>
      <c r="U1215" t="str">
        <f>IF(mental_health[Stress_Level]&lt;=3,"Low",IF(mental_health[Stress_Level]&lt;=7,"Medium","High"))</f>
        <v>Low</v>
      </c>
      <c r="V1215" t="str">
        <f>IF(mental_health[Daily_Screen_Time]&lt;=4,"Low",IF(mental_health[Daily_Screen_Time]&lt;=8,"Medium","High"))</f>
        <v>Medium</v>
      </c>
    </row>
    <row r="1216" spans="1:22" x14ac:dyDescent="0.3">
      <c r="A1216">
        <v>1215</v>
      </c>
      <c r="B1216">
        <v>57</v>
      </c>
      <c r="C1216" t="s">
        <v>23</v>
      </c>
      <c r="D1216" t="s">
        <v>22</v>
      </c>
      <c r="E1216">
        <v>7.6</v>
      </c>
      <c r="F1216">
        <v>5.0999999999999996</v>
      </c>
      <c r="G1216">
        <v>1</v>
      </c>
      <c r="H1216" t="str">
        <f t="shared" si="18"/>
        <v>Night Usage</v>
      </c>
      <c r="I1216">
        <v>8.3000000000000007</v>
      </c>
      <c r="J1216" s="3">
        <v>7</v>
      </c>
      <c r="K1216">
        <v>5.0999999999999996</v>
      </c>
      <c r="L1216" t="s">
        <v>25</v>
      </c>
      <c r="M1216">
        <v>2</v>
      </c>
      <c r="N1216">
        <v>0</v>
      </c>
      <c r="O1216">
        <v>0</v>
      </c>
      <c r="P1216">
        <v>1</v>
      </c>
      <c r="Q1216">
        <v>1</v>
      </c>
      <c r="R1216">
        <v>0</v>
      </c>
      <c r="S1216">
        <v>1</v>
      </c>
      <c r="T1216" t="str">
        <f>IF(mental_health[Sleep_Hours]&lt;5,"Low",IF(mental_health[Sleep_Hours]&lt;7,"Medium","Good"))</f>
        <v>Good</v>
      </c>
      <c r="U1216" t="str">
        <f>IF(mental_health[Stress_Level]&lt;=3,"Low",IF(mental_health[Stress_Level]&lt;=7,"Medium","High"))</f>
        <v>Medium</v>
      </c>
      <c r="V1216" t="str">
        <f>IF(mental_health[Daily_Screen_Time]&lt;=4,"Low",IF(mental_health[Daily_Screen_Time]&lt;=8,"Medium","High"))</f>
        <v>Medium</v>
      </c>
    </row>
    <row r="1217" spans="1:22" x14ac:dyDescent="0.3">
      <c r="A1217">
        <v>1216</v>
      </c>
      <c r="B1217">
        <v>17</v>
      </c>
      <c r="C1217" t="s">
        <v>18</v>
      </c>
      <c r="D1217" t="s">
        <v>19</v>
      </c>
      <c r="E1217">
        <v>8</v>
      </c>
      <c r="F1217">
        <v>5.0999999999999996</v>
      </c>
      <c r="G1217">
        <v>1</v>
      </c>
      <c r="H1217" t="str">
        <f t="shared" si="18"/>
        <v>Night Usage</v>
      </c>
      <c r="I1217">
        <v>8.4</v>
      </c>
      <c r="J1217" s="3">
        <v>3</v>
      </c>
      <c r="K1217">
        <v>10.9</v>
      </c>
      <c r="L1217" t="s">
        <v>25</v>
      </c>
      <c r="M1217">
        <v>10</v>
      </c>
      <c r="N1217">
        <v>4</v>
      </c>
      <c r="O1217">
        <v>1</v>
      </c>
      <c r="P1217">
        <v>1</v>
      </c>
      <c r="Q1217">
        <v>1</v>
      </c>
      <c r="R1217">
        <v>1</v>
      </c>
      <c r="S1217">
        <v>1</v>
      </c>
      <c r="T1217" t="str">
        <f>IF(mental_health[Sleep_Hours]&lt;5,"Low",IF(mental_health[Sleep_Hours]&lt;7,"Medium","Good"))</f>
        <v>Good</v>
      </c>
      <c r="U1217" t="str">
        <f>IF(mental_health[Stress_Level]&lt;=3,"Low",IF(mental_health[Stress_Level]&lt;=7,"Medium","High"))</f>
        <v>Low</v>
      </c>
      <c r="V1217" t="str">
        <f>IF(mental_health[Daily_Screen_Time]&lt;=4,"Low",IF(mental_health[Daily_Screen_Time]&lt;=8,"Medium","High"))</f>
        <v>Medium</v>
      </c>
    </row>
    <row r="1218" spans="1:22" x14ac:dyDescent="0.3">
      <c r="A1218">
        <v>1217</v>
      </c>
      <c r="B1218">
        <v>18</v>
      </c>
      <c r="C1218" t="s">
        <v>23</v>
      </c>
      <c r="D1218" t="s">
        <v>24</v>
      </c>
      <c r="E1218">
        <v>3.7</v>
      </c>
      <c r="F1218">
        <v>4.0999999999999996</v>
      </c>
      <c r="G1218">
        <v>0</v>
      </c>
      <c r="H1218" t="str">
        <f t="shared" ref="H1218:H1281" si="19">IF(G1218=1,"Night Usage","No Night Usage")</f>
        <v>No Night Usage</v>
      </c>
      <c r="I1218">
        <v>7</v>
      </c>
      <c r="J1218" s="3">
        <v>1</v>
      </c>
      <c r="K1218">
        <v>5</v>
      </c>
      <c r="L1218" t="s">
        <v>21</v>
      </c>
      <c r="M1218">
        <v>3</v>
      </c>
      <c r="N1218">
        <v>4</v>
      </c>
      <c r="O1218">
        <v>1</v>
      </c>
      <c r="P1218">
        <v>0</v>
      </c>
      <c r="Q1218">
        <v>1</v>
      </c>
      <c r="R1218">
        <v>0</v>
      </c>
      <c r="S1218">
        <v>0</v>
      </c>
      <c r="T1218" t="str">
        <f>IF(mental_health[Sleep_Hours]&lt;5,"Low",IF(mental_health[Sleep_Hours]&lt;7,"Medium","Good"))</f>
        <v>Good</v>
      </c>
      <c r="U1218" t="str">
        <f>IF(mental_health[Stress_Level]&lt;=3,"Low",IF(mental_health[Stress_Level]&lt;=7,"Medium","High"))</f>
        <v>Low</v>
      </c>
      <c r="V1218" t="str">
        <f>IF(mental_health[Daily_Screen_Time]&lt;=4,"Low",IF(mental_health[Daily_Screen_Time]&lt;=8,"Medium","High"))</f>
        <v>Low</v>
      </c>
    </row>
    <row r="1219" spans="1:22" x14ac:dyDescent="0.3">
      <c r="A1219">
        <v>1218</v>
      </c>
      <c r="B1219">
        <v>38</v>
      </c>
      <c r="C1219" t="s">
        <v>18</v>
      </c>
      <c r="D1219" t="s">
        <v>22</v>
      </c>
      <c r="E1219">
        <v>5.8</v>
      </c>
      <c r="F1219">
        <v>6.9</v>
      </c>
      <c r="G1219">
        <v>0</v>
      </c>
      <c r="H1219" t="str">
        <f t="shared" si="19"/>
        <v>No Night Usage</v>
      </c>
      <c r="I1219">
        <v>5.0999999999999996</v>
      </c>
      <c r="J1219" s="3">
        <v>10</v>
      </c>
      <c r="K1219">
        <v>9.5</v>
      </c>
      <c r="L1219" t="s">
        <v>21</v>
      </c>
      <c r="M1219">
        <v>8</v>
      </c>
      <c r="N1219">
        <v>0</v>
      </c>
      <c r="O1219">
        <v>1</v>
      </c>
      <c r="P1219">
        <v>1</v>
      </c>
      <c r="Q1219">
        <v>1</v>
      </c>
      <c r="R1219">
        <v>1</v>
      </c>
      <c r="S1219">
        <v>1</v>
      </c>
      <c r="T1219" t="str">
        <f>IF(mental_health[Sleep_Hours]&lt;5,"Low",IF(mental_health[Sleep_Hours]&lt;7,"Medium","Good"))</f>
        <v>Medium</v>
      </c>
      <c r="U1219" t="str">
        <f>IF(mental_health[Stress_Level]&lt;=3,"Low",IF(mental_health[Stress_Level]&lt;=7,"Medium","High"))</f>
        <v>High</v>
      </c>
      <c r="V1219" t="str">
        <f>IF(mental_health[Daily_Screen_Time]&lt;=4,"Low",IF(mental_health[Daily_Screen_Time]&lt;=8,"Medium","High"))</f>
        <v>Medium</v>
      </c>
    </row>
    <row r="1220" spans="1:22" x14ac:dyDescent="0.3">
      <c r="A1220">
        <v>1219</v>
      </c>
      <c r="B1220">
        <v>27</v>
      </c>
      <c r="C1220" t="s">
        <v>18</v>
      </c>
      <c r="D1220" t="s">
        <v>19</v>
      </c>
      <c r="E1220">
        <v>8.1999999999999993</v>
      </c>
      <c r="F1220">
        <v>2.9</v>
      </c>
      <c r="G1220">
        <v>0</v>
      </c>
      <c r="H1220" t="str">
        <f t="shared" si="19"/>
        <v>No Night Usage</v>
      </c>
      <c r="I1220">
        <v>8.4</v>
      </c>
      <c r="J1220" s="3">
        <v>2</v>
      </c>
      <c r="K1220">
        <v>11.9</v>
      </c>
      <c r="L1220" t="s">
        <v>25</v>
      </c>
      <c r="M1220">
        <v>6</v>
      </c>
      <c r="N1220">
        <v>4</v>
      </c>
      <c r="O1220">
        <v>0</v>
      </c>
      <c r="P1220">
        <v>0</v>
      </c>
      <c r="Q1220">
        <v>1</v>
      </c>
      <c r="R1220">
        <v>1</v>
      </c>
      <c r="S1220">
        <v>0</v>
      </c>
      <c r="T1220" t="str">
        <f>IF(mental_health[Sleep_Hours]&lt;5,"Low",IF(mental_health[Sleep_Hours]&lt;7,"Medium","Good"))</f>
        <v>Good</v>
      </c>
      <c r="U1220" t="str">
        <f>IF(mental_health[Stress_Level]&lt;=3,"Low",IF(mental_health[Stress_Level]&lt;=7,"Medium","High"))</f>
        <v>Low</v>
      </c>
      <c r="V1220" t="str">
        <f>IF(mental_health[Daily_Screen_Time]&lt;=4,"Low",IF(mental_health[Daily_Screen_Time]&lt;=8,"Medium","High"))</f>
        <v>High</v>
      </c>
    </row>
    <row r="1221" spans="1:22" x14ac:dyDescent="0.3">
      <c r="A1221">
        <v>1220</v>
      </c>
      <c r="B1221">
        <v>35</v>
      </c>
      <c r="C1221" t="s">
        <v>18</v>
      </c>
      <c r="D1221" t="s">
        <v>24</v>
      </c>
      <c r="E1221">
        <v>11.7</v>
      </c>
      <c r="F1221">
        <v>4.0999999999999996</v>
      </c>
      <c r="G1221">
        <v>0</v>
      </c>
      <c r="H1221" t="str">
        <f t="shared" si="19"/>
        <v>No Night Usage</v>
      </c>
      <c r="I1221">
        <v>4.7</v>
      </c>
      <c r="J1221" s="3">
        <v>10</v>
      </c>
      <c r="K1221">
        <v>12</v>
      </c>
      <c r="L1221" t="s">
        <v>25</v>
      </c>
      <c r="M1221">
        <v>6</v>
      </c>
      <c r="N1221">
        <v>1</v>
      </c>
      <c r="O1221">
        <v>0</v>
      </c>
      <c r="P1221">
        <v>1</v>
      </c>
      <c r="Q1221">
        <v>1</v>
      </c>
      <c r="R1221">
        <v>1</v>
      </c>
      <c r="S1221">
        <v>1</v>
      </c>
      <c r="T1221" t="str">
        <f>IF(mental_health[Sleep_Hours]&lt;5,"Low",IF(mental_health[Sleep_Hours]&lt;7,"Medium","Good"))</f>
        <v>Low</v>
      </c>
      <c r="U1221" t="str">
        <f>IF(mental_health[Stress_Level]&lt;=3,"Low",IF(mental_health[Stress_Level]&lt;=7,"Medium","High"))</f>
        <v>High</v>
      </c>
      <c r="V1221" t="str">
        <f>IF(mental_health[Daily_Screen_Time]&lt;=4,"Low",IF(mental_health[Daily_Screen_Time]&lt;=8,"Medium","High"))</f>
        <v>High</v>
      </c>
    </row>
    <row r="1222" spans="1:22" x14ac:dyDescent="0.3">
      <c r="A1222">
        <v>1221</v>
      </c>
      <c r="B1222">
        <v>20</v>
      </c>
      <c r="C1222" t="s">
        <v>23</v>
      </c>
      <c r="D1222" t="s">
        <v>24</v>
      </c>
      <c r="E1222">
        <v>9.3000000000000007</v>
      </c>
      <c r="F1222">
        <v>4.8</v>
      </c>
      <c r="G1222">
        <v>1</v>
      </c>
      <c r="H1222" t="str">
        <f t="shared" si="19"/>
        <v>Night Usage</v>
      </c>
      <c r="I1222">
        <v>6.4</v>
      </c>
      <c r="J1222" s="3">
        <v>4</v>
      </c>
      <c r="K1222">
        <v>7.3</v>
      </c>
      <c r="L1222" t="s">
        <v>20</v>
      </c>
      <c r="M1222">
        <v>9</v>
      </c>
      <c r="N1222">
        <v>0</v>
      </c>
      <c r="O1222">
        <v>0</v>
      </c>
      <c r="P1222">
        <v>1</v>
      </c>
      <c r="Q1222">
        <v>0</v>
      </c>
      <c r="R1222">
        <v>0</v>
      </c>
      <c r="S1222">
        <v>0</v>
      </c>
      <c r="T1222" t="str">
        <f>IF(mental_health[Sleep_Hours]&lt;5,"Low",IF(mental_health[Sleep_Hours]&lt;7,"Medium","Good"))</f>
        <v>Medium</v>
      </c>
      <c r="U1222" t="str">
        <f>IF(mental_health[Stress_Level]&lt;=3,"Low",IF(mental_health[Stress_Level]&lt;=7,"Medium","High"))</f>
        <v>Medium</v>
      </c>
      <c r="V1222" t="str">
        <f>IF(mental_health[Daily_Screen_Time]&lt;=4,"Low",IF(mental_health[Daily_Screen_Time]&lt;=8,"Medium","High"))</f>
        <v>High</v>
      </c>
    </row>
    <row r="1223" spans="1:22" x14ac:dyDescent="0.3">
      <c r="A1223">
        <v>1222</v>
      </c>
      <c r="B1223">
        <v>52</v>
      </c>
      <c r="C1223" t="s">
        <v>18</v>
      </c>
      <c r="D1223" t="s">
        <v>22</v>
      </c>
      <c r="E1223">
        <v>11.2</v>
      </c>
      <c r="F1223">
        <v>5.6</v>
      </c>
      <c r="G1223">
        <v>1</v>
      </c>
      <c r="H1223" t="str">
        <f t="shared" si="19"/>
        <v>Night Usage</v>
      </c>
      <c r="I1223">
        <v>3.6</v>
      </c>
      <c r="J1223" s="3">
        <v>1</v>
      </c>
      <c r="K1223">
        <v>10.3</v>
      </c>
      <c r="L1223" t="s">
        <v>25</v>
      </c>
      <c r="M1223">
        <v>8</v>
      </c>
      <c r="N1223">
        <v>3</v>
      </c>
      <c r="O1223">
        <v>0</v>
      </c>
      <c r="P1223">
        <v>0</v>
      </c>
      <c r="Q1223">
        <v>0</v>
      </c>
      <c r="R1223">
        <v>1</v>
      </c>
      <c r="S1223">
        <v>0</v>
      </c>
      <c r="T1223" t="str">
        <f>IF(mental_health[Sleep_Hours]&lt;5,"Low",IF(mental_health[Sleep_Hours]&lt;7,"Medium","Good"))</f>
        <v>Low</v>
      </c>
      <c r="U1223" t="str">
        <f>IF(mental_health[Stress_Level]&lt;=3,"Low",IF(mental_health[Stress_Level]&lt;=7,"Medium","High"))</f>
        <v>Low</v>
      </c>
      <c r="V1223" t="str">
        <f>IF(mental_health[Daily_Screen_Time]&lt;=4,"Low",IF(mental_health[Daily_Screen_Time]&lt;=8,"Medium","High"))</f>
        <v>High</v>
      </c>
    </row>
    <row r="1224" spans="1:22" x14ac:dyDescent="0.3">
      <c r="A1224">
        <v>1223</v>
      </c>
      <c r="B1224">
        <v>53</v>
      </c>
      <c r="C1224" t="s">
        <v>18</v>
      </c>
      <c r="D1224" t="s">
        <v>19</v>
      </c>
      <c r="E1224">
        <v>9.6</v>
      </c>
      <c r="F1224">
        <v>6.5</v>
      </c>
      <c r="G1224">
        <v>0</v>
      </c>
      <c r="H1224" t="str">
        <f t="shared" si="19"/>
        <v>No Night Usage</v>
      </c>
      <c r="I1224">
        <v>8.5</v>
      </c>
      <c r="J1224" s="3">
        <v>1</v>
      </c>
      <c r="K1224">
        <v>11.9</v>
      </c>
      <c r="L1224" t="s">
        <v>20</v>
      </c>
      <c r="M1224">
        <v>2</v>
      </c>
      <c r="N1224">
        <v>2</v>
      </c>
      <c r="O1224">
        <v>1</v>
      </c>
      <c r="P1224">
        <v>0</v>
      </c>
      <c r="Q1224">
        <v>1</v>
      </c>
      <c r="R1224">
        <v>0</v>
      </c>
      <c r="S1224">
        <v>0</v>
      </c>
      <c r="T1224" t="str">
        <f>IF(mental_health[Sleep_Hours]&lt;5,"Low",IF(mental_health[Sleep_Hours]&lt;7,"Medium","Good"))</f>
        <v>Good</v>
      </c>
      <c r="U1224" t="str">
        <f>IF(mental_health[Stress_Level]&lt;=3,"Low",IF(mental_health[Stress_Level]&lt;=7,"Medium","High"))</f>
        <v>Low</v>
      </c>
      <c r="V1224" t="str">
        <f>IF(mental_health[Daily_Screen_Time]&lt;=4,"Low",IF(mental_health[Daily_Screen_Time]&lt;=8,"Medium","High"))</f>
        <v>High</v>
      </c>
    </row>
    <row r="1225" spans="1:22" x14ac:dyDescent="0.3">
      <c r="A1225">
        <v>1224</v>
      </c>
      <c r="B1225">
        <v>45</v>
      </c>
      <c r="C1225" t="s">
        <v>18</v>
      </c>
      <c r="D1225" t="s">
        <v>19</v>
      </c>
      <c r="E1225">
        <v>7.9</v>
      </c>
      <c r="F1225">
        <v>3.8</v>
      </c>
      <c r="G1225">
        <v>0</v>
      </c>
      <c r="H1225" t="str">
        <f t="shared" si="19"/>
        <v>No Night Usage</v>
      </c>
      <c r="I1225">
        <v>3.8</v>
      </c>
      <c r="J1225" s="3">
        <v>8</v>
      </c>
      <c r="K1225">
        <v>5.7</v>
      </c>
      <c r="L1225" t="s">
        <v>21</v>
      </c>
      <c r="M1225">
        <v>6</v>
      </c>
      <c r="N1225">
        <v>2</v>
      </c>
      <c r="O1225">
        <v>0</v>
      </c>
      <c r="P1225">
        <v>0</v>
      </c>
      <c r="Q1225">
        <v>1</v>
      </c>
      <c r="R1225">
        <v>1</v>
      </c>
      <c r="S1225">
        <v>1</v>
      </c>
      <c r="T1225" t="str">
        <f>IF(mental_health[Sleep_Hours]&lt;5,"Low",IF(mental_health[Sleep_Hours]&lt;7,"Medium","Good"))</f>
        <v>Low</v>
      </c>
      <c r="U1225" t="str">
        <f>IF(mental_health[Stress_Level]&lt;=3,"Low",IF(mental_health[Stress_Level]&lt;=7,"Medium","High"))</f>
        <v>High</v>
      </c>
      <c r="V1225" t="str">
        <f>IF(mental_health[Daily_Screen_Time]&lt;=4,"Low",IF(mental_health[Daily_Screen_Time]&lt;=8,"Medium","High"))</f>
        <v>Medium</v>
      </c>
    </row>
    <row r="1226" spans="1:22" x14ac:dyDescent="0.3">
      <c r="A1226">
        <v>1225</v>
      </c>
      <c r="B1226">
        <v>24</v>
      </c>
      <c r="C1226" t="s">
        <v>18</v>
      </c>
      <c r="D1226" t="s">
        <v>24</v>
      </c>
      <c r="E1226">
        <v>3.9</v>
      </c>
      <c r="F1226">
        <v>5.5</v>
      </c>
      <c r="G1226">
        <v>0</v>
      </c>
      <c r="H1226" t="str">
        <f t="shared" si="19"/>
        <v>No Night Usage</v>
      </c>
      <c r="I1226">
        <v>4.3</v>
      </c>
      <c r="J1226" s="3">
        <v>7</v>
      </c>
      <c r="K1226">
        <v>4.5</v>
      </c>
      <c r="L1226" t="s">
        <v>20</v>
      </c>
      <c r="M1226">
        <v>1</v>
      </c>
      <c r="N1226">
        <v>0</v>
      </c>
      <c r="O1226">
        <v>1</v>
      </c>
      <c r="P1226">
        <v>0</v>
      </c>
      <c r="Q1226">
        <v>0</v>
      </c>
      <c r="R1226">
        <v>0</v>
      </c>
      <c r="S1226">
        <v>1</v>
      </c>
      <c r="T1226" t="str">
        <f>IF(mental_health[Sleep_Hours]&lt;5,"Low",IF(mental_health[Sleep_Hours]&lt;7,"Medium","Good"))</f>
        <v>Low</v>
      </c>
      <c r="U1226" t="str">
        <f>IF(mental_health[Stress_Level]&lt;=3,"Low",IF(mental_health[Stress_Level]&lt;=7,"Medium","High"))</f>
        <v>Medium</v>
      </c>
      <c r="V1226" t="str">
        <f>IF(mental_health[Daily_Screen_Time]&lt;=4,"Low",IF(mental_health[Daily_Screen_Time]&lt;=8,"Medium","High"))</f>
        <v>Low</v>
      </c>
    </row>
    <row r="1227" spans="1:22" x14ac:dyDescent="0.3">
      <c r="A1227">
        <v>1226</v>
      </c>
      <c r="B1227">
        <v>49</v>
      </c>
      <c r="C1227" t="s">
        <v>18</v>
      </c>
      <c r="D1227" t="s">
        <v>24</v>
      </c>
      <c r="E1227">
        <v>8.6999999999999993</v>
      </c>
      <c r="F1227">
        <v>2.1</v>
      </c>
      <c r="G1227">
        <v>1</v>
      </c>
      <c r="H1227" t="str">
        <f t="shared" si="19"/>
        <v>Night Usage</v>
      </c>
      <c r="I1227">
        <v>6.3</v>
      </c>
      <c r="J1227" s="3">
        <v>8</v>
      </c>
      <c r="K1227">
        <v>3.1</v>
      </c>
      <c r="L1227" t="s">
        <v>21</v>
      </c>
      <c r="M1227">
        <v>9</v>
      </c>
      <c r="N1227">
        <v>1</v>
      </c>
      <c r="O1227">
        <v>0</v>
      </c>
      <c r="P1227">
        <v>1</v>
      </c>
      <c r="Q1227">
        <v>1</v>
      </c>
      <c r="R1227">
        <v>1</v>
      </c>
      <c r="S1227">
        <v>1</v>
      </c>
      <c r="T1227" t="str">
        <f>IF(mental_health[Sleep_Hours]&lt;5,"Low",IF(mental_health[Sleep_Hours]&lt;7,"Medium","Good"))</f>
        <v>Medium</v>
      </c>
      <c r="U1227" t="str">
        <f>IF(mental_health[Stress_Level]&lt;=3,"Low",IF(mental_health[Stress_Level]&lt;=7,"Medium","High"))</f>
        <v>High</v>
      </c>
      <c r="V1227" t="str">
        <f>IF(mental_health[Daily_Screen_Time]&lt;=4,"Low",IF(mental_health[Daily_Screen_Time]&lt;=8,"Medium","High"))</f>
        <v>High</v>
      </c>
    </row>
    <row r="1228" spans="1:22" x14ac:dyDescent="0.3">
      <c r="A1228">
        <v>1227</v>
      </c>
      <c r="B1228">
        <v>59</v>
      </c>
      <c r="C1228" t="s">
        <v>23</v>
      </c>
      <c r="D1228" t="s">
        <v>24</v>
      </c>
      <c r="E1228">
        <v>8.1999999999999993</v>
      </c>
      <c r="F1228">
        <v>7.5</v>
      </c>
      <c r="G1228">
        <v>0</v>
      </c>
      <c r="H1228" t="str">
        <f t="shared" si="19"/>
        <v>No Night Usage</v>
      </c>
      <c r="I1228">
        <v>7.6</v>
      </c>
      <c r="J1228" s="3">
        <v>4</v>
      </c>
      <c r="K1228">
        <v>3.4</v>
      </c>
      <c r="L1228" t="s">
        <v>25</v>
      </c>
      <c r="M1228">
        <v>4</v>
      </c>
      <c r="N1228">
        <v>3</v>
      </c>
      <c r="O1228">
        <v>0</v>
      </c>
      <c r="P1228">
        <v>1</v>
      </c>
      <c r="Q1228">
        <v>1</v>
      </c>
      <c r="R1228">
        <v>1</v>
      </c>
      <c r="S1228">
        <v>0</v>
      </c>
      <c r="T1228" t="str">
        <f>IF(mental_health[Sleep_Hours]&lt;5,"Low",IF(mental_health[Sleep_Hours]&lt;7,"Medium","Good"))</f>
        <v>Good</v>
      </c>
      <c r="U1228" t="str">
        <f>IF(mental_health[Stress_Level]&lt;=3,"Low",IF(mental_health[Stress_Level]&lt;=7,"Medium","High"))</f>
        <v>Medium</v>
      </c>
      <c r="V1228" t="str">
        <f>IF(mental_health[Daily_Screen_Time]&lt;=4,"Low",IF(mental_health[Daily_Screen_Time]&lt;=8,"Medium","High"))</f>
        <v>High</v>
      </c>
    </row>
    <row r="1229" spans="1:22" x14ac:dyDescent="0.3">
      <c r="A1229">
        <v>1228</v>
      </c>
      <c r="B1229">
        <v>50</v>
      </c>
      <c r="C1229" t="s">
        <v>23</v>
      </c>
      <c r="D1229" t="s">
        <v>19</v>
      </c>
      <c r="E1229">
        <v>8</v>
      </c>
      <c r="F1229">
        <v>3.7</v>
      </c>
      <c r="G1229">
        <v>0</v>
      </c>
      <c r="H1229" t="str">
        <f t="shared" si="19"/>
        <v>No Night Usage</v>
      </c>
      <c r="I1229">
        <v>6.7</v>
      </c>
      <c r="J1229" s="3">
        <v>6</v>
      </c>
      <c r="K1229">
        <v>10.5</v>
      </c>
      <c r="L1229" t="s">
        <v>25</v>
      </c>
      <c r="M1229">
        <v>4</v>
      </c>
      <c r="N1229">
        <v>2</v>
      </c>
      <c r="O1229">
        <v>1</v>
      </c>
      <c r="P1229">
        <v>0</v>
      </c>
      <c r="Q1229">
        <v>1</v>
      </c>
      <c r="R1229">
        <v>1</v>
      </c>
      <c r="S1229">
        <v>1</v>
      </c>
      <c r="T1229" t="str">
        <f>IF(mental_health[Sleep_Hours]&lt;5,"Low",IF(mental_health[Sleep_Hours]&lt;7,"Medium","Good"))</f>
        <v>Medium</v>
      </c>
      <c r="U1229" t="str">
        <f>IF(mental_health[Stress_Level]&lt;=3,"Low",IF(mental_health[Stress_Level]&lt;=7,"Medium","High"))</f>
        <v>Medium</v>
      </c>
      <c r="V1229" t="str">
        <f>IF(mental_health[Daily_Screen_Time]&lt;=4,"Low",IF(mental_health[Daily_Screen_Time]&lt;=8,"Medium","High"))</f>
        <v>Medium</v>
      </c>
    </row>
    <row r="1230" spans="1:22" x14ac:dyDescent="0.3">
      <c r="A1230">
        <v>1229</v>
      </c>
      <c r="B1230">
        <v>37</v>
      </c>
      <c r="C1230" t="s">
        <v>23</v>
      </c>
      <c r="D1230" t="s">
        <v>22</v>
      </c>
      <c r="E1230">
        <v>6.9</v>
      </c>
      <c r="F1230">
        <v>6.1</v>
      </c>
      <c r="G1230">
        <v>1</v>
      </c>
      <c r="H1230" t="str">
        <f t="shared" si="19"/>
        <v>Night Usage</v>
      </c>
      <c r="I1230">
        <v>4.4000000000000004</v>
      </c>
      <c r="J1230" s="3">
        <v>3</v>
      </c>
      <c r="K1230">
        <v>7.9</v>
      </c>
      <c r="L1230" t="s">
        <v>25</v>
      </c>
      <c r="M1230">
        <v>9</v>
      </c>
      <c r="N1230">
        <v>2</v>
      </c>
      <c r="O1230">
        <v>0</v>
      </c>
      <c r="P1230">
        <v>1</v>
      </c>
      <c r="Q1230">
        <v>0</v>
      </c>
      <c r="R1230">
        <v>1</v>
      </c>
      <c r="S1230">
        <v>1</v>
      </c>
      <c r="T1230" t="str">
        <f>IF(mental_health[Sleep_Hours]&lt;5,"Low",IF(mental_health[Sleep_Hours]&lt;7,"Medium","Good"))</f>
        <v>Low</v>
      </c>
      <c r="U1230" t="str">
        <f>IF(mental_health[Stress_Level]&lt;=3,"Low",IF(mental_health[Stress_Level]&lt;=7,"Medium","High"))</f>
        <v>Low</v>
      </c>
      <c r="V1230" t="str">
        <f>IF(mental_health[Daily_Screen_Time]&lt;=4,"Low",IF(mental_health[Daily_Screen_Time]&lt;=8,"Medium","High"))</f>
        <v>Medium</v>
      </c>
    </row>
    <row r="1231" spans="1:22" x14ac:dyDescent="0.3">
      <c r="A1231">
        <v>1230</v>
      </c>
      <c r="B1231">
        <v>59</v>
      </c>
      <c r="C1231" t="s">
        <v>23</v>
      </c>
      <c r="D1231" t="s">
        <v>22</v>
      </c>
      <c r="E1231">
        <v>7.3</v>
      </c>
      <c r="F1231">
        <v>1.1000000000000001</v>
      </c>
      <c r="G1231">
        <v>0</v>
      </c>
      <c r="H1231" t="str">
        <f t="shared" si="19"/>
        <v>No Night Usage</v>
      </c>
      <c r="I1231">
        <v>3</v>
      </c>
      <c r="J1231" s="3">
        <v>8</v>
      </c>
      <c r="K1231">
        <v>10.7</v>
      </c>
      <c r="L1231" t="s">
        <v>20</v>
      </c>
      <c r="M1231">
        <v>3</v>
      </c>
      <c r="N1231">
        <v>1</v>
      </c>
      <c r="O1231">
        <v>1</v>
      </c>
      <c r="P1231">
        <v>0</v>
      </c>
      <c r="Q1231">
        <v>1</v>
      </c>
      <c r="R1231">
        <v>0</v>
      </c>
      <c r="S1231">
        <v>1</v>
      </c>
      <c r="T1231" t="str">
        <f>IF(mental_health[Sleep_Hours]&lt;5,"Low",IF(mental_health[Sleep_Hours]&lt;7,"Medium","Good"))</f>
        <v>Low</v>
      </c>
      <c r="U1231" t="str">
        <f>IF(mental_health[Stress_Level]&lt;=3,"Low",IF(mental_health[Stress_Level]&lt;=7,"Medium","High"))</f>
        <v>High</v>
      </c>
      <c r="V1231" t="str">
        <f>IF(mental_health[Daily_Screen_Time]&lt;=4,"Low",IF(mental_health[Daily_Screen_Time]&lt;=8,"Medium","High"))</f>
        <v>Medium</v>
      </c>
    </row>
    <row r="1232" spans="1:22" x14ac:dyDescent="0.3">
      <c r="A1232">
        <v>1231</v>
      </c>
      <c r="B1232">
        <v>39</v>
      </c>
      <c r="C1232" t="s">
        <v>23</v>
      </c>
      <c r="D1232" t="s">
        <v>19</v>
      </c>
      <c r="E1232">
        <v>5.3</v>
      </c>
      <c r="F1232">
        <v>2.4</v>
      </c>
      <c r="G1232">
        <v>1</v>
      </c>
      <c r="H1232" t="str">
        <f t="shared" si="19"/>
        <v>Night Usage</v>
      </c>
      <c r="I1232">
        <v>7.5</v>
      </c>
      <c r="J1232" s="3">
        <v>4</v>
      </c>
      <c r="K1232">
        <v>9.9</v>
      </c>
      <c r="L1232" t="s">
        <v>21</v>
      </c>
      <c r="M1232">
        <v>5</v>
      </c>
      <c r="N1232">
        <v>4</v>
      </c>
      <c r="O1232">
        <v>0</v>
      </c>
      <c r="P1232">
        <v>0</v>
      </c>
      <c r="Q1232">
        <v>1</v>
      </c>
      <c r="R1232">
        <v>0</v>
      </c>
      <c r="S1232">
        <v>1</v>
      </c>
      <c r="T1232" t="str">
        <f>IF(mental_health[Sleep_Hours]&lt;5,"Low",IF(mental_health[Sleep_Hours]&lt;7,"Medium","Good"))</f>
        <v>Good</v>
      </c>
      <c r="U1232" t="str">
        <f>IF(mental_health[Stress_Level]&lt;=3,"Low",IF(mental_health[Stress_Level]&lt;=7,"Medium","High"))</f>
        <v>Medium</v>
      </c>
      <c r="V1232" t="str">
        <f>IF(mental_health[Daily_Screen_Time]&lt;=4,"Low",IF(mental_health[Daily_Screen_Time]&lt;=8,"Medium","High"))</f>
        <v>Medium</v>
      </c>
    </row>
    <row r="1233" spans="1:22" x14ac:dyDescent="0.3">
      <c r="A1233">
        <v>1232</v>
      </c>
      <c r="B1233">
        <v>32</v>
      </c>
      <c r="C1233" t="s">
        <v>23</v>
      </c>
      <c r="D1233" t="s">
        <v>22</v>
      </c>
      <c r="E1233">
        <v>7.2</v>
      </c>
      <c r="F1233">
        <v>4.4000000000000004</v>
      </c>
      <c r="G1233">
        <v>1</v>
      </c>
      <c r="H1233" t="str">
        <f t="shared" si="19"/>
        <v>Night Usage</v>
      </c>
      <c r="I1233">
        <v>8.9</v>
      </c>
      <c r="J1233" s="3">
        <v>3</v>
      </c>
      <c r="K1233">
        <v>8.6999999999999993</v>
      </c>
      <c r="L1233" t="s">
        <v>21</v>
      </c>
      <c r="M1233">
        <v>1</v>
      </c>
      <c r="N1233">
        <v>0</v>
      </c>
      <c r="O1233">
        <v>1</v>
      </c>
      <c r="P1233">
        <v>0</v>
      </c>
      <c r="Q1233">
        <v>1</v>
      </c>
      <c r="R1233">
        <v>0</v>
      </c>
      <c r="S1233">
        <v>1</v>
      </c>
      <c r="T1233" t="str">
        <f>IF(mental_health[Sleep_Hours]&lt;5,"Low",IF(mental_health[Sleep_Hours]&lt;7,"Medium","Good"))</f>
        <v>Good</v>
      </c>
      <c r="U1233" t="str">
        <f>IF(mental_health[Stress_Level]&lt;=3,"Low",IF(mental_health[Stress_Level]&lt;=7,"Medium","High"))</f>
        <v>Low</v>
      </c>
      <c r="V1233" t="str">
        <f>IF(mental_health[Daily_Screen_Time]&lt;=4,"Low",IF(mental_health[Daily_Screen_Time]&lt;=8,"Medium","High"))</f>
        <v>Medium</v>
      </c>
    </row>
    <row r="1234" spans="1:22" x14ac:dyDescent="0.3">
      <c r="A1234">
        <v>1233</v>
      </c>
      <c r="B1234">
        <v>25</v>
      </c>
      <c r="C1234" t="s">
        <v>23</v>
      </c>
      <c r="D1234" t="s">
        <v>24</v>
      </c>
      <c r="E1234">
        <v>4</v>
      </c>
      <c r="F1234">
        <v>7.1</v>
      </c>
      <c r="G1234">
        <v>1</v>
      </c>
      <c r="H1234" t="str">
        <f t="shared" si="19"/>
        <v>Night Usage</v>
      </c>
      <c r="I1234">
        <v>7.9</v>
      </c>
      <c r="J1234" s="3">
        <v>4</v>
      </c>
      <c r="K1234">
        <v>8.1</v>
      </c>
      <c r="L1234" t="s">
        <v>21</v>
      </c>
      <c r="M1234">
        <v>6</v>
      </c>
      <c r="N1234">
        <v>1</v>
      </c>
      <c r="O1234">
        <v>0</v>
      </c>
      <c r="P1234">
        <v>0</v>
      </c>
      <c r="Q1234">
        <v>0</v>
      </c>
      <c r="R1234">
        <v>1</v>
      </c>
      <c r="S1234">
        <v>0</v>
      </c>
      <c r="T1234" t="str">
        <f>IF(mental_health[Sleep_Hours]&lt;5,"Low",IF(mental_health[Sleep_Hours]&lt;7,"Medium","Good"))</f>
        <v>Good</v>
      </c>
      <c r="U1234" t="str">
        <f>IF(mental_health[Stress_Level]&lt;=3,"Low",IF(mental_health[Stress_Level]&lt;=7,"Medium","High"))</f>
        <v>Medium</v>
      </c>
      <c r="V1234" t="str">
        <f>IF(mental_health[Daily_Screen_Time]&lt;=4,"Low",IF(mental_health[Daily_Screen_Time]&lt;=8,"Medium","High"))</f>
        <v>Low</v>
      </c>
    </row>
    <row r="1235" spans="1:22" x14ac:dyDescent="0.3">
      <c r="A1235">
        <v>1234</v>
      </c>
      <c r="B1235">
        <v>45</v>
      </c>
      <c r="C1235" t="s">
        <v>18</v>
      </c>
      <c r="D1235" t="s">
        <v>22</v>
      </c>
      <c r="E1235">
        <v>10.1</v>
      </c>
      <c r="F1235">
        <v>4.7</v>
      </c>
      <c r="G1235">
        <v>1</v>
      </c>
      <c r="H1235" t="str">
        <f t="shared" si="19"/>
        <v>Night Usage</v>
      </c>
      <c r="I1235">
        <v>5.8</v>
      </c>
      <c r="J1235" s="3">
        <v>6</v>
      </c>
      <c r="K1235">
        <v>2.5</v>
      </c>
      <c r="L1235" t="s">
        <v>21</v>
      </c>
      <c r="M1235">
        <v>3</v>
      </c>
      <c r="N1235">
        <v>1</v>
      </c>
      <c r="O1235">
        <v>0</v>
      </c>
      <c r="P1235">
        <v>0</v>
      </c>
      <c r="Q1235">
        <v>0</v>
      </c>
      <c r="R1235">
        <v>0</v>
      </c>
      <c r="S1235">
        <v>0</v>
      </c>
      <c r="T1235" t="str">
        <f>IF(mental_health[Sleep_Hours]&lt;5,"Low",IF(mental_health[Sleep_Hours]&lt;7,"Medium","Good"))</f>
        <v>Medium</v>
      </c>
      <c r="U1235" t="str">
        <f>IF(mental_health[Stress_Level]&lt;=3,"Low",IF(mental_health[Stress_Level]&lt;=7,"Medium","High"))</f>
        <v>Medium</v>
      </c>
      <c r="V1235" t="str">
        <f>IF(mental_health[Daily_Screen_Time]&lt;=4,"Low",IF(mental_health[Daily_Screen_Time]&lt;=8,"Medium","High"))</f>
        <v>High</v>
      </c>
    </row>
    <row r="1236" spans="1:22" x14ac:dyDescent="0.3">
      <c r="A1236">
        <v>1235</v>
      </c>
      <c r="B1236">
        <v>38</v>
      </c>
      <c r="C1236" t="s">
        <v>23</v>
      </c>
      <c r="D1236" t="s">
        <v>22</v>
      </c>
      <c r="E1236">
        <v>3.9</v>
      </c>
      <c r="F1236">
        <v>7.5</v>
      </c>
      <c r="G1236">
        <v>1</v>
      </c>
      <c r="H1236" t="str">
        <f t="shared" si="19"/>
        <v>Night Usage</v>
      </c>
      <c r="I1236">
        <v>8.4</v>
      </c>
      <c r="J1236" s="3">
        <v>7</v>
      </c>
      <c r="K1236">
        <v>10.7</v>
      </c>
      <c r="L1236" t="s">
        <v>21</v>
      </c>
      <c r="M1236">
        <v>1</v>
      </c>
      <c r="N1236">
        <v>1</v>
      </c>
      <c r="O1236">
        <v>1</v>
      </c>
      <c r="P1236">
        <v>1</v>
      </c>
      <c r="Q1236">
        <v>1</v>
      </c>
      <c r="R1236">
        <v>1</v>
      </c>
      <c r="S1236">
        <v>0</v>
      </c>
      <c r="T1236" t="str">
        <f>IF(mental_health[Sleep_Hours]&lt;5,"Low",IF(mental_health[Sleep_Hours]&lt;7,"Medium","Good"))</f>
        <v>Good</v>
      </c>
      <c r="U1236" t="str">
        <f>IF(mental_health[Stress_Level]&lt;=3,"Low",IF(mental_health[Stress_Level]&lt;=7,"Medium","High"))</f>
        <v>Medium</v>
      </c>
      <c r="V1236" t="str">
        <f>IF(mental_health[Daily_Screen_Time]&lt;=4,"Low",IF(mental_health[Daily_Screen_Time]&lt;=8,"Medium","High"))</f>
        <v>Low</v>
      </c>
    </row>
    <row r="1237" spans="1:22" x14ac:dyDescent="0.3">
      <c r="A1237">
        <v>1236</v>
      </c>
      <c r="B1237">
        <v>47</v>
      </c>
      <c r="C1237" t="s">
        <v>18</v>
      </c>
      <c r="D1237" t="s">
        <v>22</v>
      </c>
      <c r="E1237">
        <v>2.8</v>
      </c>
      <c r="F1237">
        <v>4.4000000000000004</v>
      </c>
      <c r="G1237">
        <v>0</v>
      </c>
      <c r="H1237" t="str">
        <f t="shared" si="19"/>
        <v>No Night Usage</v>
      </c>
      <c r="I1237">
        <v>5.5</v>
      </c>
      <c r="J1237" s="3">
        <v>7</v>
      </c>
      <c r="K1237">
        <v>6.2</v>
      </c>
      <c r="L1237" t="s">
        <v>20</v>
      </c>
      <c r="M1237">
        <v>10</v>
      </c>
      <c r="N1237">
        <v>1</v>
      </c>
      <c r="O1237">
        <v>1</v>
      </c>
      <c r="P1237">
        <v>0</v>
      </c>
      <c r="Q1237">
        <v>1</v>
      </c>
      <c r="R1237">
        <v>0</v>
      </c>
      <c r="S1237">
        <v>0</v>
      </c>
      <c r="T1237" t="str">
        <f>IF(mental_health[Sleep_Hours]&lt;5,"Low",IF(mental_health[Sleep_Hours]&lt;7,"Medium","Good"))</f>
        <v>Medium</v>
      </c>
      <c r="U1237" t="str">
        <f>IF(mental_health[Stress_Level]&lt;=3,"Low",IF(mental_health[Stress_Level]&lt;=7,"Medium","High"))</f>
        <v>Medium</v>
      </c>
      <c r="V1237" t="str">
        <f>IF(mental_health[Daily_Screen_Time]&lt;=4,"Low",IF(mental_health[Daily_Screen_Time]&lt;=8,"Medium","High"))</f>
        <v>Low</v>
      </c>
    </row>
    <row r="1238" spans="1:22" x14ac:dyDescent="0.3">
      <c r="A1238">
        <v>1237</v>
      </c>
      <c r="B1238">
        <v>32</v>
      </c>
      <c r="C1238" t="s">
        <v>18</v>
      </c>
      <c r="D1238" t="s">
        <v>24</v>
      </c>
      <c r="E1238">
        <v>6.4</v>
      </c>
      <c r="F1238">
        <v>4.4000000000000004</v>
      </c>
      <c r="G1238">
        <v>0</v>
      </c>
      <c r="H1238" t="str">
        <f t="shared" si="19"/>
        <v>No Night Usage</v>
      </c>
      <c r="I1238">
        <v>6.1</v>
      </c>
      <c r="J1238" s="3">
        <v>4</v>
      </c>
      <c r="K1238">
        <v>7.6</v>
      </c>
      <c r="L1238" t="s">
        <v>21</v>
      </c>
      <c r="M1238">
        <v>6</v>
      </c>
      <c r="N1238">
        <v>4</v>
      </c>
      <c r="O1238">
        <v>1</v>
      </c>
      <c r="P1238">
        <v>0</v>
      </c>
      <c r="Q1238">
        <v>1</v>
      </c>
      <c r="R1238">
        <v>1</v>
      </c>
      <c r="S1238">
        <v>0</v>
      </c>
      <c r="T1238" t="str">
        <f>IF(mental_health[Sleep_Hours]&lt;5,"Low",IF(mental_health[Sleep_Hours]&lt;7,"Medium","Good"))</f>
        <v>Medium</v>
      </c>
      <c r="U1238" t="str">
        <f>IF(mental_health[Stress_Level]&lt;=3,"Low",IF(mental_health[Stress_Level]&lt;=7,"Medium","High"))</f>
        <v>Medium</v>
      </c>
      <c r="V1238" t="str">
        <f>IF(mental_health[Daily_Screen_Time]&lt;=4,"Low",IF(mental_health[Daily_Screen_Time]&lt;=8,"Medium","High"))</f>
        <v>Medium</v>
      </c>
    </row>
    <row r="1239" spans="1:22" x14ac:dyDescent="0.3">
      <c r="A1239">
        <v>1238</v>
      </c>
      <c r="B1239">
        <v>32</v>
      </c>
      <c r="C1239" t="s">
        <v>23</v>
      </c>
      <c r="D1239" t="s">
        <v>19</v>
      </c>
      <c r="E1239">
        <v>8.6</v>
      </c>
      <c r="F1239">
        <v>1.8</v>
      </c>
      <c r="G1239">
        <v>1</v>
      </c>
      <c r="H1239" t="str">
        <f t="shared" si="19"/>
        <v>Night Usage</v>
      </c>
      <c r="I1239">
        <v>5.9</v>
      </c>
      <c r="J1239" s="3">
        <v>8</v>
      </c>
      <c r="K1239">
        <v>2.2000000000000002</v>
      </c>
      <c r="L1239" t="s">
        <v>25</v>
      </c>
      <c r="M1239">
        <v>10</v>
      </c>
      <c r="N1239">
        <v>3</v>
      </c>
      <c r="O1239">
        <v>0</v>
      </c>
      <c r="P1239">
        <v>1</v>
      </c>
      <c r="Q1239">
        <v>0</v>
      </c>
      <c r="R1239">
        <v>1</v>
      </c>
      <c r="S1239">
        <v>0</v>
      </c>
      <c r="T1239" t="str">
        <f>IF(mental_health[Sleep_Hours]&lt;5,"Low",IF(mental_health[Sleep_Hours]&lt;7,"Medium","Good"))</f>
        <v>Medium</v>
      </c>
      <c r="U1239" t="str">
        <f>IF(mental_health[Stress_Level]&lt;=3,"Low",IF(mental_health[Stress_Level]&lt;=7,"Medium","High"))</f>
        <v>High</v>
      </c>
      <c r="V1239" t="str">
        <f>IF(mental_health[Daily_Screen_Time]&lt;=4,"Low",IF(mental_health[Daily_Screen_Time]&lt;=8,"Medium","High"))</f>
        <v>High</v>
      </c>
    </row>
    <row r="1240" spans="1:22" x14ac:dyDescent="0.3">
      <c r="A1240">
        <v>1239</v>
      </c>
      <c r="B1240">
        <v>29</v>
      </c>
      <c r="C1240" t="s">
        <v>18</v>
      </c>
      <c r="D1240" t="s">
        <v>24</v>
      </c>
      <c r="E1240">
        <v>6.4</v>
      </c>
      <c r="F1240">
        <v>6.6</v>
      </c>
      <c r="G1240">
        <v>1</v>
      </c>
      <c r="H1240" t="str">
        <f t="shared" si="19"/>
        <v>Night Usage</v>
      </c>
      <c r="I1240">
        <v>5.7</v>
      </c>
      <c r="J1240" s="3">
        <v>7</v>
      </c>
      <c r="K1240">
        <v>11.4</v>
      </c>
      <c r="L1240" t="s">
        <v>21</v>
      </c>
      <c r="M1240">
        <v>2</v>
      </c>
      <c r="N1240">
        <v>1</v>
      </c>
      <c r="O1240">
        <v>0</v>
      </c>
      <c r="P1240">
        <v>0</v>
      </c>
      <c r="Q1240">
        <v>0</v>
      </c>
      <c r="R1240">
        <v>0</v>
      </c>
      <c r="S1240">
        <v>1</v>
      </c>
      <c r="T1240" t="str">
        <f>IF(mental_health[Sleep_Hours]&lt;5,"Low",IF(mental_health[Sleep_Hours]&lt;7,"Medium","Good"))</f>
        <v>Medium</v>
      </c>
      <c r="U1240" t="str">
        <f>IF(mental_health[Stress_Level]&lt;=3,"Low",IF(mental_health[Stress_Level]&lt;=7,"Medium","High"))</f>
        <v>Medium</v>
      </c>
      <c r="V1240" t="str">
        <f>IF(mental_health[Daily_Screen_Time]&lt;=4,"Low",IF(mental_health[Daily_Screen_Time]&lt;=8,"Medium","High"))</f>
        <v>Medium</v>
      </c>
    </row>
    <row r="1241" spans="1:22" x14ac:dyDescent="0.3">
      <c r="A1241">
        <v>1240</v>
      </c>
      <c r="B1241">
        <v>24</v>
      </c>
      <c r="C1241" t="s">
        <v>18</v>
      </c>
      <c r="D1241" t="s">
        <v>19</v>
      </c>
      <c r="E1241">
        <v>4.8</v>
      </c>
      <c r="F1241">
        <v>2.7</v>
      </c>
      <c r="G1241">
        <v>0</v>
      </c>
      <c r="H1241" t="str">
        <f t="shared" si="19"/>
        <v>No Night Usage</v>
      </c>
      <c r="I1241">
        <v>7.7</v>
      </c>
      <c r="J1241" s="3">
        <v>2</v>
      </c>
      <c r="K1241">
        <v>11</v>
      </c>
      <c r="L1241" t="s">
        <v>25</v>
      </c>
      <c r="M1241">
        <v>8</v>
      </c>
      <c r="N1241">
        <v>1</v>
      </c>
      <c r="O1241">
        <v>0</v>
      </c>
      <c r="P1241">
        <v>0</v>
      </c>
      <c r="Q1241">
        <v>1</v>
      </c>
      <c r="R1241">
        <v>0</v>
      </c>
      <c r="S1241">
        <v>1</v>
      </c>
      <c r="T1241" t="str">
        <f>IF(mental_health[Sleep_Hours]&lt;5,"Low",IF(mental_health[Sleep_Hours]&lt;7,"Medium","Good"))</f>
        <v>Good</v>
      </c>
      <c r="U1241" t="str">
        <f>IF(mental_health[Stress_Level]&lt;=3,"Low",IF(mental_health[Stress_Level]&lt;=7,"Medium","High"))</f>
        <v>Low</v>
      </c>
      <c r="V1241" t="str">
        <f>IF(mental_health[Daily_Screen_Time]&lt;=4,"Low",IF(mental_health[Daily_Screen_Time]&lt;=8,"Medium","High"))</f>
        <v>Medium</v>
      </c>
    </row>
    <row r="1242" spans="1:22" x14ac:dyDescent="0.3">
      <c r="A1242">
        <v>1241</v>
      </c>
      <c r="B1242">
        <v>55</v>
      </c>
      <c r="C1242" t="s">
        <v>18</v>
      </c>
      <c r="D1242" t="s">
        <v>19</v>
      </c>
      <c r="E1242">
        <v>7.6</v>
      </c>
      <c r="F1242">
        <v>7.3</v>
      </c>
      <c r="G1242">
        <v>0</v>
      </c>
      <c r="H1242" t="str">
        <f t="shared" si="19"/>
        <v>No Night Usage</v>
      </c>
      <c r="I1242">
        <v>6.2</v>
      </c>
      <c r="J1242" s="3">
        <v>8</v>
      </c>
      <c r="K1242">
        <v>7.4</v>
      </c>
      <c r="L1242" t="s">
        <v>20</v>
      </c>
      <c r="M1242">
        <v>2</v>
      </c>
      <c r="N1242">
        <v>0</v>
      </c>
      <c r="O1242">
        <v>0</v>
      </c>
      <c r="P1242">
        <v>1</v>
      </c>
      <c r="Q1242">
        <v>1</v>
      </c>
      <c r="R1242">
        <v>0</v>
      </c>
      <c r="S1242">
        <v>1</v>
      </c>
      <c r="T1242" t="str">
        <f>IF(mental_health[Sleep_Hours]&lt;5,"Low",IF(mental_health[Sleep_Hours]&lt;7,"Medium","Good"))</f>
        <v>Medium</v>
      </c>
      <c r="U1242" t="str">
        <f>IF(mental_health[Stress_Level]&lt;=3,"Low",IF(mental_health[Stress_Level]&lt;=7,"Medium","High"))</f>
        <v>High</v>
      </c>
      <c r="V1242" t="str">
        <f>IF(mental_health[Daily_Screen_Time]&lt;=4,"Low",IF(mental_health[Daily_Screen_Time]&lt;=8,"Medium","High"))</f>
        <v>Medium</v>
      </c>
    </row>
    <row r="1243" spans="1:22" x14ac:dyDescent="0.3">
      <c r="A1243">
        <v>1242</v>
      </c>
      <c r="B1243">
        <v>17</v>
      </c>
      <c r="C1243" t="s">
        <v>18</v>
      </c>
      <c r="D1243" t="s">
        <v>19</v>
      </c>
      <c r="E1243">
        <v>5.5</v>
      </c>
      <c r="F1243">
        <v>7.4</v>
      </c>
      <c r="G1243">
        <v>1</v>
      </c>
      <c r="H1243" t="str">
        <f t="shared" si="19"/>
        <v>Night Usage</v>
      </c>
      <c r="I1243">
        <v>4.9000000000000004</v>
      </c>
      <c r="J1243" s="3">
        <v>9</v>
      </c>
      <c r="K1243">
        <v>7.8</v>
      </c>
      <c r="L1243" t="s">
        <v>20</v>
      </c>
      <c r="M1243">
        <v>4</v>
      </c>
      <c r="N1243">
        <v>2</v>
      </c>
      <c r="O1243">
        <v>0</v>
      </c>
      <c r="P1243">
        <v>1</v>
      </c>
      <c r="Q1243">
        <v>1</v>
      </c>
      <c r="R1243">
        <v>1</v>
      </c>
      <c r="S1243">
        <v>1</v>
      </c>
      <c r="T1243" t="str">
        <f>IF(mental_health[Sleep_Hours]&lt;5,"Low",IF(mental_health[Sleep_Hours]&lt;7,"Medium","Good"))</f>
        <v>Low</v>
      </c>
      <c r="U1243" t="str">
        <f>IF(mental_health[Stress_Level]&lt;=3,"Low",IF(mental_health[Stress_Level]&lt;=7,"Medium","High"))</f>
        <v>High</v>
      </c>
      <c r="V1243" t="str">
        <f>IF(mental_health[Daily_Screen_Time]&lt;=4,"Low",IF(mental_health[Daily_Screen_Time]&lt;=8,"Medium","High"))</f>
        <v>Medium</v>
      </c>
    </row>
    <row r="1244" spans="1:22" x14ac:dyDescent="0.3">
      <c r="A1244">
        <v>1243</v>
      </c>
      <c r="B1244">
        <v>40</v>
      </c>
      <c r="C1244" t="s">
        <v>23</v>
      </c>
      <c r="D1244" t="s">
        <v>22</v>
      </c>
      <c r="E1244">
        <v>11.3</v>
      </c>
      <c r="F1244">
        <v>7.6</v>
      </c>
      <c r="G1244">
        <v>0</v>
      </c>
      <c r="H1244" t="str">
        <f t="shared" si="19"/>
        <v>No Night Usage</v>
      </c>
      <c r="I1244">
        <v>4.5</v>
      </c>
      <c r="J1244" s="3">
        <v>5</v>
      </c>
      <c r="K1244">
        <v>9.1</v>
      </c>
      <c r="L1244" t="s">
        <v>25</v>
      </c>
      <c r="M1244">
        <v>3</v>
      </c>
      <c r="N1244">
        <v>4</v>
      </c>
      <c r="O1244">
        <v>0</v>
      </c>
      <c r="P1244">
        <v>1</v>
      </c>
      <c r="Q1244">
        <v>1</v>
      </c>
      <c r="R1244">
        <v>1</v>
      </c>
      <c r="S1244">
        <v>1</v>
      </c>
      <c r="T1244" t="str">
        <f>IF(mental_health[Sleep_Hours]&lt;5,"Low",IF(mental_health[Sleep_Hours]&lt;7,"Medium","Good"))</f>
        <v>Low</v>
      </c>
      <c r="U1244" t="str">
        <f>IF(mental_health[Stress_Level]&lt;=3,"Low",IF(mental_health[Stress_Level]&lt;=7,"Medium","High"))</f>
        <v>Medium</v>
      </c>
      <c r="V1244" t="str">
        <f>IF(mental_health[Daily_Screen_Time]&lt;=4,"Low",IF(mental_health[Daily_Screen_Time]&lt;=8,"Medium","High"))</f>
        <v>High</v>
      </c>
    </row>
    <row r="1245" spans="1:22" x14ac:dyDescent="0.3">
      <c r="A1245">
        <v>1244</v>
      </c>
      <c r="B1245">
        <v>54</v>
      </c>
      <c r="C1245" t="s">
        <v>23</v>
      </c>
      <c r="D1245" t="s">
        <v>22</v>
      </c>
      <c r="E1245">
        <v>11.2</v>
      </c>
      <c r="F1245">
        <v>4.5999999999999996</v>
      </c>
      <c r="G1245">
        <v>0</v>
      </c>
      <c r="H1245" t="str">
        <f t="shared" si="19"/>
        <v>No Night Usage</v>
      </c>
      <c r="I1245">
        <v>3.2</v>
      </c>
      <c r="J1245" s="3">
        <v>4</v>
      </c>
      <c r="K1245">
        <v>4.5999999999999996</v>
      </c>
      <c r="L1245" t="s">
        <v>21</v>
      </c>
      <c r="M1245">
        <v>9</v>
      </c>
      <c r="N1245">
        <v>1</v>
      </c>
      <c r="O1245">
        <v>1</v>
      </c>
      <c r="P1245">
        <v>1</v>
      </c>
      <c r="Q1245">
        <v>0</v>
      </c>
      <c r="R1245">
        <v>0</v>
      </c>
      <c r="S1245">
        <v>0</v>
      </c>
      <c r="T1245" t="str">
        <f>IF(mental_health[Sleep_Hours]&lt;5,"Low",IF(mental_health[Sleep_Hours]&lt;7,"Medium","Good"))</f>
        <v>Low</v>
      </c>
      <c r="U1245" t="str">
        <f>IF(mental_health[Stress_Level]&lt;=3,"Low",IF(mental_health[Stress_Level]&lt;=7,"Medium","High"))</f>
        <v>Medium</v>
      </c>
      <c r="V1245" t="str">
        <f>IF(mental_health[Daily_Screen_Time]&lt;=4,"Low",IF(mental_health[Daily_Screen_Time]&lt;=8,"Medium","High"))</f>
        <v>High</v>
      </c>
    </row>
    <row r="1246" spans="1:22" x14ac:dyDescent="0.3">
      <c r="A1246">
        <v>1245</v>
      </c>
      <c r="B1246">
        <v>24</v>
      </c>
      <c r="C1246" t="s">
        <v>23</v>
      </c>
      <c r="D1246" t="s">
        <v>19</v>
      </c>
      <c r="E1246">
        <v>7</v>
      </c>
      <c r="F1246">
        <v>5.7</v>
      </c>
      <c r="G1246">
        <v>1</v>
      </c>
      <c r="H1246" t="str">
        <f t="shared" si="19"/>
        <v>Night Usage</v>
      </c>
      <c r="I1246">
        <v>6.5</v>
      </c>
      <c r="J1246" s="3">
        <v>4</v>
      </c>
      <c r="K1246">
        <v>4.2</v>
      </c>
      <c r="L1246" t="s">
        <v>20</v>
      </c>
      <c r="M1246">
        <v>2</v>
      </c>
      <c r="N1246">
        <v>3</v>
      </c>
      <c r="O1246">
        <v>0</v>
      </c>
      <c r="P1246">
        <v>1</v>
      </c>
      <c r="Q1246">
        <v>0</v>
      </c>
      <c r="R1246">
        <v>0</v>
      </c>
      <c r="S1246">
        <v>1</v>
      </c>
      <c r="T1246" t="str">
        <f>IF(mental_health[Sleep_Hours]&lt;5,"Low",IF(mental_health[Sleep_Hours]&lt;7,"Medium","Good"))</f>
        <v>Medium</v>
      </c>
      <c r="U1246" t="str">
        <f>IF(mental_health[Stress_Level]&lt;=3,"Low",IF(mental_health[Stress_Level]&lt;=7,"Medium","High"))</f>
        <v>Medium</v>
      </c>
      <c r="V1246" t="str">
        <f>IF(mental_health[Daily_Screen_Time]&lt;=4,"Low",IF(mental_health[Daily_Screen_Time]&lt;=8,"Medium","High"))</f>
        <v>Medium</v>
      </c>
    </row>
    <row r="1247" spans="1:22" x14ac:dyDescent="0.3">
      <c r="A1247">
        <v>1246</v>
      </c>
      <c r="B1247">
        <v>37</v>
      </c>
      <c r="C1247" t="s">
        <v>23</v>
      </c>
      <c r="D1247" t="s">
        <v>19</v>
      </c>
      <c r="E1247">
        <v>5.3</v>
      </c>
      <c r="F1247">
        <v>6.4</v>
      </c>
      <c r="G1247">
        <v>0</v>
      </c>
      <c r="H1247" t="str">
        <f t="shared" si="19"/>
        <v>No Night Usage</v>
      </c>
      <c r="I1247">
        <v>4.4000000000000004</v>
      </c>
      <c r="J1247" s="3">
        <v>4</v>
      </c>
      <c r="K1247">
        <v>8.6999999999999993</v>
      </c>
      <c r="L1247" t="s">
        <v>20</v>
      </c>
      <c r="M1247">
        <v>3</v>
      </c>
      <c r="N1247">
        <v>3</v>
      </c>
      <c r="O1247">
        <v>0</v>
      </c>
      <c r="P1247">
        <v>0</v>
      </c>
      <c r="Q1247">
        <v>1</v>
      </c>
      <c r="R1247">
        <v>0</v>
      </c>
      <c r="S1247">
        <v>0</v>
      </c>
      <c r="T1247" t="str">
        <f>IF(mental_health[Sleep_Hours]&lt;5,"Low",IF(mental_health[Sleep_Hours]&lt;7,"Medium","Good"))</f>
        <v>Low</v>
      </c>
      <c r="U1247" t="str">
        <f>IF(mental_health[Stress_Level]&lt;=3,"Low",IF(mental_health[Stress_Level]&lt;=7,"Medium","High"))</f>
        <v>Medium</v>
      </c>
      <c r="V1247" t="str">
        <f>IF(mental_health[Daily_Screen_Time]&lt;=4,"Low",IF(mental_health[Daily_Screen_Time]&lt;=8,"Medium","High"))</f>
        <v>Medium</v>
      </c>
    </row>
    <row r="1248" spans="1:22" x14ac:dyDescent="0.3">
      <c r="A1248">
        <v>1247</v>
      </c>
      <c r="B1248">
        <v>58</v>
      </c>
      <c r="C1248" t="s">
        <v>23</v>
      </c>
      <c r="D1248" t="s">
        <v>22</v>
      </c>
      <c r="E1248">
        <v>9.4</v>
      </c>
      <c r="F1248">
        <v>1.9</v>
      </c>
      <c r="G1248">
        <v>0</v>
      </c>
      <c r="H1248" t="str">
        <f t="shared" si="19"/>
        <v>No Night Usage</v>
      </c>
      <c r="I1248">
        <v>3.9</v>
      </c>
      <c r="J1248" s="3">
        <v>6</v>
      </c>
      <c r="K1248">
        <v>3</v>
      </c>
      <c r="L1248" t="s">
        <v>20</v>
      </c>
      <c r="M1248">
        <v>7</v>
      </c>
      <c r="N1248">
        <v>3</v>
      </c>
      <c r="O1248">
        <v>1</v>
      </c>
      <c r="P1248">
        <v>0</v>
      </c>
      <c r="Q1248">
        <v>1</v>
      </c>
      <c r="R1248">
        <v>1</v>
      </c>
      <c r="S1248">
        <v>0</v>
      </c>
      <c r="T1248" t="str">
        <f>IF(mental_health[Sleep_Hours]&lt;5,"Low",IF(mental_health[Sleep_Hours]&lt;7,"Medium","Good"))</f>
        <v>Low</v>
      </c>
      <c r="U1248" t="str">
        <f>IF(mental_health[Stress_Level]&lt;=3,"Low",IF(mental_health[Stress_Level]&lt;=7,"Medium","High"))</f>
        <v>Medium</v>
      </c>
      <c r="V1248" t="str">
        <f>IF(mental_health[Daily_Screen_Time]&lt;=4,"Low",IF(mental_health[Daily_Screen_Time]&lt;=8,"Medium","High"))</f>
        <v>High</v>
      </c>
    </row>
    <row r="1249" spans="1:22" x14ac:dyDescent="0.3">
      <c r="A1249">
        <v>1248</v>
      </c>
      <c r="B1249">
        <v>19</v>
      </c>
      <c r="C1249" t="s">
        <v>23</v>
      </c>
      <c r="D1249" t="s">
        <v>24</v>
      </c>
      <c r="E1249">
        <v>2.4</v>
      </c>
      <c r="F1249">
        <v>5.2</v>
      </c>
      <c r="G1249">
        <v>0</v>
      </c>
      <c r="H1249" t="str">
        <f t="shared" si="19"/>
        <v>No Night Usage</v>
      </c>
      <c r="I1249">
        <v>6.9</v>
      </c>
      <c r="J1249" s="3">
        <v>4</v>
      </c>
      <c r="K1249">
        <v>6.5</v>
      </c>
      <c r="L1249" t="s">
        <v>21</v>
      </c>
      <c r="M1249">
        <v>4</v>
      </c>
      <c r="N1249">
        <v>0</v>
      </c>
      <c r="O1249">
        <v>1</v>
      </c>
      <c r="P1249">
        <v>0</v>
      </c>
      <c r="Q1249">
        <v>1</v>
      </c>
      <c r="R1249">
        <v>1</v>
      </c>
      <c r="S1249">
        <v>1</v>
      </c>
      <c r="T1249" t="str">
        <f>IF(mental_health[Sleep_Hours]&lt;5,"Low",IF(mental_health[Sleep_Hours]&lt;7,"Medium","Good"))</f>
        <v>Medium</v>
      </c>
      <c r="U1249" t="str">
        <f>IF(mental_health[Stress_Level]&lt;=3,"Low",IF(mental_health[Stress_Level]&lt;=7,"Medium","High"))</f>
        <v>Medium</v>
      </c>
      <c r="V1249" t="str">
        <f>IF(mental_health[Daily_Screen_Time]&lt;=4,"Low",IF(mental_health[Daily_Screen_Time]&lt;=8,"Medium","High"))</f>
        <v>Low</v>
      </c>
    </row>
    <row r="1250" spans="1:22" x14ac:dyDescent="0.3">
      <c r="A1250">
        <v>1249</v>
      </c>
      <c r="B1250">
        <v>41</v>
      </c>
      <c r="C1250" t="s">
        <v>23</v>
      </c>
      <c r="D1250" t="s">
        <v>19</v>
      </c>
      <c r="E1250">
        <v>6.7</v>
      </c>
      <c r="F1250">
        <v>1.2</v>
      </c>
      <c r="G1250">
        <v>0</v>
      </c>
      <c r="H1250" t="str">
        <f t="shared" si="19"/>
        <v>No Night Usage</v>
      </c>
      <c r="I1250">
        <v>7.1</v>
      </c>
      <c r="J1250" s="3">
        <v>7</v>
      </c>
      <c r="K1250">
        <v>6.9</v>
      </c>
      <c r="L1250" t="s">
        <v>25</v>
      </c>
      <c r="M1250">
        <v>6</v>
      </c>
      <c r="N1250">
        <v>3</v>
      </c>
      <c r="O1250">
        <v>1</v>
      </c>
      <c r="P1250">
        <v>1</v>
      </c>
      <c r="Q1250">
        <v>1</v>
      </c>
      <c r="R1250">
        <v>1</v>
      </c>
      <c r="S1250">
        <v>1</v>
      </c>
      <c r="T1250" t="str">
        <f>IF(mental_health[Sleep_Hours]&lt;5,"Low",IF(mental_health[Sleep_Hours]&lt;7,"Medium","Good"))</f>
        <v>Good</v>
      </c>
      <c r="U1250" t="str">
        <f>IF(mental_health[Stress_Level]&lt;=3,"Low",IF(mental_health[Stress_Level]&lt;=7,"Medium","High"))</f>
        <v>Medium</v>
      </c>
      <c r="V1250" t="str">
        <f>IF(mental_health[Daily_Screen_Time]&lt;=4,"Low",IF(mental_health[Daily_Screen_Time]&lt;=8,"Medium","High"))</f>
        <v>Medium</v>
      </c>
    </row>
    <row r="1251" spans="1:22" x14ac:dyDescent="0.3">
      <c r="A1251">
        <v>1250</v>
      </c>
      <c r="B1251">
        <v>44</v>
      </c>
      <c r="C1251" t="s">
        <v>23</v>
      </c>
      <c r="D1251" t="s">
        <v>24</v>
      </c>
      <c r="E1251">
        <v>5.4</v>
      </c>
      <c r="F1251">
        <v>4.5</v>
      </c>
      <c r="G1251">
        <v>1</v>
      </c>
      <c r="H1251" t="str">
        <f t="shared" si="19"/>
        <v>Night Usage</v>
      </c>
      <c r="I1251">
        <v>7.5</v>
      </c>
      <c r="J1251" s="3">
        <v>7</v>
      </c>
      <c r="K1251">
        <v>5.8</v>
      </c>
      <c r="L1251" t="s">
        <v>25</v>
      </c>
      <c r="M1251">
        <v>3</v>
      </c>
      <c r="N1251">
        <v>0</v>
      </c>
      <c r="O1251">
        <v>1</v>
      </c>
      <c r="P1251">
        <v>1</v>
      </c>
      <c r="Q1251">
        <v>1</v>
      </c>
      <c r="R1251">
        <v>1</v>
      </c>
      <c r="S1251">
        <v>0</v>
      </c>
      <c r="T1251" t="str">
        <f>IF(mental_health[Sleep_Hours]&lt;5,"Low",IF(mental_health[Sleep_Hours]&lt;7,"Medium","Good"))</f>
        <v>Good</v>
      </c>
      <c r="U1251" t="str">
        <f>IF(mental_health[Stress_Level]&lt;=3,"Low",IF(mental_health[Stress_Level]&lt;=7,"Medium","High"))</f>
        <v>Medium</v>
      </c>
      <c r="V1251" t="str">
        <f>IF(mental_health[Daily_Screen_Time]&lt;=4,"Low",IF(mental_health[Daily_Screen_Time]&lt;=8,"Medium","High"))</f>
        <v>Medium</v>
      </c>
    </row>
    <row r="1252" spans="1:22" x14ac:dyDescent="0.3">
      <c r="A1252">
        <v>1251</v>
      </c>
      <c r="B1252">
        <v>49</v>
      </c>
      <c r="C1252" t="s">
        <v>23</v>
      </c>
      <c r="D1252" t="s">
        <v>22</v>
      </c>
      <c r="E1252">
        <v>11.2</v>
      </c>
      <c r="F1252">
        <v>2.1</v>
      </c>
      <c r="G1252">
        <v>0</v>
      </c>
      <c r="H1252" t="str">
        <f t="shared" si="19"/>
        <v>No Night Usage</v>
      </c>
      <c r="I1252">
        <v>6</v>
      </c>
      <c r="J1252" s="3">
        <v>5</v>
      </c>
      <c r="K1252">
        <v>3.9</v>
      </c>
      <c r="L1252" t="s">
        <v>21</v>
      </c>
      <c r="M1252">
        <v>1</v>
      </c>
      <c r="N1252">
        <v>4</v>
      </c>
      <c r="O1252">
        <v>1</v>
      </c>
      <c r="P1252">
        <v>1</v>
      </c>
      <c r="Q1252">
        <v>1</v>
      </c>
      <c r="R1252">
        <v>0</v>
      </c>
      <c r="S1252">
        <v>0</v>
      </c>
      <c r="T1252" t="str">
        <f>IF(mental_health[Sleep_Hours]&lt;5,"Low",IF(mental_health[Sleep_Hours]&lt;7,"Medium","Good"))</f>
        <v>Medium</v>
      </c>
      <c r="U1252" t="str">
        <f>IF(mental_health[Stress_Level]&lt;=3,"Low",IF(mental_health[Stress_Level]&lt;=7,"Medium","High"))</f>
        <v>Medium</v>
      </c>
      <c r="V1252" t="str">
        <f>IF(mental_health[Daily_Screen_Time]&lt;=4,"Low",IF(mental_health[Daily_Screen_Time]&lt;=8,"Medium","High"))</f>
        <v>High</v>
      </c>
    </row>
    <row r="1253" spans="1:22" x14ac:dyDescent="0.3">
      <c r="A1253">
        <v>1252</v>
      </c>
      <c r="B1253">
        <v>38</v>
      </c>
      <c r="C1253" t="s">
        <v>23</v>
      </c>
      <c r="D1253" t="s">
        <v>19</v>
      </c>
      <c r="E1253">
        <v>2.1</v>
      </c>
      <c r="F1253">
        <v>2.2999999999999998</v>
      </c>
      <c r="G1253">
        <v>1</v>
      </c>
      <c r="H1253" t="str">
        <f t="shared" si="19"/>
        <v>Night Usage</v>
      </c>
      <c r="I1253">
        <v>8.4</v>
      </c>
      <c r="J1253" s="3">
        <v>5</v>
      </c>
      <c r="K1253">
        <v>5.6</v>
      </c>
      <c r="L1253" t="s">
        <v>20</v>
      </c>
      <c r="M1253">
        <v>6</v>
      </c>
      <c r="N1253">
        <v>3</v>
      </c>
      <c r="O1253">
        <v>0</v>
      </c>
      <c r="P1253">
        <v>1</v>
      </c>
      <c r="Q1253">
        <v>1</v>
      </c>
      <c r="R1253">
        <v>1</v>
      </c>
      <c r="S1253">
        <v>1</v>
      </c>
      <c r="T1253" t="str">
        <f>IF(mental_health[Sleep_Hours]&lt;5,"Low",IF(mental_health[Sleep_Hours]&lt;7,"Medium","Good"))</f>
        <v>Good</v>
      </c>
      <c r="U1253" t="str">
        <f>IF(mental_health[Stress_Level]&lt;=3,"Low",IF(mental_health[Stress_Level]&lt;=7,"Medium","High"))</f>
        <v>Medium</v>
      </c>
      <c r="V1253" t="str">
        <f>IF(mental_health[Daily_Screen_Time]&lt;=4,"Low",IF(mental_health[Daily_Screen_Time]&lt;=8,"Medium","High"))</f>
        <v>Low</v>
      </c>
    </row>
    <row r="1254" spans="1:22" x14ac:dyDescent="0.3">
      <c r="A1254">
        <v>1253</v>
      </c>
      <c r="B1254">
        <v>52</v>
      </c>
      <c r="C1254" t="s">
        <v>18</v>
      </c>
      <c r="D1254" t="s">
        <v>24</v>
      </c>
      <c r="E1254">
        <v>7.5</v>
      </c>
      <c r="F1254">
        <v>3.6</v>
      </c>
      <c r="G1254">
        <v>0</v>
      </c>
      <c r="H1254" t="str">
        <f t="shared" si="19"/>
        <v>No Night Usage</v>
      </c>
      <c r="I1254">
        <v>8.6</v>
      </c>
      <c r="J1254" s="3">
        <v>10</v>
      </c>
      <c r="K1254">
        <v>5.4</v>
      </c>
      <c r="L1254" t="s">
        <v>21</v>
      </c>
      <c r="M1254">
        <v>4</v>
      </c>
      <c r="N1254">
        <v>2</v>
      </c>
      <c r="O1254">
        <v>0</v>
      </c>
      <c r="P1254">
        <v>1</v>
      </c>
      <c r="Q1254">
        <v>0</v>
      </c>
      <c r="R1254">
        <v>1</v>
      </c>
      <c r="S1254">
        <v>0</v>
      </c>
      <c r="T1254" t="str">
        <f>IF(mental_health[Sleep_Hours]&lt;5,"Low",IF(mental_health[Sleep_Hours]&lt;7,"Medium","Good"))</f>
        <v>Good</v>
      </c>
      <c r="U1254" t="str">
        <f>IF(mental_health[Stress_Level]&lt;=3,"Low",IF(mental_health[Stress_Level]&lt;=7,"Medium","High"))</f>
        <v>High</v>
      </c>
      <c r="V1254" t="str">
        <f>IF(mental_health[Daily_Screen_Time]&lt;=4,"Low",IF(mental_health[Daily_Screen_Time]&lt;=8,"Medium","High"))</f>
        <v>Medium</v>
      </c>
    </row>
    <row r="1255" spans="1:22" x14ac:dyDescent="0.3">
      <c r="A1255">
        <v>1254</v>
      </c>
      <c r="B1255">
        <v>26</v>
      </c>
      <c r="C1255" t="s">
        <v>23</v>
      </c>
      <c r="D1255" t="s">
        <v>24</v>
      </c>
      <c r="E1255">
        <v>9.4</v>
      </c>
      <c r="F1255">
        <v>4</v>
      </c>
      <c r="G1255">
        <v>1</v>
      </c>
      <c r="H1255" t="str">
        <f t="shared" si="19"/>
        <v>Night Usage</v>
      </c>
      <c r="I1255">
        <v>7.8</v>
      </c>
      <c r="J1255" s="3">
        <v>8</v>
      </c>
      <c r="K1255">
        <v>7</v>
      </c>
      <c r="L1255" t="s">
        <v>21</v>
      </c>
      <c r="M1255">
        <v>2</v>
      </c>
      <c r="N1255">
        <v>1</v>
      </c>
      <c r="O1255">
        <v>1</v>
      </c>
      <c r="P1255">
        <v>1</v>
      </c>
      <c r="Q1255">
        <v>0</v>
      </c>
      <c r="R1255">
        <v>0</v>
      </c>
      <c r="S1255">
        <v>1</v>
      </c>
      <c r="T1255" t="str">
        <f>IF(mental_health[Sleep_Hours]&lt;5,"Low",IF(mental_health[Sleep_Hours]&lt;7,"Medium","Good"))</f>
        <v>Good</v>
      </c>
      <c r="U1255" t="str">
        <f>IF(mental_health[Stress_Level]&lt;=3,"Low",IF(mental_health[Stress_Level]&lt;=7,"Medium","High"))</f>
        <v>High</v>
      </c>
      <c r="V1255" t="str">
        <f>IF(mental_health[Daily_Screen_Time]&lt;=4,"Low",IF(mental_health[Daily_Screen_Time]&lt;=8,"Medium","High"))</f>
        <v>High</v>
      </c>
    </row>
    <row r="1256" spans="1:22" x14ac:dyDescent="0.3">
      <c r="A1256">
        <v>1255</v>
      </c>
      <c r="B1256">
        <v>21</v>
      </c>
      <c r="C1256" t="s">
        <v>18</v>
      </c>
      <c r="D1256" t="s">
        <v>24</v>
      </c>
      <c r="E1256">
        <v>6.9</v>
      </c>
      <c r="F1256">
        <v>5.4</v>
      </c>
      <c r="G1256">
        <v>1</v>
      </c>
      <c r="H1256" t="str">
        <f t="shared" si="19"/>
        <v>Night Usage</v>
      </c>
      <c r="I1256">
        <v>6.8</v>
      </c>
      <c r="J1256" s="3">
        <v>7</v>
      </c>
      <c r="K1256">
        <v>8.6999999999999993</v>
      </c>
      <c r="L1256" t="s">
        <v>25</v>
      </c>
      <c r="M1256">
        <v>7</v>
      </c>
      <c r="N1256">
        <v>4</v>
      </c>
      <c r="O1256">
        <v>1</v>
      </c>
      <c r="P1256">
        <v>0</v>
      </c>
      <c r="Q1256">
        <v>1</v>
      </c>
      <c r="R1256">
        <v>1</v>
      </c>
      <c r="S1256">
        <v>1</v>
      </c>
      <c r="T1256" t="str">
        <f>IF(mental_health[Sleep_Hours]&lt;5,"Low",IF(mental_health[Sleep_Hours]&lt;7,"Medium","Good"))</f>
        <v>Medium</v>
      </c>
      <c r="U1256" t="str">
        <f>IF(mental_health[Stress_Level]&lt;=3,"Low",IF(mental_health[Stress_Level]&lt;=7,"Medium","High"))</f>
        <v>Medium</v>
      </c>
      <c r="V1256" t="str">
        <f>IF(mental_health[Daily_Screen_Time]&lt;=4,"Low",IF(mental_health[Daily_Screen_Time]&lt;=8,"Medium","High"))</f>
        <v>Medium</v>
      </c>
    </row>
    <row r="1257" spans="1:22" x14ac:dyDescent="0.3">
      <c r="A1257">
        <v>1256</v>
      </c>
      <c r="B1257">
        <v>33</v>
      </c>
      <c r="C1257" t="s">
        <v>18</v>
      </c>
      <c r="D1257" t="s">
        <v>22</v>
      </c>
      <c r="E1257">
        <v>2.9</v>
      </c>
      <c r="F1257">
        <v>1.5</v>
      </c>
      <c r="G1257">
        <v>0</v>
      </c>
      <c r="H1257" t="str">
        <f t="shared" si="19"/>
        <v>No Night Usage</v>
      </c>
      <c r="I1257">
        <v>4.8</v>
      </c>
      <c r="J1257" s="3">
        <v>7</v>
      </c>
      <c r="K1257">
        <v>11.7</v>
      </c>
      <c r="L1257" t="s">
        <v>21</v>
      </c>
      <c r="M1257">
        <v>10</v>
      </c>
      <c r="N1257">
        <v>2</v>
      </c>
      <c r="O1257">
        <v>0</v>
      </c>
      <c r="P1257">
        <v>1</v>
      </c>
      <c r="Q1257">
        <v>1</v>
      </c>
      <c r="R1257">
        <v>0</v>
      </c>
      <c r="S1257">
        <v>1</v>
      </c>
      <c r="T1257" t="str">
        <f>IF(mental_health[Sleep_Hours]&lt;5,"Low",IF(mental_health[Sleep_Hours]&lt;7,"Medium","Good"))</f>
        <v>Low</v>
      </c>
      <c r="U1257" t="str">
        <f>IF(mental_health[Stress_Level]&lt;=3,"Low",IF(mental_health[Stress_Level]&lt;=7,"Medium","High"))</f>
        <v>Medium</v>
      </c>
      <c r="V1257" t="str">
        <f>IF(mental_health[Daily_Screen_Time]&lt;=4,"Low",IF(mental_health[Daily_Screen_Time]&lt;=8,"Medium","High"))</f>
        <v>Low</v>
      </c>
    </row>
    <row r="1258" spans="1:22" x14ac:dyDescent="0.3">
      <c r="A1258">
        <v>1257</v>
      </c>
      <c r="B1258">
        <v>36</v>
      </c>
      <c r="C1258" t="s">
        <v>18</v>
      </c>
      <c r="D1258" t="s">
        <v>22</v>
      </c>
      <c r="E1258">
        <v>11.7</v>
      </c>
      <c r="F1258">
        <v>4.5</v>
      </c>
      <c r="G1258">
        <v>1</v>
      </c>
      <c r="H1258" t="str">
        <f t="shared" si="19"/>
        <v>Night Usage</v>
      </c>
      <c r="I1258">
        <v>8.9</v>
      </c>
      <c r="J1258" s="3">
        <v>6</v>
      </c>
      <c r="K1258">
        <v>3.4</v>
      </c>
      <c r="L1258" t="s">
        <v>21</v>
      </c>
      <c r="M1258">
        <v>5</v>
      </c>
      <c r="N1258">
        <v>4</v>
      </c>
      <c r="O1258">
        <v>1</v>
      </c>
      <c r="P1258">
        <v>0</v>
      </c>
      <c r="Q1258">
        <v>1</v>
      </c>
      <c r="R1258">
        <v>0</v>
      </c>
      <c r="S1258">
        <v>0</v>
      </c>
      <c r="T1258" t="str">
        <f>IF(mental_health[Sleep_Hours]&lt;5,"Low",IF(mental_health[Sleep_Hours]&lt;7,"Medium","Good"))</f>
        <v>Good</v>
      </c>
      <c r="U1258" t="str">
        <f>IF(mental_health[Stress_Level]&lt;=3,"Low",IF(mental_health[Stress_Level]&lt;=7,"Medium","High"))</f>
        <v>Medium</v>
      </c>
      <c r="V1258" t="str">
        <f>IF(mental_health[Daily_Screen_Time]&lt;=4,"Low",IF(mental_health[Daily_Screen_Time]&lt;=8,"Medium","High"))</f>
        <v>High</v>
      </c>
    </row>
    <row r="1259" spans="1:22" x14ac:dyDescent="0.3">
      <c r="A1259">
        <v>1258</v>
      </c>
      <c r="B1259">
        <v>57</v>
      </c>
      <c r="C1259" t="s">
        <v>18</v>
      </c>
      <c r="D1259" t="s">
        <v>24</v>
      </c>
      <c r="E1259">
        <v>7.2</v>
      </c>
      <c r="F1259">
        <v>2.2999999999999998</v>
      </c>
      <c r="G1259">
        <v>1</v>
      </c>
      <c r="H1259" t="str">
        <f t="shared" si="19"/>
        <v>Night Usage</v>
      </c>
      <c r="I1259">
        <v>4.5999999999999996</v>
      </c>
      <c r="J1259" s="3">
        <v>7</v>
      </c>
      <c r="K1259">
        <v>10.7</v>
      </c>
      <c r="L1259" t="s">
        <v>20</v>
      </c>
      <c r="M1259">
        <v>6</v>
      </c>
      <c r="N1259">
        <v>3</v>
      </c>
      <c r="O1259">
        <v>0</v>
      </c>
      <c r="P1259">
        <v>0</v>
      </c>
      <c r="Q1259">
        <v>1</v>
      </c>
      <c r="R1259">
        <v>1</v>
      </c>
      <c r="S1259">
        <v>1</v>
      </c>
      <c r="T1259" t="str">
        <f>IF(mental_health[Sleep_Hours]&lt;5,"Low",IF(mental_health[Sleep_Hours]&lt;7,"Medium","Good"))</f>
        <v>Low</v>
      </c>
      <c r="U1259" t="str">
        <f>IF(mental_health[Stress_Level]&lt;=3,"Low",IF(mental_health[Stress_Level]&lt;=7,"Medium","High"))</f>
        <v>Medium</v>
      </c>
      <c r="V1259" t="str">
        <f>IF(mental_health[Daily_Screen_Time]&lt;=4,"Low",IF(mental_health[Daily_Screen_Time]&lt;=8,"Medium","High"))</f>
        <v>Medium</v>
      </c>
    </row>
    <row r="1260" spans="1:22" x14ac:dyDescent="0.3">
      <c r="A1260">
        <v>1259</v>
      </c>
      <c r="B1260">
        <v>51</v>
      </c>
      <c r="C1260" t="s">
        <v>23</v>
      </c>
      <c r="D1260" t="s">
        <v>24</v>
      </c>
      <c r="E1260">
        <v>8.1</v>
      </c>
      <c r="F1260">
        <v>5</v>
      </c>
      <c r="G1260">
        <v>1</v>
      </c>
      <c r="H1260" t="str">
        <f t="shared" si="19"/>
        <v>Night Usage</v>
      </c>
      <c r="I1260">
        <v>4.2</v>
      </c>
      <c r="J1260" s="3">
        <v>7</v>
      </c>
      <c r="K1260">
        <v>4.8</v>
      </c>
      <c r="L1260" t="s">
        <v>20</v>
      </c>
      <c r="M1260">
        <v>6</v>
      </c>
      <c r="N1260">
        <v>4</v>
      </c>
      <c r="O1260">
        <v>0</v>
      </c>
      <c r="P1260">
        <v>0</v>
      </c>
      <c r="Q1260">
        <v>1</v>
      </c>
      <c r="R1260">
        <v>1</v>
      </c>
      <c r="S1260">
        <v>1</v>
      </c>
      <c r="T1260" t="str">
        <f>IF(mental_health[Sleep_Hours]&lt;5,"Low",IF(mental_health[Sleep_Hours]&lt;7,"Medium","Good"))</f>
        <v>Low</v>
      </c>
      <c r="U1260" t="str">
        <f>IF(mental_health[Stress_Level]&lt;=3,"Low",IF(mental_health[Stress_Level]&lt;=7,"Medium","High"))</f>
        <v>Medium</v>
      </c>
      <c r="V1260" t="str">
        <f>IF(mental_health[Daily_Screen_Time]&lt;=4,"Low",IF(mental_health[Daily_Screen_Time]&lt;=8,"Medium","High"))</f>
        <v>High</v>
      </c>
    </row>
    <row r="1261" spans="1:22" x14ac:dyDescent="0.3">
      <c r="A1261">
        <v>1260</v>
      </c>
      <c r="B1261">
        <v>56</v>
      </c>
      <c r="C1261" t="s">
        <v>18</v>
      </c>
      <c r="D1261" t="s">
        <v>22</v>
      </c>
      <c r="E1261">
        <v>4.4000000000000004</v>
      </c>
      <c r="F1261">
        <v>5.5</v>
      </c>
      <c r="G1261">
        <v>1</v>
      </c>
      <c r="H1261" t="str">
        <f t="shared" si="19"/>
        <v>Night Usage</v>
      </c>
      <c r="I1261">
        <v>5.7</v>
      </c>
      <c r="J1261" s="3">
        <v>10</v>
      </c>
      <c r="K1261">
        <v>7.9</v>
      </c>
      <c r="L1261" t="s">
        <v>25</v>
      </c>
      <c r="M1261">
        <v>9</v>
      </c>
      <c r="N1261">
        <v>4</v>
      </c>
      <c r="O1261">
        <v>1</v>
      </c>
      <c r="P1261">
        <v>1</v>
      </c>
      <c r="Q1261">
        <v>1</v>
      </c>
      <c r="R1261">
        <v>1</v>
      </c>
      <c r="S1261">
        <v>0</v>
      </c>
      <c r="T1261" t="str">
        <f>IF(mental_health[Sleep_Hours]&lt;5,"Low",IF(mental_health[Sleep_Hours]&lt;7,"Medium","Good"))</f>
        <v>Medium</v>
      </c>
      <c r="U1261" t="str">
        <f>IF(mental_health[Stress_Level]&lt;=3,"Low",IF(mental_health[Stress_Level]&lt;=7,"Medium","High"))</f>
        <v>High</v>
      </c>
      <c r="V1261" t="str">
        <f>IF(mental_health[Daily_Screen_Time]&lt;=4,"Low",IF(mental_health[Daily_Screen_Time]&lt;=8,"Medium","High"))</f>
        <v>Medium</v>
      </c>
    </row>
    <row r="1262" spans="1:22" x14ac:dyDescent="0.3">
      <c r="A1262">
        <v>1261</v>
      </c>
      <c r="B1262">
        <v>53</v>
      </c>
      <c r="C1262" t="s">
        <v>23</v>
      </c>
      <c r="D1262" t="s">
        <v>24</v>
      </c>
      <c r="E1262">
        <v>6.8</v>
      </c>
      <c r="F1262">
        <v>4.9000000000000004</v>
      </c>
      <c r="G1262">
        <v>1</v>
      </c>
      <c r="H1262" t="str">
        <f t="shared" si="19"/>
        <v>Night Usage</v>
      </c>
      <c r="I1262">
        <v>3.3</v>
      </c>
      <c r="J1262" s="3">
        <v>2</v>
      </c>
      <c r="K1262">
        <v>7.5</v>
      </c>
      <c r="L1262" t="s">
        <v>20</v>
      </c>
      <c r="M1262">
        <v>2</v>
      </c>
      <c r="N1262">
        <v>4</v>
      </c>
      <c r="O1262">
        <v>0</v>
      </c>
      <c r="P1262">
        <v>1</v>
      </c>
      <c r="Q1262">
        <v>0</v>
      </c>
      <c r="R1262">
        <v>0</v>
      </c>
      <c r="S1262">
        <v>0</v>
      </c>
      <c r="T1262" t="str">
        <f>IF(mental_health[Sleep_Hours]&lt;5,"Low",IF(mental_health[Sleep_Hours]&lt;7,"Medium","Good"))</f>
        <v>Low</v>
      </c>
      <c r="U1262" t="str">
        <f>IF(mental_health[Stress_Level]&lt;=3,"Low",IF(mental_health[Stress_Level]&lt;=7,"Medium","High"))</f>
        <v>Low</v>
      </c>
      <c r="V1262" t="str">
        <f>IF(mental_health[Daily_Screen_Time]&lt;=4,"Low",IF(mental_health[Daily_Screen_Time]&lt;=8,"Medium","High"))</f>
        <v>Medium</v>
      </c>
    </row>
    <row r="1263" spans="1:22" x14ac:dyDescent="0.3">
      <c r="A1263">
        <v>1262</v>
      </c>
      <c r="B1263">
        <v>49</v>
      </c>
      <c r="C1263" t="s">
        <v>23</v>
      </c>
      <c r="D1263" t="s">
        <v>24</v>
      </c>
      <c r="E1263">
        <v>6.3</v>
      </c>
      <c r="F1263">
        <v>6.2</v>
      </c>
      <c r="G1263">
        <v>0</v>
      </c>
      <c r="H1263" t="str">
        <f t="shared" si="19"/>
        <v>No Night Usage</v>
      </c>
      <c r="I1263">
        <v>8.9</v>
      </c>
      <c r="J1263" s="3">
        <v>10</v>
      </c>
      <c r="K1263">
        <v>7.6</v>
      </c>
      <c r="L1263" t="s">
        <v>21</v>
      </c>
      <c r="M1263">
        <v>6</v>
      </c>
      <c r="N1263">
        <v>0</v>
      </c>
      <c r="O1263">
        <v>0</v>
      </c>
      <c r="P1263">
        <v>1</v>
      </c>
      <c r="Q1263">
        <v>1</v>
      </c>
      <c r="R1263">
        <v>1</v>
      </c>
      <c r="S1263">
        <v>0</v>
      </c>
      <c r="T1263" t="str">
        <f>IF(mental_health[Sleep_Hours]&lt;5,"Low",IF(mental_health[Sleep_Hours]&lt;7,"Medium","Good"))</f>
        <v>Good</v>
      </c>
      <c r="U1263" t="str">
        <f>IF(mental_health[Stress_Level]&lt;=3,"Low",IF(mental_health[Stress_Level]&lt;=7,"Medium","High"))</f>
        <v>High</v>
      </c>
      <c r="V1263" t="str">
        <f>IF(mental_health[Daily_Screen_Time]&lt;=4,"Low",IF(mental_health[Daily_Screen_Time]&lt;=8,"Medium","High"))</f>
        <v>Medium</v>
      </c>
    </row>
    <row r="1264" spans="1:22" x14ac:dyDescent="0.3">
      <c r="A1264">
        <v>1263</v>
      </c>
      <c r="B1264">
        <v>32</v>
      </c>
      <c r="C1264" t="s">
        <v>18</v>
      </c>
      <c r="D1264" t="s">
        <v>22</v>
      </c>
      <c r="E1264">
        <v>2.7</v>
      </c>
      <c r="F1264">
        <v>3.3</v>
      </c>
      <c r="G1264">
        <v>1</v>
      </c>
      <c r="H1264" t="str">
        <f t="shared" si="19"/>
        <v>Night Usage</v>
      </c>
      <c r="I1264">
        <v>6.5</v>
      </c>
      <c r="J1264" s="3">
        <v>2</v>
      </c>
      <c r="K1264">
        <v>9.1999999999999993</v>
      </c>
      <c r="L1264" t="s">
        <v>21</v>
      </c>
      <c r="M1264">
        <v>9</v>
      </c>
      <c r="N1264">
        <v>2</v>
      </c>
      <c r="O1264">
        <v>0</v>
      </c>
      <c r="P1264">
        <v>1</v>
      </c>
      <c r="Q1264">
        <v>0</v>
      </c>
      <c r="R1264">
        <v>0</v>
      </c>
      <c r="S1264">
        <v>1</v>
      </c>
      <c r="T1264" t="str">
        <f>IF(mental_health[Sleep_Hours]&lt;5,"Low",IF(mental_health[Sleep_Hours]&lt;7,"Medium","Good"))</f>
        <v>Medium</v>
      </c>
      <c r="U1264" t="str">
        <f>IF(mental_health[Stress_Level]&lt;=3,"Low",IF(mental_health[Stress_Level]&lt;=7,"Medium","High"))</f>
        <v>Low</v>
      </c>
      <c r="V1264" t="str">
        <f>IF(mental_health[Daily_Screen_Time]&lt;=4,"Low",IF(mental_health[Daily_Screen_Time]&lt;=8,"Medium","High"))</f>
        <v>Low</v>
      </c>
    </row>
    <row r="1265" spans="1:22" x14ac:dyDescent="0.3">
      <c r="A1265">
        <v>1264</v>
      </c>
      <c r="B1265">
        <v>52</v>
      </c>
      <c r="C1265" t="s">
        <v>23</v>
      </c>
      <c r="D1265" t="s">
        <v>24</v>
      </c>
      <c r="E1265">
        <v>3.1</v>
      </c>
      <c r="F1265">
        <v>6.4</v>
      </c>
      <c r="G1265">
        <v>1</v>
      </c>
      <c r="H1265" t="str">
        <f t="shared" si="19"/>
        <v>Night Usage</v>
      </c>
      <c r="I1265">
        <v>6.3</v>
      </c>
      <c r="J1265" s="3">
        <v>10</v>
      </c>
      <c r="K1265">
        <v>5.8</v>
      </c>
      <c r="L1265" t="s">
        <v>21</v>
      </c>
      <c r="M1265">
        <v>4</v>
      </c>
      <c r="N1265">
        <v>3</v>
      </c>
      <c r="O1265">
        <v>0</v>
      </c>
      <c r="P1265">
        <v>1</v>
      </c>
      <c r="Q1265">
        <v>0</v>
      </c>
      <c r="R1265">
        <v>1</v>
      </c>
      <c r="S1265">
        <v>1</v>
      </c>
      <c r="T1265" t="str">
        <f>IF(mental_health[Sleep_Hours]&lt;5,"Low",IF(mental_health[Sleep_Hours]&lt;7,"Medium","Good"))</f>
        <v>Medium</v>
      </c>
      <c r="U1265" t="str">
        <f>IF(mental_health[Stress_Level]&lt;=3,"Low",IF(mental_health[Stress_Level]&lt;=7,"Medium","High"))</f>
        <v>High</v>
      </c>
      <c r="V1265" t="str">
        <f>IF(mental_health[Daily_Screen_Time]&lt;=4,"Low",IF(mental_health[Daily_Screen_Time]&lt;=8,"Medium","High"))</f>
        <v>Low</v>
      </c>
    </row>
    <row r="1266" spans="1:22" x14ac:dyDescent="0.3">
      <c r="A1266">
        <v>1265</v>
      </c>
      <c r="B1266">
        <v>40</v>
      </c>
      <c r="C1266" t="s">
        <v>18</v>
      </c>
      <c r="D1266" t="s">
        <v>24</v>
      </c>
      <c r="E1266">
        <v>10.4</v>
      </c>
      <c r="F1266">
        <v>4</v>
      </c>
      <c r="G1266">
        <v>0</v>
      </c>
      <c r="H1266" t="str">
        <f t="shared" si="19"/>
        <v>No Night Usage</v>
      </c>
      <c r="I1266">
        <v>6.9</v>
      </c>
      <c r="J1266" s="3">
        <v>7</v>
      </c>
      <c r="K1266">
        <v>5.2</v>
      </c>
      <c r="L1266" t="s">
        <v>25</v>
      </c>
      <c r="M1266">
        <v>6</v>
      </c>
      <c r="N1266">
        <v>1</v>
      </c>
      <c r="O1266">
        <v>1</v>
      </c>
      <c r="P1266">
        <v>0</v>
      </c>
      <c r="Q1266">
        <v>1</v>
      </c>
      <c r="R1266">
        <v>0</v>
      </c>
      <c r="S1266">
        <v>0</v>
      </c>
      <c r="T1266" t="str">
        <f>IF(mental_health[Sleep_Hours]&lt;5,"Low",IF(mental_health[Sleep_Hours]&lt;7,"Medium","Good"))</f>
        <v>Medium</v>
      </c>
      <c r="U1266" t="str">
        <f>IF(mental_health[Stress_Level]&lt;=3,"Low",IF(mental_health[Stress_Level]&lt;=7,"Medium","High"))</f>
        <v>Medium</v>
      </c>
      <c r="V1266" t="str">
        <f>IF(mental_health[Daily_Screen_Time]&lt;=4,"Low",IF(mental_health[Daily_Screen_Time]&lt;=8,"Medium","High"))</f>
        <v>High</v>
      </c>
    </row>
    <row r="1267" spans="1:22" x14ac:dyDescent="0.3">
      <c r="A1267">
        <v>1266</v>
      </c>
      <c r="B1267">
        <v>53</v>
      </c>
      <c r="C1267" t="s">
        <v>18</v>
      </c>
      <c r="D1267" t="s">
        <v>24</v>
      </c>
      <c r="E1267">
        <v>4.4000000000000004</v>
      </c>
      <c r="F1267">
        <v>4.4000000000000004</v>
      </c>
      <c r="G1267">
        <v>0</v>
      </c>
      <c r="H1267" t="str">
        <f t="shared" si="19"/>
        <v>No Night Usage</v>
      </c>
      <c r="I1267">
        <v>6</v>
      </c>
      <c r="J1267" s="3">
        <v>10</v>
      </c>
      <c r="K1267">
        <v>10.5</v>
      </c>
      <c r="L1267" t="s">
        <v>20</v>
      </c>
      <c r="M1267">
        <v>7</v>
      </c>
      <c r="N1267">
        <v>3</v>
      </c>
      <c r="O1267">
        <v>1</v>
      </c>
      <c r="P1267">
        <v>0</v>
      </c>
      <c r="Q1267">
        <v>1</v>
      </c>
      <c r="R1267">
        <v>0</v>
      </c>
      <c r="S1267">
        <v>1</v>
      </c>
      <c r="T1267" t="str">
        <f>IF(mental_health[Sleep_Hours]&lt;5,"Low",IF(mental_health[Sleep_Hours]&lt;7,"Medium","Good"))</f>
        <v>Medium</v>
      </c>
      <c r="U1267" t="str">
        <f>IF(mental_health[Stress_Level]&lt;=3,"Low",IF(mental_health[Stress_Level]&lt;=7,"Medium","High"))</f>
        <v>High</v>
      </c>
      <c r="V1267" t="str">
        <f>IF(mental_health[Daily_Screen_Time]&lt;=4,"Low",IF(mental_health[Daily_Screen_Time]&lt;=8,"Medium","High"))</f>
        <v>Medium</v>
      </c>
    </row>
    <row r="1268" spans="1:22" x14ac:dyDescent="0.3">
      <c r="A1268">
        <v>1267</v>
      </c>
      <c r="B1268">
        <v>27</v>
      </c>
      <c r="C1268" t="s">
        <v>23</v>
      </c>
      <c r="D1268" t="s">
        <v>22</v>
      </c>
      <c r="E1268">
        <v>3.9</v>
      </c>
      <c r="F1268">
        <v>5.5</v>
      </c>
      <c r="G1268">
        <v>1</v>
      </c>
      <c r="H1268" t="str">
        <f t="shared" si="19"/>
        <v>Night Usage</v>
      </c>
      <c r="I1268">
        <v>3.2</v>
      </c>
      <c r="J1268" s="3">
        <v>7</v>
      </c>
      <c r="K1268">
        <v>4.2</v>
      </c>
      <c r="L1268" t="s">
        <v>21</v>
      </c>
      <c r="M1268">
        <v>1</v>
      </c>
      <c r="N1268">
        <v>3</v>
      </c>
      <c r="O1268">
        <v>1</v>
      </c>
      <c r="P1268">
        <v>1</v>
      </c>
      <c r="Q1268">
        <v>1</v>
      </c>
      <c r="R1268">
        <v>0</v>
      </c>
      <c r="S1268">
        <v>0</v>
      </c>
      <c r="T1268" t="str">
        <f>IF(mental_health[Sleep_Hours]&lt;5,"Low",IF(mental_health[Sleep_Hours]&lt;7,"Medium","Good"))</f>
        <v>Low</v>
      </c>
      <c r="U1268" t="str">
        <f>IF(mental_health[Stress_Level]&lt;=3,"Low",IF(mental_health[Stress_Level]&lt;=7,"Medium","High"))</f>
        <v>Medium</v>
      </c>
      <c r="V1268" t="str">
        <f>IF(mental_health[Daily_Screen_Time]&lt;=4,"Low",IF(mental_health[Daily_Screen_Time]&lt;=8,"Medium","High"))</f>
        <v>Low</v>
      </c>
    </row>
    <row r="1269" spans="1:22" x14ac:dyDescent="0.3">
      <c r="A1269">
        <v>1268</v>
      </c>
      <c r="B1269">
        <v>38</v>
      </c>
      <c r="C1269" t="s">
        <v>23</v>
      </c>
      <c r="D1269" t="s">
        <v>24</v>
      </c>
      <c r="E1269">
        <v>7</v>
      </c>
      <c r="F1269">
        <v>1.1000000000000001</v>
      </c>
      <c r="G1269">
        <v>0</v>
      </c>
      <c r="H1269" t="str">
        <f t="shared" si="19"/>
        <v>No Night Usage</v>
      </c>
      <c r="I1269">
        <v>6.7</v>
      </c>
      <c r="J1269" s="3">
        <v>7</v>
      </c>
      <c r="K1269">
        <v>3.8</v>
      </c>
      <c r="L1269" t="s">
        <v>20</v>
      </c>
      <c r="M1269">
        <v>5</v>
      </c>
      <c r="N1269">
        <v>0</v>
      </c>
      <c r="O1269">
        <v>1</v>
      </c>
      <c r="P1269">
        <v>0</v>
      </c>
      <c r="Q1269">
        <v>0</v>
      </c>
      <c r="R1269">
        <v>1</v>
      </c>
      <c r="S1269">
        <v>0</v>
      </c>
      <c r="T1269" t="str">
        <f>IF(mental_health[Sleep_Hours]&lt;5,"Low",IF(mental_health[Sleep_Hours]&lt;7,"Medium","Good"))</f>
        <v>Medium</v>
      </c>
      <c r="U1269" t="str">
        <f>IF(mental_health[Stress_Level]&lt;=3,"Low",IF(mental_health[Stress_Level]&lt;=7,"Medium","High"))</f>
        <v>Medium</v>
      </c>
      <c r="V1269" t="str">
        <f>IF(mental_health[Daily_Screen_Time]&lt;=4,"Low",IF(mental_health[Daily_Screen_Time]&lt;=8,"Medium","High"))</f>
        <v>Medium</v>
      </c>
    </row>
    <row r="1270" spans="1:22" x14ac:dyDescent="0.3">
      <c r="A1270">
        <v>1269</v>
      </c>
      <c r="B1270">
        <v>57</v>
      </c>
      <c r="C1270" t="s">
        <v>18</v>
      </c>
      <c r="D1270" t="s">
        <v>22</v>
      </c>
      <c r="E1270">
        <v>9.6999999999999993</v>
      </c>
      <c r="F1270">
        <v>5.6</v>
      </c>
      <c r="G1270">
        <v>0</v>
      </c>
      <c r="H1270" t="str">
        <f t="shared" si="19"/>
        <v>No Night Usage</v>
      </c>
      <c r="I1270">
        <v>7.3</v>
      </c>
      <c r="J1270" s="3">
        <v>5</v>
      </c>
      <c r="K1270">
        <v>2.2000000000000002</v>
      </c>
      <c r="L1270" t="s">
        <v>20</v>
      </c>
      <c r="M1270">
        <v>4</v>
      </c>
      <c r="N1270">
        <v>0</v>
      </c>
      <c r="O1270">
        <v>1</v>
      </c>
      <c r="P1270">
        <v>0</v>
      </c>
      <c r="Q1270">
        <v>1</v>
      </c>
      <c r="R1270">
        <v>1</v>
      </c>
      <c r="S1270">
        <v>0</v>
      </c>
      <c r="T1270" t="str">
        <f>IF(mental_health[Sleep_Hours]&lt;5,"Low",IF(mental_health[Sleep_Hours]&lt;7,"Medium","Good"))</f>
        <v>Good</v>
      </c>
      <c r="U1270" t="str">
        <f>IF(mental_health[Stress_Level]&lt;=3,"Low",IF(mental_health[Stress_Level]&lt;=7,"Medium","High"))</f>
        <v>Medium</v>
      </c>
      <c r="V1270" t="str">
        <f>IF(mental_health[Daily_Screen_Time]&lt;=4,"Low",IF(mental_health[Daily_Screen_Time]&lt;=8,"Medium","High"))</f>
        <v>High</v>
      </c>
    </row>
    <row r="1271" spans="1:22" x14ac:dyDescent="0.3">
      <c r="A1271">
        <v>1270</v>
      </c>
      <c r="B1271">
        <v>37</v>
      </c>
      <c r="C1271" t="s">
        <v>23</v>
      </c>
      <c r="D1271" t="s">
        <v>22</v>
      </c>
      <c r="E1271">
        <v>2.6</v>
      </c>
      <c r="F1271">
        <v>5.3</v>
      </c>
      <c r="G1271">
        <v>0</v>
      </c>
      <c r="H1271" t="str">
        <f t="shared" si="19"/>
        <v>No Night Usage</v>
      </c>
      <c r="I1271">
        <v>5.5</v>
      </c>
      <c r="J1271" s="3">
        <v>1</v>
      </c>
      <c r="K1271">
        <v>4.0999999999999996</v>
      </c>
      <c r="L1271" t="s">
        <v>20</v>
      </c>
      <c r="M1271">
        <v>10</v>
      </c>
      <c r="N1271">
        <v>4</v>
      </c>
      <c r="O1271">
        <v>0</v>
      </c>
      <c r="P1271">
        <v>1</v>
      </c>
      <c r="Q1271">
        <v>1</v>
      </c>
      <c r="R1271">
        <v>1</v>
      </c>
      <c r="S1271">
        <v>0</v>
      </c>
      <c r="T1271" t="str">
        <f>IF(mental_health[Sleep_Hours]&lt;5,"Low",IF(mental_health[Sleep_Hours]&lt;7,"Medium","Good"))</f>
        <v>Medium</v>
      </c>
      <c r="U1271" t="str">
        <f>IF(mental_health[Stress_Level]&lt;=3,"Low",IF(mental_health[Stress_Level]&lt;=7,"Medium","High"))</f>
        <v>Low</v>
      </c>
      <c r="V1271" t="str">
        <f>IF(mental_health[Daily_Screen_Time]&lt;=4,"Low",IF(mental_health[Daily_Screen_Time]&lt;=8,"Medium","High"))</f>
        <v>Low</v>
      </c>
    </row>
    <row r="1272" spans="1:22" x14ac:dyDescent="0.3">
      <c r="A1272">
        <v>1271</v>
      </c>
      <c r="B1272">
        <v>36</v>
      </c>
      <c r="C1272" t="s">
        <v>23</v>
      </c>
      <c r="D1272" t="s">
        <v>19</v>
      </c>
      <c r="E1272">
        <v>7.8</v>
      </c>
      <c r="F1272">
        <v>3.2</v>
      </c>
      <c r="G1272">
        <v>0</v>
      </c>
      <c r="H1272" t="str">
        <f t="shared" si="19"/>
        <v>No Night Usage</v>
      </c>
      <c r="I1272">
        <v>7.5</v>
      </c>
      <c r="J1272" s="3">
        <v>2</v>
      </c>
      <c r="K1272">
        <v>7.2</v>
      </c>
      <c r="L1272" t="s">
        <v>20</v>
      </c>
      <c r="M1272">
        <v>2</v>
      </c>
      <c r="N1272">
        <v>3</v>
      </c>
      <c r="O1272">
        <v>0</v>
      </c>
      <c r="P1272">
        <v>0</v>
      </c>
      <c r="Q1272">
        <v>0</v>
      </c>
      <c r="R1272">
        <v>0</v>
      </c>
      <c r="S1272">
        <v>1</v>
      </c>
      <c r="T1272" t="str">
        <f>IF(mental_health[Sleep_Hours]&lt;5,"Low",IF(mental_health[Sleep_Hours]&lt;7,"Medium","Good"))</f>
        <v>Good</v>
      </c>
      <c r="U1272" t="str">
        <f>IF(mental_health[Stress_Level]&lt;=3,"Low",IF(mental_health[Stress_Level]&lt;=7,"Medium","High"))</f>
        <v>Low</v>
      </c>
      <c r="V1272" t="str">
        <f>IF(mental_health[Daily_Screen_Time]&lt;=4,"Low",IF(mental_health[Daily_Screen_Time]&lt;=8,"Medium","High"))</f>
        <v>Medium</v>
      </c>
    </row>
    <row r="1273" spans="1:22" x14ac:dyDescent="0.3">
      <c r="A1273">
        <v>1272</v>
      </c>
      <c r="B1273">
        <v>42</v>
      </c>
      <c r="C1273" t="s">
        <v>23</v>
      </c>
      <c r="D1273" t="s">
        <v>19</v>
      </c>
      <c r="E1273">
        <v>3.2</v>
      </c>
      <c r="F1273">
        <v>1.6</v>
      </c>
      <c r="G1273">
        <v>0</v>
      </c>
      <c r="H1273" t="str">
        <f t="shared" si="19"/>
        <v>No Night Usage</v>
      </c>
      <c r="I1273">
        <v>4.4000000000000004</v>
      </c>
      <c r="J1273" s="3">
        <v>9</v>
      </c>
      <c r="K1273">
        <v>7.4</v>
      </c>
      <c r="L1273" t="s">
        <v>25</v>
      </c>
      <c r="M1273">
        <v>2</v>
      </c>
      <c r="N1273">
        <v>2</v>
      </c>
      <c r="O1273">
        <v>0</v>
      </c>
      <c r="P1273">
        <v>0</v>
      </c>
      <c r="Q1273">
        <v>1</v>
      </c>
      <c r="R1273">
        <v>1</v>
      </c>
      <c r="S1273">
        <v>1</v>
      </c>
      <c r="T1273" t="str">
        <f>IF(mental_health[Sleep_Hours]&lt;5,"Low",IF(mental_health[Sleep_Hours]&lt;7,"Medium","Good"))</f>
        <v>Low</v>
      </c>
      <c r="U1273" t="str">
        <f>IF(mental_health[Stress_Level]&lt;=3,"Low",IF(mental_health[Stress_Level]&lt;=7,"Medium","High"))</f>
        <v>High</v>
      </c>
      <c r="V1273" t="str">
        <f>IF(mental_health[Daily_Screen_Time]&lt;=4,"Low",IF(mental_health[Daily_Screen_Time]&lt;=8,"Medium","High"))</f>
        <v>Low</v>
      </c>
    </row>
    <row r="1274" spans="1:22" x14ac:dyDescent="0.3">
      <c r="A1274">
        <v>1273</v>
      </c>
      <c r="B1274">
        <v>46</v>
      </c>
      <c r="C1274" t="s">
        <v>18</v>
      </c>
      <c r="D1274" t="s">
        <v>24</v>
      </c>
      <c r="E1274">
        <v>2.4</v>
      </c>
      <c r="F1274">
        <v>1.6</v>
      </c>
      <c r="G1274">
        <v>0</v>
      </c>
      <c r="H1274" t="str">
        <f t="shared" si="19"/>
        <v>No Night Usage</v>
      </c>
      <c r="I1274">
        <v>4.3</v>
      </c>
      <c r="J1274" s="3">
        <v>8</v>
      </c>
      <c r="K1274">
        <v>4.5</v>
      </c>
      <c r="L1274" t="s">
        <v>25</v>
      </c>
      <c r="M1274">
        <v>2</v>
      </c>
      <c r="N1274">
        <v>0</v>
      </c>
      <c r="O1274">
        <v>0</v>
      </c>
      <c r="P1274">
        <v>1</v>
      </c>
      <c r="Q1274">
        <v>0</v>
      </c>
      <c r="R1274">
        <v>0</v>
      </c>
      <c r="S1274">
        <v>1</v>
      </c>
      <c r="T1274" t="str">
        <f>IF(mental_health[Sleep_Hours]&lt;5,"Low",IF(mental_health[Sleep_Hours]&lt;7,"Medium","Good"))</f>
        <v>Low</v>
      </c>
      <c r="U1274" t="str">
        <f>IF(mental_health[Stress_Level]&lt;=3,"Low",IF(mental_health[Stress_Level]&lt;=7,"Medium","High"))</f>
        <v>High</v>
      </c>
      <c r="V1274" t="str">
        <f>IF(mental_health[Daily_Screen_Time]&lt;=4,"Low",IF(mental_health[Daily_Screen_Time]&lt;=8,"Medium","High"))</f>
        <v>Low</v>
      </c>
    </row>
    <row r="1275" spans="1:22" x14ac:dyDescent="0.3">
      <c r="A1275">
        <v>1274</v>
      </c>
      <c r="B1275">
        <v>21</v>
      </c>
      <c r="C1275" t="s">
        <v>18</v>
      </c>
      <c r="D1275" t="s">
        <v>22</v>
      </c>
      <c r="E1275">
        <v>2.5</v>
      </c>
      <c r="F1275">
        <v>7.5</v>
      </c>
      <c r="G1275">
        <v>1</v>
      </c>
      <c r="H1275" t="str">
        <f t="shared" si="19"/>
        <v>Night Usage</v>
      </c>
      <c r="I1275">
        <v>4</v>
      </c>
      <c r="J1275" s="3">
        <v>8</v>
      </c>
      <c r="K1275">
        <v>2.7</v>
      </c>
      <c r="L1275" t="s">
        <v>25</v>
      </c>
      <c r="M1275">
        <v>7</v>
      </c>
      <c r="N1275">
        <v>0</v>
      </c>
      <c r="O1275">
        <v>1</v>
      </c>
      <c r="P1275">
        <v>0</v>
      </c>
      <c r="Q1275">
        <v>0</v>
      </c>
      <c r="R1275">
        <v>0</v>
      </c>
      <c r="S1275">
        <v>0</v>
      </c>
      <c r="T1275" t="str">
        <f>IF(mental_health[Sleep_Hours]&lt;5,"Low",IF(mental_health[Sleep_Hours]&lt;7,"Medium","Good"))</f>
        <v>Low</v>
      </c>
      <c r="U1275" t="str">
        <f>IF(mental_health[Stress_Level]&lt;=3,"Low",IF(mental_health[Stress_Level]&lt;=7,"Medium","High"))</f>
        <v>High</v>
      </c>
      <c r="V1275" t="str">
        <f>IF(mental_health[Daily_Screen_Time]&lt;=4,"Low",IF(mental_health[Daily_Screen_Time]&lt;=8,"Medium","High"))</f>
        <v>Low</v>
      </c>
    </row>
    <row r="1276" spans="1:22" x14ac:dyDescent="0.3">
      <c r="A1276">
        <v>1275</v>
      </c>
      <c r="B1276">
        <v>42</v>
      </c>
      <c r="C1276" t="s">
        <v>23</v>
      </c>
      <c r="D1276" t="s">
        <v>19</v>
      </c>
      <c r="E1276">
        <v>10.3</v>
      </c>
      <c r="F1276">
        <v>5.8</v>
      </c>
      <c r="G1276">
        <v>1</v>
      </c>
      <c r="H1276" t="str">
        <f t="shared" si="19"/>
        <v>Night Usage</v>
      </c>
      <c r="I1276">
        <v>5.2</v>
      </c>
      <c r="J1276" s="3">
        <v>10</v>
      </c>
      <c r="K1276">
        <v>9.4</v>
      </c>
      <c r="L1276" t="s">
        <v>21</v>
      </c>
      <c r="M1276">
        <v>4</v>
      </c>
      <c r="N1276">
        <v>2</v>
      </c>
      <c r="O1276">
        <v>1</v>
      </c>
      <c r="P1276">
        <v>1</v>
      </c>
      <c r="Q1276">
        <v>1</v>
      </c>
      <c r="R1276">
        <v>1</v>
      </c>
      <c r="S1276">
        <v>1</v>
      </c>
      <c r="T1276" t="str">
        <f>IF(mental_health[Sleep_Hours]&lt;5,"Low",IF(mental_health[Sleep_Hours]&lt;7,"Medium","Good"))</f>
        <v>Medium</v>
      </c>
      <c r="U1276" t="str">
        <f>IF(mental_health[Stress_Level]&lt;=3,"Low",IF(mental_health[Stress_Level]&lt;=7,"Medium","High"))</f>
        <v>High</v>
      </c>
      <c r="V1276" t="str">
        <f>IF(mental_health[Daily_Screen_Time]&lt;=4,"Low",IF(mental_health[Daily_Screen_Time]&lt;=8,"Medium","High"))</f>
        <v>High</v>
      </c>
    </row>
    <row r="1277" spans="1:22" x14ac:dyDescent="0.3">
      <c r="A1277">
        <v>1276</v>
      </c>
      <c r="B1277">
        <v>55</v>
      </c>
      <c r="C1277" t="s">
        <v>23</v>
      </c>
      <c r="D1277" t="s">
        <v>24</v>
      </c>
      <c r="E1277">
        <v>3.2</v>
      </c>
      <c r="F1277">
        <v>1.9</v>
      </c>
      <c r="G1277">
        <v>0</v>
      </c>
      <c r="H1277" t="str">
        <f t="shared" si="19"/>
        <v>No Night Usage</v>
      </c>
      <c r="I1277">
        <v>8.1</v>
      </c>
      <c r="J1277" s="3">
        <v>1</v>
      </c>
      <c r="K1277">
        <v>9.6</v>
      </c>
      <c r="L1277" t="s">
        <v>21</v>
      </c>
      <c r="M1277">
        <v>6</v>
      </c>
      <c r="N1277">
        <v>0</v>
      </c>
      <c r="O1277">
        <v>0</v>
      </c>
      <c r="P1277">
        <v>1</v>
      </c>
      <c r="Q1277">
        <v>0</v>
      </c>
      <c r="R1277">
        <v>0</v>
      </c>
      <c r="S1277">
        <v>0</v>
      </c>
      <c r="T1277" t="str">
        <f>IF(mental_health[Sleep_Hours]&lt;5,"Low",IF(mental_health[Sleep_Hours]&lt;7,"Medium","Good"))</f>
        <v>Good</v>
      </c>
      <c r="U1277" t="str">
        <f>IF(mental_health[Stress_Level]&lt;=3,"Low",IF(mental_health[Stress_Level]&lt;=7,"Medium","High"))</f>
        <v>Low</v>
      </c>
      <c r="V1277" t="str">
        <f>IF(mental_health[Daily_Screen_Time]&lt;=4,"Low",IF(mental_health[Daily_Screen_Time]&lt;=8,"Medium","High"))</f>
        <v>Low</v>
      </c>
    </row>
    <row r="1278" spans="1:22" x14ac:dyDescent="0.3">
      <c r="A1278">
        <v>1277</v>
      </c>
      <c r="B1278">
        <v>49</v>
      </c>
      <c r="C1278" t="s">
        <v>23</v>
      </c>
      <c r="D1278" t="s">
        <v>19</v>
      </c>
      <c r="E1278">
        <v>2.5</v>
      </c>
      <c r="F1278">
        <v>3.5</v>
      </c>
      <c r="G1278">
        <v>0</v>
      </c>
      <c r="H1278" t="str">
        <f t="shared" si="19"/>
        <v>No Night Usage</v>
      </c>
      <c r="I1278">
        <v>8</v>
      </c>
      <c r="J1278" s="3">
        <v>6</v>
      </c>
      <c r="K1278">
        <v>12</v>
      </c>
      <c r="L1278" t="s">
        <v>21</v>
      </c>
      <c r="M1278">
        <v>7</v>
      </c>
      <c r="N1278">
        <v>2</v>
      </c>
      <c r="O1278">
        <v>1</v>
      </c>
      <c r="P1278">
        <v>1</v>
      </c>
      <c r="Q1278">
        <v>0</v>
      </c>
      <c r="R1278">
        <v>1</v>
      </c>
      <c r="S1278">
        <v>0</v>
      </c>
      <c r="T1278" t="str">
        <f>IF(mental_health[Sleep_Hours]&lt;5,"Low",IF(mental_health[Sleep_Hours]&lt;7,"Medium","Good"))</f>
        <v>Good</v>
      </c>
      <c r="U1278" t="str">
        <f>IF(mental_health[Stress_Level]&lt;=3,"Low",IF(mental_health[Stress_Level]&lt;=7,"Medium","High"))</f>
        <v>Medium</v>
      </c>
      <c r="V1278" t="str">
        <f>IF(mental_health[Daily_Screen_Time]&lt;=4,"Low",IF(mental_health[Daily_Screen_Time]&lt;=8,"Medium","High"))</f>
        <v>Low</v>
      </c>
    </row>
    <row r="1279" spans="1:22" x14ac:dyDescent="0.3">
      <c r="A1279">
        <v>1278</v>
      </c>
      <c r="B1279">
        <v>27</v>
      </c>
      <c r="C1279" t="s">
        <v>23</v>
      </c>
      <c r="D1279" t="s">
        <v>19</v>
      </c>
      <c r="E1279">
        <v>6.4</v>
      </c>
      <c r="F1279">
        <v>5.0999999999999996</v>
      </c>
      <c r="G1279">
        <v>1</v>
      </c>
      <c r="H1279" t="str">
        <f t="shared" si="19"/>
        <v>Night Usage</v>
      </c>
      <c r="I1279">
        <v>5.3</v>
      </c>
      <c r="J1279" s="3">
        <v>9</v>
      </c>
      <c r="K1279">
        <v>11</v>
      </c>
      <c r="L1279" t="s">
        <v>25</v>
      </c>
      <c r="M1279">
        <v>9</v>
      </c>
      <c r="N1279">
        <v>1</v>
      </c>
      <c r="O1279">
        <v>0</v>
      </c>
      <c r="P1279">
        <v>0</v>
      </c>
      <c r="Q1279">
        <v>0</v>
      </c>
      <c r="R1279">
        <v>1</v>
      </c>
      <c r="S1279">
        <v>0</v>
      </c>
      <c r="T1279" t="str">
        <f>IF(mental_health[Sleep_Hours]&lt;5,"Low",IF(mental_health[Sleep_Hours]&lt;7,"Medium","Good"))</f>
        <v>Medium</v>
      </c>
      <c r="U1279" t="str">
        <f>IF(mental_health[Stress_Level]&lt;=3,"Low",IF(mental_health[Stress_Level]&lt;=7,"Medium","High"))</f>
        <v>High</v>
      </c>
      <c r="V1279" t="str">
        <f>IF(mental_health[Daily_Screen_Time]&lt;=4,"Low",IF(mental_health[Daily_Screen_Time]&lt;=8,"Medium","High"))</f>
        <v>Medium</v>
      </c>
    </row>
    <row r="1280" spans="1:22" x14ac:dyDescent="0.3">
      <c r="A1280">
        <v>1279</v>
      </c>
      <c r="B1280">
        <v>22</v>
      </c>
      <c r="C1280" t="s">
        <v>23</v>
      </c>
      <c r="D1280" t="s">
        <v>22</v>
      </c>
      <c r="E1280">
        <v>10.4</v>
      </c>
      <c r="F1280">
        <v>6.8</v>
      </c>
      <c r="G1280">
        <v>0</v>
      </c>
      <c r="H1280" t="str">
        <f t="shared" si="19"/>
        <v>No Night Usage</v>
      </c>
      <c r="I1280">
        <v>6.5</v>
      </c>
      <c r="J1280" s="3">
        <v>8</v>
      </c>
      <c r="K1280">
        <v>11.3</v>
      </c>
      <c r="L1280" t="s">
        <v>20</v>
      </c>
      <c r="M1280">
        <v>2</v>
      </c>
      <c r="N1280">
        <v>2</v>
      </c>
      <c r="O1280">
        <v>0</v>
      </c>
      <c r="P1280">
        <v>0</v>
      </c>
      <c r="Q1280">
        <v>1</v>
      </c>
      <c r="R1280">
        <v>0</v>
      </c>
      <c r="S1280">
        <v>0</v>
      </c>
      <c r="T1280" t="str">
        <f>IF(mental_health[Sleep_Hours]&lt;5,"Low",IF(mental_health[Sleep_Hours]&lt;7,"Medium","Good"))</f>
        <v>Medium</v>
      </c>
      <c r="U1280" t="str">
        <f>IF(mental_health[Stress_Level]&lt;=3,"Low",IF(mental_health[Stress_Level]&lt;=7,"Medium","High"))</f>
        <v>High</v>
      </c>
      <c r="V1280" t="str">
        <f>IF(mental_health[Daily_Screen_Time]&lt;=4,"Low",IF(mental_health[Daily_Screen_Time]&lt;=8,"Medium","High"))</f>
        <v>High</v>
      </c>
    </row>
    <row r="1281" spans="1:22" x14ac:dyDescent="0.3">
      <c r="A1281">
        <v>1280</v>
      </c>
      <c r="B1281">
        <v>25</v>
      </c>
      <c r="C1281" t="s">
        <v>18</v>
      </c>
      <c r="D1281" t="s">
        <v>22</v>
      </c>
      <c r="E1281">
        <v>4.5999999999999996</v>
      </c>
      <c r="F1281">
        <v>1.3</v>
      </c>
      <c r="G1281">
        <v>1</v>
      </c>
      <c r="H1281" t="str">
        <f t="shared" si="19"/>
        <v>Night Usage</v>
      </c>
      <c r="I1281">
        <v>7.3</v>
      </c>
      <c r="J1281" s="3">
        <v>3</v>
      </c>
      <c r="K1281">
        <v>10</v>
      </c>
      <c r="L1281" t="s">
        <v>25</v>
      </c>
      <c r="M1281">
        <v>10</v>
      </c>
      <c r="N1281">
        <v>1</v>
      </c>
      <c r="O1281">
        <v>1</v>
      </c>
      <c r="P1281">
        <v>0</v>
      </c>
      <c r="Q1281">
        <v>0</v>
      </c>
      <c r="R1281">
        <v>0</v>
      </c>
      <c r="S1281">
        <v>0</v>
      </c>
      <c r="T1281" t="str">
        <f>IF(mental_health[Sleep_Hours]&lt;5,"Low",IF(mental_health[Sleep_Hours]&lt;7,"Medium","Good"))</f>
        <v>Good</v>
      </c>
      <c r="U1281" t="str">
        <f>IF(mental_health[Stress_Level]&lt;=3,"Low",IF(mental_health[Stress_Level]&lt;=7,"Medium","High"))</f>
        <v>Low</v>
      </c>
      <c r="V1281" t="str">
        <f>IF(mental_health[Daily_Screen_Time]&lt;=4,"Low",IF(mental_health[Daily_Screen_Time]&lt;=8,"Medium","High"))</f>
        <v>Medium</v>
      </c>
    </row>
    <row r="1282" spans="1:22" x14ac:dyDescent="0.3">
      <c r="A1282">
        <v>1281</v>
      </c>
      <c r="B1282">
        <v>32</v>
      </c>
      <c r="C1282" t="s">
        <v>23</v>
      </c>
      <c r="D1282" t="s">
        <v>19</v>
      </c>
      <c r="E1282">
        <v>6.2</v>
      </c>
      <c r="F1282">
        <v>2.7</v>
      </c>
      <c r="G1282">
        <v>0</v>
      </c>
      <c r="H1282" t="str">
        <f t="shared" ref="H1282:H1345" si="20">IF(G1282=1,"Night Usage","No Night Usage")</f>
        <v>No Night Usage</v>
      </c>
      <c r="I1282">
        <v>4.4000000000000004</v>
      </c>
      <c r="J1282" s="3">
        <v>4</v>
      </c>
      <c r="K1282">
        <v>8.1999999999999993</v>
      </c>
      <c r="L1282" t="s">
        <v>21</v>
      </c>
      <c r="M1282">
        <v>9</v>
      </c>
      <c r="N1282">
        <v>4</v>
      </c>
      <c r="O1282">
        <v>1</v>
      </c>
      <c r="P1282">
        <v>1</v>
      </c>
      <c r="Q1282">
        <v>1</v>
      </c>
      <c r="R1282">
        <v>1</v>
      </c>
      <c r="S1282">
        <v>0</v>
      </c>
      <c r="T1282" t="str">
        <f>IF(mental_health[Sleep_Hours]&lt;5,"Low",IF(mental_health[Sleep_Hours]&lt;7,"Medium","Good"))</f>
        <v>Low</v>
      </c>
      <c r="U1282" t="str">
        <f>IF(mental_health[Stress_Level]&lt;=3,"Low",IF(mental_health[Stress_Level]&lt;=7,"Medium","High"))</f>
        <v>Medium</v>
      </c>
      <c r="V1282" t="str">
        <f>IF(mental_health[Daily_Screen_Time]&lt;=4,"Low",IF(mental_health[Daily_Screen_Time]&lt;=8,"Medium","High"))</f>
        <v>Medium</v>
      </c>
    </row>
    <row r="1283" spans="1:22" x14ac:dyDescent="0.3">
      <c r="A1283">
        <v>1282</v>
      </c>
      <c r="B1283">
        <v>41</v>
      </c>
      <c r="C1283" t="s">
        <v>18</v>
      </c>
      <c r="D1283" t="s">
        <v>19</v>
      </c>
      <c r="E1283">
        <v>2.4</v>
      </c>
      <c r="F1283">
        <v>7.2</v>
      </c>
      <c r="G1283">
        <v>1</v>
      </c>
      <c r="H1283" t="str">
        <f t="shared" si="20"/>
        <v>Night Usage</v>
      </c>
      <c r="I1283">
        <v>4</v>
      </c>
      <c r="J1283" s="3">
        <v>3</v>
      </c>
      <c r="K1283">
        <v>3.3</v>
      </c>
      <c r="L1283" t="s">
        <v>21</v>
      </c>
      <c r="M1283">
        <v>5</v>
      </c>
      <c r="N1283">
        <v>4</v>
      </c>
      <c r="O1283">
        <v>1</v>
      </c>
      <c r="P1283">
        <v>0</v>
      </c>
      <c r="Q1283">
        <v>0</v>
      </c>
      <c r="R1283">
        <v>0</v>
      </c>
      <c r="S1283">
        <v>0</v>
      </c>
      <c r="T1283" t="str">
        <f>IF(mental_health[Sleep_Hours]&lt;5,"Low",IF(mental_health[Sleep_Hours]&lt;7,"Medium","Good"))</f>
        <v>Low</v>
      </c>
      <c r="U1283" t="str">
        <f>IF(mental_health[Stress_Level]&lt;=3,"Low",IF(mental_health[Stress_Level]&lt;=7,"Medium","High"))</f>
        <v>Low</v>
      </c>
      <c r="V1283" t="str">
        <f>IF(mental_health[Daily_Screen_Time]&lt;=4,"Low",IF(mental_health[Daily_Screen_Time]&lt;=8,"Medium","High"))</f>
        <v>Low</v>
      </c>
    </row>
    <row r="1284" spans="1:22" x14ac:dyDescent="0.3">
      <c r="A1284">
        <v>1283</v>
      </c>
      <c r="B1284">
        <v>36</v>
      </c>
      <c r="C1284" t="s">
        <v>23</v>
      </c>
      <c r="D1284" t="s">
        <v>22</v>
      </c>
      <c r="E1284">
        <v>6.5</v>
      </c>
      <c r="F1284">
        <v>1.1000000000000001</v>
      </c>
      <c r="G1284">
        <v>1</v>
      </c>
      <c r="H1284" t="str">
        <f t="shared" si="20"/>
        <v>Night Usage</v>
      </c>
      <c r="I1284">
        <v>8.8000000000000007</v>
      </c>
      <c r="J1284" s="3">
        <v>6</v>
      </c>
      <c r="K1284">
        <v>8.1999999999999993</v>
      </c>
      <c r="L1284" t="s">
        <v>20</v>
      </c>
      <c r="M1284">
        <v>6</v>
      </c>
      <c r="N1284">
        <v>0</v>
      </c>
      <c r="O1284">
        <v>0</v>
      </c>
      <c r="P1284">
        <v>0</v>
      </c>
      <c r="Q1284">
        <v>0</v>
      </c>
      <c r="R1284">
        <v>0</v>
      </c>
      <c r="S1284">
        <v>0</v>
      </c>
      <c r="T1284" t="str">
        <f>IF(mental_health[Sleep_Hours]&lt;5,"Low",IF(mental_health[Sleep_Hours]&lt;7,"Medium","Good"))</f>
        <v>Good</v>
      </c>
      <c r="U1284" t="str">
        <f>IF(mental_health[Stress_Level]&lt;=3,"Low",IF(mental_health[Stress_Level]&lt;=7,"Medium","High"))</f>
        <v>Medium</v>
      </c>
      <c r="V1284" t="str">
        <f>IF(mental_health[Daily_Screen_Time]&lt;=4,"Low",IF(mental_health[Daily_Screen_Time]&lt;=8,"Medium","High"))</f>
        <v>Medium</v>
      </c>
    </row>
    <row r="1285" spans="1:22" x14ac:dyDescent="0.3">
      <c r="A1285">
        <v>1284</v>
      </c>
      <c r="B1285">
        <v>43</v>
      </c>
      <c r="C1285" t="s">
        <v>18</v>
      </c>
      <c r="D1285" t="s">
        <v>24</v>
      </c>
      <c r="E1285">
        <v>7.8</v>
      </c>
      <c r="F1285">
        <v>2.4</v>
      </c>
      <c r="G1285">
        <v>0</v>
      </c>
      <c r="H1285" t="str">
        <f t="shared" si="20"/>
        <v>No Night Usage</v>
      </c>
      <c r="I1285">
        <v>6.7</v>
      </c>
      <c r="J1285" s="3">
        <v>9</v>
      </c>
      <c r="K1285">
        <v>2.6</v>
      </c>
      <c r="L1285" t="s">
        <v>25</v>
      </c>
      <c r="M1285">
        <v>6</v>
      </c>
      <c r="N1285">
        <v>2</v>
      </c>
      <c r="O1285">
        <v>1</v>
      </c>
      <c r="P1285">
        <v>1</v>
      </c>
      <c r="Q1285">
        <v>1</v>
      </c>
      <c r="R1285">
        <v>1</v>
      </c>
      <c r="S1285">
        <v>0</v>
      </c>
      <c r="T1285" t="str">
        <f>IF(mental_health[Sleep_Hours]&lt;5,"Low",IF(mental_health[Sleep_Hours]&lt;7,"Medium","Good"))</f>
        <v>Medium</v>
      </c>
      <c r="U1285" t="str">
        <f>IF(mental_health[Stress_Level]&lt;=3,"Low",IF(mental_health[Stress_Level]&lt;=7,"Medium","High"))</f>
        <v>High</v>
      </c>
      <c r="V1285" t="str">
        <f>IF(mental_health[Daily_Screen_Time]&lt;=4,"Low",IF(mental_health[Daily_Screen_Time]&lt;=8,"Medium","High"))</f>
        <v>Medium</v>
      </c>
    </row>
    <row r="1286" spans="1:22" x14ac:dyDescent="0.3">
      <c r="A1286">
        <v>1285</v>
      </c>
      <c r="B1286">
        <v>17</v>
      </c>
      <c r="C1286" t="s">
        <v>23</v>
      </c>
      <c r="D1286" t="s">
        <v>22</v>
      </c>
      <c r="E1286">
        <v>7.7</v>
      </c>
      <c r="F1286">
        <v>7.7</v>
      </c>
      <c r="G1286">
        <v>0</v>
      </c>
      <c r="H1286" t="str">
        <f t="shared" si="20"/>
        <v>No Night Usage</v>
      </c>
      <c r="I1286">
        <v>8.9</v>
      </c>
      <c r="J1286" s="3">
        <v>8</v>
      </c>
      <c r="K1286">
        <v>10.9</v>
      </c>
      <c r="L1286" t="s">
        <v>20</v>
      </c>
      <c r="M1286">
        <v>3</v>
      </c>
      <c r="N1286">
        <v>0</v>
      </c>
      <c r="O1286">
        <v>0</v>
      </c>
      <c r="P1286">
        <v>1</v>
      </c>
      <c r="Q1286">
        <v>1</v>
      </c>
      <c r="R1286">
        <v>1</v>
      </c>
      <c r="S1286">
        <v>0</v>
      </c>
      <c r="T1286" t="str">
        <f>IF(mental_health[Sleep_Hours]&lt;5,"Low",IF(mental_health[Sleep_Hours]&lt;7,"Medium","Good"))</f>
        <v>Good</v>
      </c>
      <c r="U1286" t="str">
        <f>IF(mental_health[Stress_Level]&lt;=3,"Low",IF(mental_health[Stress_Level]&lt;=7,"Medium","High"))</f>
        <v>High</v>
      </c>
      <c r="V1286" t="str">
        <f>IF(mental_health[Daily_Screen_Time]&lt;=4,"Low",IF(mental_health[Daily_Screen_Time]&lt;=8,"Medium","High"))</f>
        <v>Medium</v>
      </c>
    </row>
    <row r="1287" spans="1:22" x14ac:dyDescent="0.3">
      <c r="A1287">
        <v>1286</v>
      </c>
      <c r="B1287">
        <v>58</v>
      </c>
      <c r="C1287" t="s">
        <v>18</v>
      </c>
      <c r="D1287" t="s">
        <v>19</v>
      </c>
      <c r="E1287">
        <v>5.3</v>
      </c>
      <c r="F1287">
        <v>5.3</v>
      </c>
      <c r="G1287">
        <v>0</v>
      </c>
      <c r="H1287" t="str">
        <f t="shared" si="20"/>
        <v>No Night Usage</v>
      </c>
      <c r="I1287">
        <v>5</v>
      </c>
      <c r="J1287" s="3">
        <v>10</v>
      </c>
      <c r="K1287">
        <v>6.8</v>
      </c>
      <c r="L1287" t="s">
        <v>25</v>
      </c>
      <c r="M1287">
        <v>10</v>
      </c>
      <c r="N1287">
        <v>2</v>
      </c>
      <c r="O1287">
        <v>1</v>
      </c>
      <c r="P1287">
        <v>1</v>
      </c>
      <c r="Q1287">
        <v>1</v>
      </c>
      <c r="R1287">
        <v>0</v>
      </c>
      <c r="S1287">
        <v>1</v>
      </c>
      <c r="T1287" t="str">
        <f>IF(mental_health[Sleep_Hours]&lt;5,"Low",IF(mental_health[Sleep_Hours]&lt;7,"Medium","Good"))</f>
        <v>Medium</v>
      </c>
      <c r="U1287" t="str">
        <f>IF(mental_health[Stress_Level]&lt;=3,"Low",IF(mental_health[Stress_Level]&lt;=7,"Medium","High"))</f>
        <v>High</v>
      </c>
      <c r="V1287" t="str">
        <f>IF(mental_health[Daily_Screen_Time]&lt;=4,"Low",IF(mental_health[Daily_Screen_Time]&lt;=8,"Medium","High"))</f>
        <v>Medium</v>
      </c>
    </row>
    <row r="1288" spans="1:22" x14ac:dyDescent="0.3">
      <c r="A1288">
        <v>1287</v>
      </c>
      <c r="B1288">
        <v>16</v>
      </c>
      <c r="C1288" t="s">
        <v>23</v>
      </c>
      <c r="D1288" t="s">
        <v>24</v>
      </c>
      <c r="E1288">
        <v>5.2</v>
      </c>
      <c r="F1288">
        <v>2.8</v>
      </c>
      <c r="G1288">
        <v>0</v>
      </c>
      <c r="H1288" t="str">
        <f t="shared" si="20"/>
        <v>No Night Usage</v>
      </c>
      <c r="I1288">
        <v>7.2</v>
      </c>
      <c r="J1288" s="3">
        <v>4</v>
      </c>
      <c r="K1288">
        <v>9</v>
      </c>
      <c r="L1288" t="s">
        <v>21</v>
      </c>
      <c r="M1288">
        <v>7</v>
      </c>
      <c r="N1288">
        <v>0</v>
      </c>
      <c r="O1288">
        <v>0</v>
      </c>
      <c r="P1288">
        <v>0</v>
      </c>
      <c r="Q1288">
        <v>0</v>
      </c>
      <c r="R1288">
        <v>0</v>
      </c>
      <c r="S1288">
        <v>1</v>
      </c>
      <c r="T1288" t="str">
        <f>IF(mental_health[Sleep_Hours]&lt;5,"Low",IF(mental_health[Sleep_Hours]&lt;7,"Medium","Good"))</f>
        <v>Good</v>
      </c>
      <c r="U1288" t="str">
        <f>IF(mental_health[Stress_Level]&lt;=3,"Low",IF(mental_health[Stress_Level]&lt;=7,"Medium","High"))</f>
        <v>Medium</v>
      </c>
      <c r="V1288" t="str">
        <f>IF(mental_health[Daily_Screen_Time]&lt;=4,"Low",IF(mental_health[Daily_Screen_Time]&lt;=8,"Medium","High"))</f>
        <v>Medium</v>
      </c>
    </row>
    <row r="1289" spans="1:22" x14ac:dyDescent="0.3">
      <c r="A1289">
        <v>1288</v>
      </c>
      <c r="B1289">
        <v>51</v>
      </c>
      <c r="C1289" t="s">
        <v>18</v>
      </c>
      <c r="D1289" t="s">
        <v>19</v>
      </c>
      <c r="E1289">
        <v>3.1</v>
      </c>
      <c r="F1289">
        <v>1.5</v>
      </c>
      <c r="G1289">
        <v>1</v>
      </c>
      <c r="H1289" t="str">
        <f t="shared" si="20"/>
        <v>Night Usage</v>
      </c>
      <c r="I1289">
        <v>4.3</v>
      </c>
      <c r="J1289" s="3">
        <v>2</v>
      </c>
      <c r="K1289">
        <v>2.5</v>
      </c>
      <c r="L1289" t="s">
        <v>20</v>
      </c>
      <c r="M1289">
        <v>7</v>
      </c>
      <c r="N1289">
        <v>4</v>
      </c>
      <c r="O1289">
        <v>1</v>
      </c>
      <c r="P1289">
        <v>1</v>
      </c>
      <c r="Q1289">
        <v>1</v>
      </c>
      <c r="R1289">
        <v>1</v>
      </c>
      <c r="S1289">
        <v>1</v>
      </c>
      <c r="T1289" t="str">
        <f>IF(mental_health[Sleep_Hours]&lt;5,"Low",IF(mental_health[Sleep_Hours]&lt;7,"Medium","Good"))</f>
        <v>Low</v>
      </c>
      <c r="U1289" t="str">
        <f>IF(mental_health[Stress_Level]&lt;=3,"Low",IF(mental_health[Stress_Level]&lt;=7,"Medium","High"))</f>
        <v>Low</v>
      </c>
      <c r="V1289" t="str">
        <f>IF(mental_health[Daily_Screen_Time]&lt;=4,"Low",IF(mental_health[Daily_Screen_Time]&lt;=8,"Medium","High"))</f>
        <v>Low</v>
      </c>
    </row>
    <row r="1290" spans="1:22" x14ac:dyDescent="0.3">
      <c r="A1290">
        <v>1289</v>
      </c>
      <c r="B1290">
        <v>41</v>
      </c>
      <c r="C1290" t="s">
        <v>18</v>
      </c>
      <c r="D1290" t="s">
        <v>24</v>
      </c>
      <c r="E1290">
        <v>5.7</v>
      </c>
      <c r="F1290">
        <v>1.2</v>
      </c>
      <c r="G1290">
        <v>0</v>
      </c>
      <c r="H1290" t="str">
        <f t="shared" si="20"/>
        <v>No Night Usage</v>
      </c>
      <c r="I1290">
        <v>4.5999999999999996</v>
      </c>
      <c r="J1290" s="3">
        <v>8</v>
      </c>
      <c r="K1290">
        <v>7.3</v>
      </c>
      <c r="L1290" t="s">
        <v>20</v>
      </c>
      <c r="M1290">
        <v>8</v>
      </c>
      <c r="N1290">
        <v>4</v>
      </c>
      <c r="O1290">
        <v>0</v>
      </c>
      <c r="P1290">
        <v>0</v>
      </c>
      <c r="Q1290">
        <v>1</v>
      </c>
      <c r="R1290">
        <v>1</v>
      </c>
      <c r="S1290">
        <v>1</v>
      </c>
      <c r="T1290" t="str">
        <f>IF(mental_health[Sleep_Hours]&lt;5,"Low",IF(mental_health[Sleep_Hours]&lt;7,"Medium","Good"))</f>
        <v>Low</v>
      </c>
      <c r="U1290" t="str">
        <f>IF(mental_health[Stress_Level]&lt;=3,"Low",IF(mental_health[Stress_Level]&lt;=7,"Medium","High"))</f>
        <v>High</v>
      </c>
      <c r="V1290" t="str">
        <f>IF(mental_health[Daily_Screen_Time]&lt;=4,"Low",IF(mental_health[Daily_Screen_Time]&lt;=8,"Medium","High"))</f>
        <v>Medium</v>
      </c>
    </row>
    <row r="1291" spans="1:22" x14ac:dyDescent="0.3">
      <c r="A1291">
        <v>1290</v>
      </c>
      <c r="B1291">
        <v>44</v>
      </c>
      <c r="C1291" t="s">
        <v>18</v>
      </c>
      <c r="D1291" t="s">
        <v>19</v>
      </c>
      <c r="E1291">
        <v>3</v>
      </c>
      <c r="F1291">
        <v>2.7</v>
      </c>
      <c r="G1291">
        <v>1</v>
      </c>
      <c r="H1291" t="str">
        <f t="shared" si="20"/>
        <v>Night Usage</v>
      </c>
      <c r="I1291">
        <v>6.1</v>
      </c>
      <c r="J1291" s="3">
        <v>8</v>
      </c>
      <c r="K1291">
        <v>5</v>
      </c>
      <c r="L1291" t="s">
        <v>25</v>
      </c>
      <c r="M1291">
        <v>5</v>
      </c>
      <c r="N1291">
        <v>0</v>
      </c>
      <c r="O1291">
        <v>0</v>
      </c>
      <c r="P1291">
        <v>1</v>
      </c>
      <c r="Q1291">
        <v>1</v>
      </c>
      <c r="R1291">
        <v>0</v>
      </c>
      <c r="S1291">
        <v>1</v>
      </c>
      <c r="T1291" t="str">
        <f>IF(mental_health[Sleep_Hours]&lt;5,"Low",IF(mental_health[Sleep_Hours]&lt;7,"Medium","Good"))</f>
        <v>Medium</v>
      </c>
      <c r="U1291" t="str">
        <f>IF(mental_health[Stress_Level]&lt;=3,"Low",IF(mental_health[Stress_Level]&lt;=7,"Medium","High"))</f>
        <v>High</v>
      </c>
      <c r="V1291" t="str">
        <f>IF(mental_health[Daily_Screen_Time]&lt;=4,"Low",IF(mental_health[Daily_Screen_Time]&lt;=8,"Medium","High"))</f>
        <v>Low</v>
      </c>
    </row>
    <row r="1292" spans="1:22" x14ac:dyDescent="0.3">
      <c r="A1292">
        <v>1291</v>
      </c>
      <c r="B1292">
        <v>36</v>
      </c>
      <c r="C1292" t="s">
        <v>18</v>
      </c>
      <c r="D1292" t="s">
        <v>24</v>
      </c>
      <c r="E1292">
        <v>9.6999999999999993</v>
      </c>
      <c r="F1292">
        <v>7.2</v>
      </c>
      <c r="G1292">
        <v>0</v>
      </c>
      <c r="H1292" t="str">
        <f t="shared" si="20"/>
        <v>No Night Usage</v>
      </c>
      <c r="I1292">
        <v>4.9000000000000004</v>
      </c>
      <c r="J1292" s="3">
        <v>6</v>
      </c>
      <c r="K1292">
        <v>4.8</v>
      </c>
      <c r="L1292" t="s">
        <v>25</v>
      </c>
      <c r="M1292">
        <v>2</v>
      </c>
      <c r="N1292">
        <v>2</v>
      </c>
      <c r="O1292">
        <v>1</v>
      </c>
      <c r="P1292">
        <v>1</v>
      </c>
      <c r="Q1292">
        <v>1</v>
      </c>
      <c r="R1292">
        <v>0</v>
      </c>
      <c r="S1292">
        <v>0</v>
      </c>
      <c r="T1292" t="str">
        <f>IF(mental_health[Sleep_Hours]&lt;5,"Low",IF(mental_health[Sleep_Hours]&lt;7,"Medium","Good"))</f>
        <v>Low</v>
      </c>
      <c r="U1292" t="str">
        <f>IF(mental_health[Stress_Level]&lt;=3,"Low",IF(mental_health[Stress_Level]&lt;=7,"Medium","High"))</f>
        <v>Medium</v>
      </c>
      <c r="V1292" t="str">
        <f>IF(mental_health[Daily_Screen_Time]&lt;=4,"Low",IF(mental_health[Daily_Screen_Time]&lt;=8,"Medium","High"))</f>
        <v>High</v>
      </c>
    </row>
    <row r="1293" spans="1:22" x14ac:dyDescent="0.3">
      <c r="A1293">
        <v>1292</v>
      </c>
      <c r="B1293">
        <v>26</v>
      </c>
      <c r="C1293" t="s">
        <v>18</v>
      </c>
      <c r="D1293" t="s">
        <v>24</v>
      </c>
      <c r="E1293">
        <v>11.7</v>
      </c>
      <c r="F1293">
        <v>3.9</v>
      </c>
      <c r="G1293">
        <v>1</v>
      </c>
      <c r="H1293" t="str">
        <f t="shared" si="20"/>
        <v>Night Usage</v>
      </c>
      <c r="I1293">
        <v>4</v>
      </c>
      <c r="J1293" s="3">
        <v>8</v>
      </c>
      <c r="K1293">
        <v>5.9</v>
      </c>
      <c r="L1293" t="s">
        <v>25</v>
      </c>
      <c r="M1293">
        <v>3</v>
      </c>
      <c r="N1293">
        <v>3</v>
      </c>
      <c r="O1293">
        <v>0</v>
      </c>
      <c r="P1293">
        <v>1</v>
      </c>
      <c r="Q1293">
        <v>1</v>
      </c>
      <c r="R1293">
        <v>1</v>
      </c>
      <c r="S1293">
        <v>1</v>
      </c>
      <c r="T1293" t="str">
        <f>IF(mental_health[Sleep_Hours]&lt;5,"Low",IF(mental_health[Sleep_Hours]&lt;7,"Medium","Good"))</f>
        <v>Low</v>
      </c>
      <c r="U1293" t="str">
        <f>IF(mental_health[Stress_Level]&lt;=3,"Low",IF(mental_health[Stress_Level]&lt;=7,"Medium","High"))</f>
        <v>High</v>
      </c>
      <c r="V1293" t="str">
        <f>IF(mental_health[Daily_Screen_Time]&lt;=4,"Low",IF(mental_health[Daily_Screen_Time]&lt;=8,"Medium","High"))</f>
        <v>High</v>
      </c>
    </row>
    <row r="1294" spans="1:22" x14ac:dyDescent="0.3">
      <c r="A1294">
        <v>1293</v>
      </c>
      <c r="B1294">
        <v>55</v>
      </c>
      <c r="C1294" t="s">
        <v>18</v>
      </c>
      <c r="D1294" t="s">
        <v>19</v>
      </c>
      <c r="E1294">
        <v>11.7</v>
      </c>
      <c r="F1294">
        <v>6</v>
      </c>
      <c r="G1294">
        <v>0</v>
      </c>
      <c r="H1294" t="str">
        <f t="shared" si="20"/>
        <v>No Night Usage</v>
      </c>
      <c r="I1294">
        <v>4.5999999999999996</v>
      </c>
      <c r="J1294" s="3">
        <v>9</v>
      </c>
      <c r="K1294">
        <v>2</v>
      </c>
      <c r="L1294" t="s">
        <v>21</v>
      </c>
      <c r="M1294">
        <v>9</v>
      </c>
      <c r="N1294">
        <v>2</v>
      </c>
      <c r="O1294">
        <v>1</v>
      </c>
      <c r="P1294">
        <v>1</v>
      </c>
      <c r="Q1294">
        <v>0</v>
      </c>
      <c r="R1294">
        <v>1</v>
      </c>
      <c r="S1294">
        <v>1</v>
      </c>
      <c r="T1294" t="str">
        <f>IF(mental_health[Sleep_Hours]&lt;5,"Low",IF(mental_health[Sleep_Hours]&lt;7,"Medium","Good"))</f>
        <v>Low</v>
      </c>
      <c r="U1294" t="str">
        <f>IF(mental_health[Stress_Level]&lt;=3,"Low",IF(mental_health[Stress_Level]&lt;=7,"Medium","High"))</f>
        <v>High</v>
      </c>
      <c r="V1294" t="str">
        <f>IF(mental_health[Daily_Screen_Time]&lt;=4,"Low",IF(mental_health[Daily_Screen_Time]&lt;=8,"Medium","High"))</f>
        <v>High</v>
      </c>
    </row>
    <row r="1295" spans="1:22" x14ac:dyDescent="0.3">
      <c r="A1295">
        <v>1294</v>
      </c>
      <c r="B1295">
        <v>26</v>
      </c>
      <c r="C1295" t="s">
        <v>23</v>
      </c>
      <c r="D1295" t="s">
        <v>24</v>
      </c>
      <c r="E1295">
        <v>10.7</v>
      </c>
      <c r="F1295">
        <v>7.4</v>
      </c>
      <c r="G1295">
        <v>0</v>
      </c>
      <c r="H1295" t="str">
        <f t="shared" si="20"/>
        <v>No Night Usage</v>
      </c>
      <c r="I1295">
        <v>3.2</v>
      </c>
      <c r="J1295" s="3">
        <v>1</v>
      </c>
      <c r="K1295">
        <v>6.7</v>
      </c>
      <c r="L1295" t="s">
        <v>25</v>
      </c>
      <c r="M1295">
        <v>6</v>
      </c>
      <c r="N1295">
        <v>0</v>
      </c>
      <c r="O1295">
        <v>1</v>
      </c>
      <c r="P1295">
        <v>0</v>
      </c>
      <c r="Q1295">
        <v>0</v>
      </c>
      <c r="R1295">
        <v>0</v>
      </c>
      <c r="S1295">
        <v>0</v>
      </c>
      <c r="T1295" t="str">
        <f>IF(mental_health[Sleep_Hours]&lt;5,"Low",IF(mental_health[Sleep_Hours]&lt;7,"Medium","Good"))</f>
        <v>Low</v>
      </c>
      <c r="U1295" t="str">
        <f>IF(mental_health[Stress_Level]&lt;=3,"Low",IF(mental_health[Stress_Level]&lt;=7,"Medium","High"))</f>
        <v>Low</v>
      </c>
      <c r="V1295" t="str">
        <f>IF(mental_health[Daily_Screen_Time]&lt;=4,"Low",IF(mental_health[Daily_Screen_Time]&lt;=8,"Medium","High"))</f>
        <v>High</v>
      </c>
    </row>
    <row r="1296" spans="1:22" x14ac:dyDescent="0.3">
      <c r="A1296">
        <v>1295</v>
      </c>
      <c r="B1296">
        <v>51</v>
      </c>
      <c r="C1296" t="s">
        <v>18</v>
      </c>
      <c r="D1296" t="s">
        <v>22</v>
      </c>
      <c r="E1296">
        <v>8</v>
      </c>
      <c r="F1296">
        <v>3.9</v>
      </c>
      <c r="G1296">
        <v>1</v>
      </c>
      <c r="H1296" t="str">
        <f t="shared" si="20"/>
        <v>Night Usage</v>
      </c>
      <c r="I1296">
        <v>7.2</v>
      </c>
      <c r="J1296" s="3">
        <v>9</v>
      </c>
      <c r="K1296">
        <v>6.9</v>
      </c>
      <c r="L1296" t="s">
        <v>21</v>
      </c>
      <c r="M1296">
        <v>8</v>
      </c>
      <c r="N1296">
        <v>2</v>
      </c>
      <c r="O1296">
        <v>1</v>
      </c>
      <c r="P1296">
        <v>0</v>
      </c>
      <c r="Q1296">
        <v>1</v>
      </c>
      <c r="R1296">
        <v>1</v>
      </c>
      <c r="S1296">
        <v>0</v>
      </c>
      <c r="T1296" t="str">
        <f>IF(mental_health[Sleep_Hours]&lt;5,"Low",IF(mental_health[Sleep_Hours]&lt;7,"Medium","Good"))</f>
        <v>Good</v>
      </c>
      <c r="U1296" t="str">
        <f>IF(mental_health[Stress_Level]&lt;=3,"Low",IF(mental_health[Stress_Level]&lt;=7,"Medium","High"))</f>
        <v>High</v>
      </c>
      <c r="V1296" t="str">
        <f>IF(mental_health[Daily_Screen_Time]&lt;=4,"Low",IF(mental_health[Daily_Screen_Time]&lt;=8,"Medium","High"))</f>
        <v>Medium</v>
      </c>
    </row>
    <row r="1297" spans="1:22" x14ac:dyDescent="0.3">
      <c r="A1297">
        <v>1296</v>
      </c>
      <c r="B1297">
        <v>54</v>
      </c>
      <c r="C1297" t="s">
        <v>23</v>
      </c>
      <c r="D1297" t="s">
        <v>19</v>
      </c>
      <c r="E1297">
        <v>9</v>
      </c>
      <c r="F1297">
        <v>2.2999999999999998</v>
      </c>
      <c r="G1297">
        <v>0</v>
      </c>
      <c r="H1297" t="str">
        <f t="shared" si="20"/>
        <v>No Night Usage</v>
      </c>
      <c r="I1297">
        <v>6</v>
      </c>
      <c r="J1297" s="3">
        <v>2</v>
      </c>
      <c r="K1297">
        <v>10.6</v>
      </c>
      <c r="L1297" t="s">
        <v>25</v>
      </c>
      <c r="M1297">
        <v>8</v>
      </c>
      <c r="N1297">
        <v>1</v>
      </c>
      <c r="O1297">
        <v>0</v>
      </c>
      <c r="P1297">
        <v>0</v>
      </c>
      <c r="Q1297">
        <v>0</v>
      </c>
      <c r="R1297">
        <v>0</v>
      </c>
      <c r="S1297">
        <v>0</v>
      </c>
      <c r="T1297" t="str">
        <f>IF(mental_health[Sleep_Hours]&lt;5,"Low",IF(mental_health[Sleep_Hours]&lt;7,"Medium","Good"))</f>
        <v>Medium</v>
      </c>
      <c r="U1297" t="str">
        <f>IF(mental_health[Stress_Level]&lt;=3,"Low",IF(mental_health[Stress_Level]&lt;=7,"Medium","High"))</f>
        <v>Low</v>
      </c>
      <c r="V1297" t="str">
        <f>IF(mental_health[Daily_Screen_Time]&lt;=4,"Low",IF(mental_health[Daily_Screen_Time]&lt;=8,"Medium","High"))</f>
        <v>High</v>
      </c>
    </row>
    <row r="1298" spans="1:22" x14ac:dyDescent="0.3">
      <c r="A1298">
        <v>1297</v>
      </c>
      <c r="B1298">
        <v>55</v>
      </c>
      <c r="C1298" t="s">
        <v>23</v>
      </c>
      <c r="D1298" t="s">
        <v>22</v>
      </c>
      <c r="E1298">
        <v>4.9000000000000004</v>
      </c>
      <c r="F1298">
        <v>4.5999999999999996</v>
      </c>
      <c r="G1298">
        <v>0</v>
      </c>
      <c r="H1298" t="str">
        <f t="shared" si="20"/>
        <v>No Night Usage</v>
      </c>
      <c r="I1298">
        <v>3.6</v>
      </c>
      <c r="J1298" s="3">
        <v>1</v>
      </c>
      <c r="K1298">
        <v>6.5</v>
      </c>
      <c r="L1298" t="s">
        <v>25</v>
      </c>
      <c r="M1298">
        <v>5</v>
      </c>
      <c r="N1298">
        <v>2</v>
      </c>
      <c r="O1298">
        <v>1</v>
      </c>
      <c r="P1298">
        <v>1</v>
      </c>
      <c r="Q1298">
        <v>0</v>
      </c>
      <c r="R1298">
        <v>0</v>
      </c>
      <c r="S1298">
        <v>0</v>
      </c>
      <c r="T1298" t="str">
        <f>IF(mental_health[Sleep_Hours]&lt;5,"Low",IF(mental_health[Sleep_Hours]&lt;7,"Medium","Good"))</f>
        <v>Low</v>
      </c>
      <c r="U1298" t="str">
        <f>IF(mental_health[Stress_Level]&lt;=3,"Low",IF(mental_health[Stress_Level]&lt;=7,"Medium","High"))</f>
        <v>Low</v>
      </c>
      <c r="V1298" t="str">
        <f>IF(mental_health[Daily_Screen_Time]&lt;=4,"Low",IF(mental_health[Daily_Screen_Time]&lt;=8,"Medium","High"))</f>
        <v>Medium</v>
      </c>
    </row>
    <row r="1299" spans="1:22" x14ac:dyDescent="0.3">
      <c r="A1299">
        <v>1298</v>
      </c>
      <c r="B1299">
        <v>50</v>
      </c>
      <c r="C1299" t="s">
        <v>23</v>
      </c>
      <c r="D1299" t="s">
        <v>19</v>
      </c>
      <c r="E1299">
        <v>8.3000000000000007</v>
      </c>
      <c r="F1299">
        <v>7.4</v>
      </c>
      <c r="G1299">
        <v>0</v>
      </c>
      <c r="H1299" t="str">
        <f t="shared" si="20"/>
        <v>No Night Usage</v>
      </c>
      <c r="I1299">
        <v>4</v>
      </c>
      <c r="J1299" s="3">
        <v>8</v>
      </c>
      <c r="K1299">
        <v>5.6</v>
      </c>
      <c r="L1299" t="s">
        <v>21</v>
      </c>
      <c r="M1299">
        <v>1</v>
      </c>
      <c r="N1299">
        <v>4</v>
      </c>
      <c r="O1299">
        <v>0</v>
      </c>
      <c r="P1299">
        <v>0</v>
      </c>
      <c r="Q1299">
        <v>1</v>
      </c>
      <c r="R1299">
        <v>0</v>
      </c>
      <c r="S1299">
        <v>1</v>
      </c>
      <c r="T1299" t="str">
        <f>IF(mental_health[Sleep_Hours]&lt;5,"Low",IF(mental_health[Sleep_Hours]&lt;7,"Medium","Good"))</f>
        <v>Low</v>
      </c>
      <c r="U1299" t="str">
        <f>IF(mental_health[Stress_Level]&lt;=3,"Low",IF(mental_health[Stress_Level]&lt;=7,"Medium","High"))</f>
        <v>High</v>
      </c>
      <c r="V1299" t="str">
        <f>IF(mental_health[Daily_Screen_Time]&lt;=4,"Low",IF(mental_health[Daily_Screen_Time]&lt;=8,"Medium","High"))</f>
        <v>High</v>
      </c>
    </row>
    <row r="1300" spans="1:22" x14ac:dyDescent="0.3">
      <c r="A1300">
        <v>1299</v>
      </c>
      <c r="B1300">
        <v>49</v>
      </c>
      <c r="C1300" t="s">
        <v>23</v>
      </c>
      <c r="D1300" t="s">
        <v>24</v>
      </c>
      <c r="E1300">
        <v>6.6</v>
      </c>
      <c r="F1300">
        <v>6.6</v>
      </c>
      <c r="G1300">
        <v>0</v>
      </c>
      <c r="H1300" t="str">
        <f t="shared" si="20"/>
        <v>No Night Usage</v>
      </c>
      <c r="I1300">
        <v>3.6</v>
      </c>
      <c r="J1300" s="3">
        <v>8</v>
      </c>
      <c r="K1300">
        <v>11.9</v>
      </c>
      <c r="L1300" t="s">
        <v>25</v>
      </c>
      <c r="M1300">
        <v>6</v>
      </c>
      <c r="N1300">
        <v>4</v>
      </c>
      <c r="O1300">
        <v>1</v>
      </c>
      <c r="P1300">
        <v>1</v>
      </c>
      <c r="Q1300">
        <v>1</v>
      </c>
      <c r="R1300">
        <v>0</v>
      </c>
      <c r="S1300">
        <v>1</v>
      </c>
      <c r="T1300" t="str">
        <f>IF(mental_health[Sleep_Hours]&lt;5,"Low",IF(mental_health[Sleep_Hours]&lt;7,"Medium","Good"))</f>
        <v>Low</v>
      </c>
      <c r="U1300" t="str">
        <f>IF(mental_health[Stress_Level]&lt;=3,"Low",IF(mental_health[Stress_Level]&lt;=7,"Medium","High"))</f>
        <v>High</v>
      </c>
      <c r="V1300" t="str">
        <f>IF(mental_health[Daily_Screen_Time]&lt;=4,"Low",IF(mental_health[Daily_Screen_Time]&lt;=8,"Medium","High"))</f>
        <v>Medium</v>
      </c>
    </row>
    <row r="1301" spans="1:22" x14ac:dyDescent="0.3">
      <c r="A1301">
        <v>1300</v>
      </c>
      <c r="B1301">
        <v>39</v>
      </c>
      <c r="C1301" t="s">
        <v>23</v>
      </c>
      <c r="D1301" t="s">
        <v>24</v>
      </c>
      <c r="E1301">
        <v>6.8</v>
      </c>
      <c r="F1301">
        <v>1.5</v>
      </c>
      <c r="G1301">
        <v>0</v>
      </c>
      <c r="H1301" t="str">
        <f t="shared" si="20"/>
        <v>No Night Usage</v>
      </c>
      <c r="I1301">
        <v>6.7</v>
      </c>
      <c r="J1301" s="3">
        <v>4</v>
      </c>
      <c r="K1301">
        <v>7.7</v>
      </c>
      <c r="L1301" t="s">
        <v>21</v>
      </c>
      <c r="M1301">
        <v>7</v>
      </c>
      <c r="N1301">
        <v>1</v>
      </c>
      <c r="O1301">
        <v>1</v>
      </c>
      <c r="P1301">
        <v>1</v>
      </c>
      <c r="Q1301">
        <v>0</v>
      </c>
      <c r="R1301">
        <v>0</v>
      </c>
      <c r="S1301">
        <v>0</v>
      </c>
      <c r="T1301" t="str">
        <f>IF(mental_health[Sleep_Hours]&lt;5,"Low",IF(mental_health[Sleep_Hours]&lt;7,"Medium","Good"))</f>
        <v>Medium</v>
      </c>
      <c r="U1301" t="str">
        <f>IF(mental_health[Stress_Level]&lt;=3,"Low",IF(mental_health[Stress_Level]&lt;=7,"Medium","High"))</f>
        <v>Medium</v>
      </c>
      <c r="V1301" t="str">
        <f>IF(mental_health[Daily_Screen_Time]&lt;=4,"Low",IF(mental_health[Daily_Screen_Time]&lt;=8,"Medium","High"))</f>
        <v>Medium</v>
      </c>
    </row>
    <row r="1302" spans="1:22" x14ac:dyDescent="0.3">
      <c r="A1302">
        <v>1301</v>
      </c>
      <c r="B1302">
        <v>37</v>
      </c>
      <c r="C1302" t="s">
        <v>18</v>
      </c>
      <c r="D1302" t="s">
        <v>24</v>
      </c>
      <c r="E1302">
        <v>9.6</v>
      </c>
      <c r="F1302">
        <v>5.8</v>
      </c>
      <c r="G1302">
        <v>1</v>
      </c>
      <c r="H1302" t="str">
        <f t="shared" si="20"/>
        <v>Night Usage</v>
      </c>
      <c r="I1302">
        <v>3.6</v>
      </c>
      <c r="J1302" s="3">
        <v>8</v>
      </c>
      <c r="K1302">
        <v>6.7</v>
      </c>
      <c r="L1302" t="s">
        <v>21</v>
      </c>
      <c r="M1302">
        <v>9</v>
      </c>
      <c r="N1302">
        <v>2</v>
      </c>
      <c r="O1302">
        <v>0</v>
      </c>
      <c r="P1302">
        <v>0</v>
      </c>
      <c r="Q1302">
        <v>0</v>
      </c>
      <c r="R1302">
        <v>1</v>
      </c>
      <c r="S1302">
        <v>1</v>
      </c>
      <c r="T1302" t="str">
        <f>IF(mental_health[Sleep_Hours]&lt;5,"Low",IF(mental_health[Sleep_Hours]&lt;7,"Medium","Good"))</f>
        <v>Low</v>
      </c>
      <c r="U1302" t="str">
        <f>IF(mental_health[Stress_Level]&lt;=3,"Low",IF(mental_health[Stress_Level]&lt;=7,"Medium","High"))</f>
        <v>High</v>
      </c>
      <c r="V1302" t="str">
        <f>IF(mental_health[Daily_Screen_Time]&lt;=4,"Low",IF(mental_health[Daily_Screen_Time]&lt;=8,"Medium","High"))</f>
        <v>High</v>
      </c>
    </row>
    <row r="1303" spans="1:22" x14ac:dyDescent="0.3">
      <c r="A1303">
        <v>1302</v>
      </c>
      <c r="B1303">
        <v>20</v>
      </c>
      <c r="C1303" t="s">
        <v>18</v>
      </c>
      <c r="D1303" t="s">
        <v>19</v>
      </c>
      <c r="E1303">
        <v>4.8</v>
      </c>
      <c r="F1303">
        <v>5</v>
      </c>
      <c r="G1303">
        <v>0</v>
      </c>
      <c r="H1303" t="str">
        <f t="shared" si="20"/>
        <v>No Night Usage</v>
      </c>
      <c r="I1303">
        <v>7.5</v>
      </c>
      <c r="J1303" s="3">
        <v>7</v>
      </c>
      <c r="K1303">
        <v>7</v>
      </c>
      <c r="L1303" t="s">
        <v>25</v>
      </c>
      <c r="M1303">
        <v>2</v>
      </c>
      <c r="N1303">
        <v>3</v>
      </c>
      <c r="O1303">
        <v>0</v>
      </c>
      <c r="P1303">
        <v>1</v>
      </c>
      <c r="Q1303">
        <v>1</v>
      </c>
      <c r="R1303">
        <v>0</v>
      </c>
      <c r="S1303">
        <v>1</v>
      </c>
      <c r="T1303" t="str">
        <f>IF(mental_health[Sleep_Hours]&lt;5,"Low",IF(mental_health[Sleep_Hours]&lt;7,"Medium","Good"))</f>
        <v>Good</v>
      </c>
      <c r="U1303" t="str">
        <f>IF(mental_health[Stress_Level]&lt;=3,"Low",IF(mental_health[Stress_Level]&lt;=7,"Medium","High"))</f>
        <v>Medium</v>
      </c>
      <c r="V1303" t="str">
        <f>IF(mental_health[Daily_Screen_Time]&lt;=4,"Low",IF(mental_health[Daily_Screen_Time]&lt;=8,"Medium","High"))</f>
        <v>Medium</v>
      </c>
    </row>
    <row r="1304" spans="1:22" x14ac:dyDescent="0.3">
      <c r="A1304">
        <v>1303</v>
      </c>
      <c r="B1304">
        <v>48</v>
      </c>
      <c r="C1304" t="s">
        <v>18</v>
      </c>
      <c r="D1304" t="s">
        <v>22</v>
      </c>
      <c r="E1304">
        <v>5.2</v>
      </c>
      <c r="F1304">
        <v>7.4</v>
      </c>
      <c r="G1304">
        <v>1</v>
      </c>
      <c r="H1304" t="str">
        <f t="shared" si="20"/>
        <v>Night Usage</v>
      </c>
      <c r="I1304">
        <v>3.1</v>
      </c>
      <c r="J1304" s="3">
        <v>2</v>
      </c>
      <c r="K1304">
        <v>10.1</v>
      </c>
      <c r="L1304" t="s">
        <v>25</v>
      </c>
      <c r="M1304">
        <v>2</v>
      </c>
      <c r="N1304">
        <v>2</v>
      </c>
      <c r="O1304">
        <v>1</v>
      </c>
      <c r="P1304">
        <v>1</v>
      </c>
      <c r="Q1304">
        <v>0</v>
      </c>
      <c r="R1304">
        <v>0</v>
      </c>
      <c r="S1304">
        <v>0</v>
      </c>
      <c r="T1304" t="str">
        <f>IF(mental_health[Sleep_Hours]&lt;5,"Low",IF(mental_health[Sleep_Hours]&lt;7,"Medium","Good"))</f>
        <v>Low</v>
      </c>
      <c r="U1304" t="str">
        <f>IF(mental_health[Stress_Level]&lt;=3,"Low",IF(mental_health[Stress_Level]&lt;=7,"Medium","High"))</f>
        <v>Low</v>
      </c>
      <c r="V1304" t="str">
        <f>IF(mental_health[Daily_Screen_Time]&lt;=4,"Low",IF(mental_health[Daily_Screen_Time]&lt;=8,"Medium","High"))</f>
        <v>Medium</v>
      </c>
    </row>
    <row r="1305" spans="1:22" x14ac:dyDescent="0.3">
      <c r="A1305">
        <v>1304</v>
      </c>
      <c r="B1305">
        <v>51</v>
      </c>
      <c r="C1305" t="s">
        <v>23</v>
      </c>
      <c r="D1305" t="s">
        <v>22</v>
      </c>
      <c r="E1305">
        <v>11.2</v>
      </c>
      <c r="F1305">
        <v>1.9</v>
      </c>
      <c r="G1305">
        <v>0</v>
      </c>
      <c r="H1305" t="str">
        <f t="shared" si="20"/>
        <v>No Night Usage</v>
      </c>
      <c r="I1305">
        <v>4.5</v>
      </c>
      <c r="J1305" s="3">
        <v>5</v>
      </c>
      <c r="K1305">
        <v>5.4</v>
      </c>
      <c r="L1305" t="s">
        <v>20</v>
      </c>
      <c r="M1305">
        <v>10</v>
      </c>
      <c r="N1305">
        <v>4</v>
      </c>
      <c r="O1305">
        <v>0</v>
      </c>
      <c r="P1305">
        <v>0</v>
      </c>
      <c r="Q1305">
        <v>1</v>
      </c>
      <c r="R1305">
        <v>0</v>
      </c>
      <c r="S1305">
        <v>0</v>
      </c>
      <c r="T1305" t="str">
        <f>IF(mental_health[Sleep_Hours]&lt;5,"Low",IF(mental_health[Sleep_Hours]&lt;7,"Medium","Good"))</f>
        <v>Low</v>
      </c>
      <c r="U1305" t="str">
        <f>IF(mental_health[Stress_Level]&lt;=3,"Low",IF(mental_health[Stress_Level]&lt;=7,"Medium","High"))</f>
        <v>Medium</v>
      </c>
      <c r="V1305" t="str">
        <f>IF(mental_health[Daily_Screen_Time]&lt;=4,"Low",IF(mental_health[Daily_Screen_Time]&lt;=8,"Medium","High"))</f>
        <v>High</v>
      </c>
    </row>
    <row r="1306" spans="1:22" x14ac:dyDescent="0.3">
      <c r="A1306">
        <v>1305</v>
      </c>
      <c r="B1306">
        <v>35</v>
      </c>
      <c r="C1306" t="s">
        <v>18</v>
      </c>
      <c r="D1306" t="s">
        <v>19</v>
      </c>
      <c r="E1306">
        <v>2.6</v>
      </c>
      <c r="F1306">
        <v>4.7</v>
      </c>
      <c r="G1306">
        <v>0</v>
      </c>
      <c r="H1306" t="str">
        <f t="shared" si="20"/>
        <v>No Night Usage</v>
      </c>
      <c r="I1306">
        <v>8.3000000000000007</v>
      </c>
      <c r="J1306" s="3">
        <v>10</v>
      </c>
      <c r="K1306">
        <v>5.9</v>
      </c>
      <c r="L1306" t="s">
        <v>25</v>
      </c>
      <c r="M1306">
        <v>1</v>
      </c>
      <c r="N1306">
        <v>4</v>
      </c>
      <c r="O1306">
        <v>1</v>
      </c>
      <c r="P1306">
        <v>0</v>
      </c>
      <c r="Q1306">
        <v>0</v>
      </c>
      <c r="R1306">
        <v>1</v>
      </c>
      <c r="S1306">
        <v>1</v>
      </c>
      <c r="T1306" t="str">
        <f>IF(mental_health[Sleep_Hours]&lt;5,"Low",IF(mental_health[Sleep_Hours]&lt;7,"Medium","Good"))</f>
        <v>Good</v>
      </c>
      <c r="U1306" t="str">
        <f>IF(mental_health[Stress_Level]&lt;=3,"Low",IF(mental_health[Stress_Level]&lt;=7,"Medium","High"))</f>
        <v>High</v>
      </c>
      <c r="V1306" t="str">
        <f>IF(mental_health[Daily_Screen_Time]&lt;=4,"Low",IF(mental_health[Daily_Screen_Time]&lt;=8,"Medium","High"))</f>
        <v>Low</v>
      </c>
    </row>
    <row r="1307" spans="1:22" x14ac:dyDescent="0.3">
      <c r="A1307">
        <v>1306</v>
      </c>
      <c r="B1307">
        <v>34</v>
      </c>
      <c r="C1307" t="s">
        <v>18</v>
      </c>
      <c r="D1307" t="s">
        <v>19</v>
      </c>
      <c r="E1307">
        <v>6.9</v>
      </c>
      <c r="F1307">
        <v>7.2</v>
      </c>
      <c r="G1307">
        <v>1</v>
      </c>
      <c r="H1307" t="str">
        <f t="shared" si="20"/>
        <v>Night Usage</v>
      </c>
      <c r="I1307">
        <v>7.3</v>
      </c>
      <c r="J1307" s="3">
        <v>4</v>
      </c>
      <c r="K1307">
        <v>9.6</v>
      </c>
      <c r="L1307" t="s">
        <v>20</v>
      </c>
      <c r="M1307">
        <v>5</v>
      </c>
      <c r="N1307">
        <v>0</v>
      </c>
      <c r="O1307">
        <v>0</v>
      </c>
      <c r="P1307">
        <v>1</v>
      </c>
      <c r="Q1307">
        <v>1</v>
      </c>
      <c r="R1307">
        <v>1</v>
      </c>
      <c r="S1307">
        <v>1</v>
      </c>
      <c r="T1307" t="str">
        <f>IF(mental_health[Sleep_Hours]&lt;5,"Low",IF(mental_health[Sleep_Hours]&lt;7,"Medium","Good"))</f>
        <v>Good</v>
      </c>
      <c r="U1307" t="str">
        <f>IF(mental_health[Stress_Level]&lt;=3,"Low",IF(mental_health[Stress_Level]&lt;=7,"Medium","High"))</f>
        <v>Medium</v>
      </c>
      <c r="V1307" t="str">
        <f>IF(mental_health[Daily_Screen_Time]&lt;=4,"Low",IF(mental_health[Daily_Screen_Time]&lt;=8,"Medium","High"))</f>
        <v>Medium</v>
      </c>
    </row>
    <row r="1308" spans="1:22" x14ac:dyDescent="0.3">
      <c r="A1308">
        <v>1307</v>
      </c>
      <c r="B1308">
        <v>50</v>
      </c>
      <c r="C1308" t="s">
        <v>18</v>
      </c>
      <c r="D1308" t="s">
        <v>22</v>
      </c>
      <c r="E1308">
        <v>11.1</v>
      </c>
      <c r="F1308">
        <v>3.9</v>
      </c>
      <c r="G1308">
        <v>1</v>
      </c>
      <c r="H1308" t="str">
        <f t="shared" si="20"/>
        <v>Night Usage</v>
      </c>
      <c r="I1308">
        <v>3.4</v>
      </c>
      <c r="J1308" s="3">
        <v>3</v>
      </c>
      <c r="K1308">
        <v>2.7</v>
      </c>
      <c r="L1308" t="s">
        <v>25</v>
      </c>
      <c r="M1308">
        <v>2</v>
      </c>
      <c r="N1308">
        <v>4</v>
      </c>
      <c r="O1308">
        <v>0</v>
      </c>
      <c r="P1308">
        <v>0</v>
      </c>
      <c r="Q1308">
        <v>1</v>
      </c>
      <c r="R1308">
        <v>1</v>
      </c>
      <c r="S1308">
        <v>1</v>
      </c>
      <c r="T1308" t="str">
        <f>IF(mental_health[Sleep_Hours]&lt;5,"Low",IF(mental_health[Sleep_Hours]&lt;7,"Medium","Good"))</f>
        <v>Low</v>
      </c>
      <c r="U1308" t="str">
        <f>IF(mental_health[Stress_Level]&lt;=3,"Low",IF(mental_health[Stress_Level]&lt;=7,"Medium","High"))</f>
        <v>Low</v>
      </c>
      <c r="V1308" t="str">
        <f>IF(mental_health[Daily_Screen_Time]&lt;=4,"Low",IF(mental_health[Daily_Screen_Time]&lt;=8,"Medium","High"))</f>
        <v>High</v>
      </c>
    </row>
    <row r="1309" spans="1:22" x14ac:dyDescent="0.3">
      <c r="A1309">
        <v>1308</v>
      </c>
      <c r="B1309">
        <v>58</v>
      </c>
      <c r="C1309" t="s">
        <v>18</v>
      </c>
      <c r="D1309" t="s">
        <v>22</v>
      </c>
      <c r="E1309">
        <v>8.1</v>
      </c>
      <c r="F1309">
        <v>4.4000000000000004</v>
      </c>
      <c r="G1309">
        <v>1</v>
      </c>
      <c r="H1309" t="str">
        <f t="shared" si="20"/>
        <v>Night Usage</v>
      </c>
      <c r="I1309">
        <v>7.9</v>
      </c>
      <c r="J1309" s="3">
        <v>1</v>
      </c>
      <c r="K1309">
        <v>10.7</v>
      </c>
      <c r="L1309" t="s">
        <v>21</v>
      </c>
      <c r="M1309">
        <v>3</v>
      </c>
      <c r="N1309">
        <v>0</v>
      </c>
      <c r="O1309">
        <v>1</v>
      </c>
      <c r="P1309">
        <v>1</v>
      </c>
      <c r="Q1309">
        <v>0</v>
      </c>
      <c r="R1309">
        <v>0</v>
      </c>
      <c r="S1309">
        <v>1</v>
      </c>
      <c r="T1309" t="str">
        <f>IF(mental_health[Sleep_Hours]&lt;5,"Low",IF(mental_health[Sleep_Hours]&lt;7,"Medium","Good"))</f>
        <v>Good</v>
      </c>
      <c r="U1309" t="str">
        <f>IF(mental_health[Stress_Level]&lt;=3,"Low",IF(mental_health[Stress_Level]&lt;=7,"Medium","High"))</f>
        <v>Low</v>
      </c>
      <c r="V1309" t="str">
        <f>IF(mental_health[Daily_Screen_Time]&lt;=4,"Low",IF(mental_health[Daily_Screen_Time]&lt;=8,"Medium","High"))</f>
        <v>High</v>
      </c>
    </row>
    <row r="1310" spans="1:22" x14ac:dyDescent="0.3">
      <c r="A1310">
        <v>1309</v>
      </c>
      <c r="B1310">
        <v>32</v>
      </c>
      <c r="C1310" t="s">
        <v>18</v>
      </c>
      <c r="D1310" t="s">
        <v>22</v>
      </c>
      <c r="E1310">
        <v>7.5</v>
      </c>
      <c r="F1310">
        <v>1.5</v>
      </c>
      <c r="G1310">
        <v>1</v>
      </c>
      <c r="H1310" t="str">
        <f t="shared" si="20"/>
        <v>Night Usage</v>
      </c>
      <c r="I1310">
        <v>6</v>
      </c>
      <c r="J1310" s="3">
        <v>5</v>
      </c>
      <c r="K1310">
        <v>6.3</v>
      </c>
      <c r="L1310" t="s">
        <v>21</v>
      </c>
      <c r="M1310">
        <v>2</v>
      </c>
      <c r="N1310">
        <v>4</v>
      </c>
      <c r="O1310">
        <v>0</v>
      </c>
      <c r="P1310">
        <v>0</v>
      </c>
      <c r="Q1310">
        <v>0</v>
      </c>
      <c r="R1310">
        <v>1</v>
      </c>
      <c r="S1310">
        <v>0</v>
      </c>
      <c r="T1310" t="str">
        <f>IF(mental_health[Sleep_Hours]&lt;5,"Low",IF(mental_health[Sleep_Hours]&lt;7,"Medium","Good"))</f>
        <v>Medium</v>
      </c>
      <c r="U1310" t="str">
        <f>IF(mental_health[Stress_Level]&lt;=3,"Low",IF(mental_health[Stress_Level]&lt;=7,"Medium","High"))</f>
        <v>Medium</v>
      </c>
      <c r="V1310" t="str">
        <f>IF(mental_health[Daily_Screen_Time]&lt;=4,"Low",IF(mental_health[Daily_Screen_Time]&lt;=8,"Medium","High"))</f>
        <v>Medium</v>
      </c>
    </row>
    <row r="1311" spans="1:22" x14ac:dyDescent="0.3">
      <c r="A1311">
        <v>1310</v>
      </c>
      <c r="B1311">
        <v>58</v>
      </c>
      <c r="C1311" t="s">
        <v>23</v>
      </c>
      <c r="D1311" t="s">
        <v>22</v>
      </c>
      <c r="E1311">
        <v>4.5</v>
      </c>
      <c r="F1311">
        <v>2.9</v>
      </c>
      <c r="G1311">
        <v>1</v>
      </c>
      <c r="H1311" t="str">
        <f t="shared" si="20"/>
        <v>Night Usage</v>
      </c>
      <c r="I1311">
        <v>8.1</v>
      </c>
      <c r="J1311" s="3">
        <v>10</v>
      </c>
      <c r="K1311">
        <v>7.8</v>
      </c>
      <c r="L1311" t="s">
        <v>20</v>
      </c>
      <c r="M1311">
        <v>4</v>
      </c>
      <c r="N1311">
        <v>4</v>
      </c>
      <c r="O1311">
        <v>1</v>
      </c>
      <c r="P1311">
        <v>1</v>
      </c>
      <c r="Q1311">
        <v>1</v>
      </c>
      <c r="R1311">
        <v>0</v>
      </c>
      <c r="S1311">
        <v>1</v>
      </c>
      <c r="T1311" t="str">
        <f>IF(mental_health[Sleep_Hours]&lt;5,"Low",IF(mental_health[Sleep_Hours]&lt;7,"Medium","Good"))</f>
        <v>Good</v>
      </c>
      <c r="U1311" t="str">
        <f>IF(mental_health[Stress_Level]&lt;=3,"Low",IF(mental_health[Stress_Level]&lt;=7,"Medium","High"))</f>
        <v>High</v>
      </c>
      <c r="V1311" t="str">
        <f>IF(mental_health[Daily_Screen_Time]&lt;=4,"Low",IF(mental_health[Daily_Screen_Time]&lt;=8,"Medium","High"))</f>
        <v>Medium</v>
      </c>
    </row>
    <row r="1312" spans="1:22" x14ac:dyDescent="0.3">
      <c r="A1312">
        <v>1311</v>
      </c>
      <c r="B1312">
        <v>49</v>
      </c>
      <c r="C1312" t="s">
        <v>18</v>
      </c>
      <c r="D1312" t="s">
        <v>19</v>
      </c>
      <c r="E1312">
        <v>5.4</v>
      </c>
      <c r="F1312">
        <v>3.3</v>
      </c>
      <c r="G1312">
        <v>0</v>
      </c>
      <c r="H1312" t="str">
        <f t="shared" si="20"/>
        <v>No Night Usage</v>
      </c>
      <c r="I1312">
        <v>6.6</v>
      </c>
      <c r="J1312" s="3">
        <v>8</v>
      </c>
      <c r="K1312">
        <v>9.6</v>
      </c>
      <c r="L1312" t="s">
        <v>25</v>
      </c>
      <c r="M1312">
        <v>3</v>
      </c>
      <c r="N1312">
        <v>3</v>
      </c>
      <c r="O1312">
        <v>1</v>
      </c>
      <c r="P1312">
        <v>1</v>
      </c>
      <c r="Q1312">
        <v>1</v>
      </c>
      <c r="R1312">
        <v>1</v>
      </c>
      <c r="S1312">
        <v>0</v>
      </c>
      <c r="T1312" t="str">
        <f>IF(mental_health[Sleep_Hours]&lt;5,"Low",IF(mental_health[Sleep_Hours]&lt;7,"Medium","Good"))</f>
        <v>Medium</v>
      </c>
      <c r="U1312" t="str">
        <f>IF(mental_health[Stress_Level]&lt;=3,"Low",IF(mental_health[Stress_Level]&lt;=7,"Medium","High"))</f>
        <v>High</v>
      </c>
      <c r="V1312" t="str">
        <f>IF(mental_health[Daily_Screen_Time]&lt;=4,"Low",IF(mental_health[Daily_Screen_Time]&lt;=8,"Medium","High"))</f>
        <v>Medium</v>
      </c>
    </row>
    <row r="1313" spans="1:22" x14ac:dyDescent="0.3">
      <c r="A1313">
        <v>1312</v>
      </c>
      <c r="B1313">
        <v>24</v>
      </c>
      <c r="C1313" t="s">
        <v>23</v>
      </c>
      <c r="D1313" t="s">
        <v>19</v>
      </c>
      <c r="E1313">
        <v>10.5</v>
      </c>
      <c r="F1313">
        <v>7.6</v>
      </c>
      <c r="G1313">
        <v>1</v>
      </c>
      <c r="H1313" t="str">
        <f t="shared" si="20"/>
        <v>Night Usage</v>
      </c>
      <c r="I1313">
        <v>7.1</v>
      </c>
      <c r="J1313" s="3">
        <v>9</v>
      </c>
      <c r="K1313">
        <v>4.7</v>
      </c>
      <c r="L1313" t="s">
        <v>20</v>
      </c>
      <c r="M1313">
        <v>9</v>
      </c>
      <c r="N1313">
        <v>0</v>
      </c>
      <c r="O1313">
        <v>0</v>
      </c>
      <c r="P1313">
        <v>1</v>
      </c>
      <c r="Q1313">
        <v>0</v>
      </c>
      <c r="R1313">
        <v>1</v>
      </c>
      <c r="S1313">
        <v>0</v>
      </c>
      <c r="T1313" t="str">
        <f>IF(mental_health[Sleep_Hours]&lt;5,"Low",IF(mental_health[Sleep_Hours]&lt;7,"Medium","Good"))</f>
        <v>Good</v>
      </c>
      <c r="U1313" t="str">
        <f>IF(mental_health[Stress_Level]&lt;=3,"Low",IF(mental_health[Stress_Level]&lt;=7,"Medium","High"))</f>
        <v>High</v>
      </c>
      <c r="V1313" t="str">
        <f>IF(mental_health[Daily_Screen_Time]&lt;=4,"Low",IF(mental_health[Daily_Screen_Time]&lt;=8,"Medium","High"))</f>
        <v>High</v>
      </c>
    </row>
    <row r="1314" spans="1:22" x14ac:dyDescent="0.3">
      <c r="A1314">
        <v>1313</v>
      </c>
      <c r="B1314">
        <v>41</v>
      </c>
      <c r="C1314" t="s">
        <v>23</v>
      </c>
      <c r="D1314" t="s">
        <v>24</v>
      </c>
      <c r="E1314">
        <v>7.6</v>
      </c>
      <c r="F1314">
        <v>3</v>
      </c>
      <c r="G1314">
        <v>1</v>
      </c>
      <c r="H1314" t="str">
        <f t="shared" si="20"/>
        <v>Night Usage</v>
      </c>
      <c r="I1314">
        <v>9</v>
      </c>
      <c r="J1314" s="3">
        <v>7</v>
      </c>
      <c r="K1314">
        <v>10.9</v>
      </c>
      <c r="L1314" t="s">
        <v>25</v>
      </c>
      <c r="M1314">
        <v>10</v>
      </c>
      <c r="N1314">
        <v>0</v>
      </c>
      <c r="O1314">
        <v>1</v>
      </c>
      <c r="P1314">
        <v>0</v>
      </c>
      <c r="Q1314">
        <v>0</v>
      </c>
      <c r="R1314">
        <v>0</v>
      </c>
      <c r="S1314">
        <v>1</v>
      </c>
      <c r="T1314" t="str">
        <f>IF(mental_health[Sleep_Hours]&lt;5,"Low",IF(mental_health[Sleep_Hours]&lt;7,"Medium","Good"))</f>
        <v>Good</v>
      </c>
      <c r="U1314" t="str">
        <f>IF(mental_health[Stress_Level]&lt;=3,"Low",IF(mental_health[Stress_Level]&lt;=7,"Medium","High"))</f>
        <v>Medium</v>
      </c>
      <c r="V1314" t="str">
        <f>IF(mental_health[Daily_Screen_Time]&lt;=4,"Low",IF(mental_health[Daily_Screen_Time]&lt;=8,"Medium","High"))</f>
        <v>Medium</v>
      </c>
    </row>
    <row r="1315" spans="1:22" x14ac:dyDescent="0.3">
      <c r="A1315">
        <v>1314</v>
      </c>
      <c r="B1315">
        <v>17</v>
      </c>
      <c r="C1315" t="s">
        <v>23</v>
      </c>
      <c r="D1315" t="s">
        <v>22</v>
      </c>
      <c r="E1315">
        <v>7.1</v>
      </c>
      <c r="F1315">
        <v>4.2</v>
      </c>
      <c r="G1315">
        <v>0</v>
      </c>
      <c r="H1315" t="str">
        <f t="shared" si="20"/>
        <v>No Night Usage</v>
      </c>
      <c r="I1315">
        <v>4.4000000000000004</v>
      </c>
      <c r="J1315" s="3">
        <v>1</v>
      </c>
      <c r="K1315">
        <v>11.8</v>
      </c>
      <c r="L1315" t="s">
        <v>25</v>
      </c>
      <c r="M1315">
        <v>2</v>
      </c>
      <c r="N1315">
        <v>4</v>
      </c>
      <c r="O1315">
        <v>0</v>
      </c>
      <c r="P1315">
        <v>0</v>
      </c>
      <c r="Q1315">
        <v>1</v>
      </c>
      <c r="R1315">
        <v>1</v>
      </c>
      <c r="S1315">
        <v>0</v>
      </c>
      <c r="T1315" t="str">
        <f>IF(mental_health[Sleep_Hours]&lt;5,"Low",IF(mental_health[Sleep_Hours]&lt;7,"Medium","Good"))</f>
        <v>Low</v>
      </c>
      <c r="U1315" t="str">
        <f>IF(mental_health[Stress_Level]&lt;=3,"Low",IF(mental_health[Stress_Level]&lt;=7,"Medium","High"))</f>
        <v>Low</v>
      </c>
      <c r="V1315" t="str">
        <f>IF(mental_health[Daily_Screen_Time]&lt;=4,"Low",IF(mental_health[Daily_Screen_Time]&lt;=8,"Medium","High"))</f>
        <v>Medium</v>
      </c>
    </row>
    <row r="1316" spans="1:22" x14ac:dyDescent="0.3">
      <c r="A1316">
        <v>1315</v>
      </c>
      <c r="B1316">
        <v>24</v>
      </c>
      <c r="C1316" t="s">
        <v>23</v>
      </c>
      <c r="D1316" t="s">
        <v>24</v>
      </c>
      <c r="E1316">
        <v>3</v>
      </c>
      <c r="F1316">
        <v>5.7</v>
      </c>
      <c r="G1316">
        <v>0</v>
      </c>
      <c r="H1316" t="str">
        <f t="shared" si="20"/>
        <v>No Night Usage</v>
      </c>
      <c r="I1316">
        <v>6.7</v>
      </c>
      <c r="J1316" s="3">
        <v>1</v>
      </c>
      <c r="K1316">
        <v>6.9</v>
      </c>
      <c r="L1316" t="s">
        <v>21</v>
      </c>
      <c r="M1316">
        <v>7</v>
      </c>
      <c r="N1316">
        <v>0</v>
      </c>
      <c r="O1316">
        <v>0</v>
      </c>
      <c r="P1316">
        <v>1</v>
      </c>
      <c r="Q1316">
        <v>0</v>
      </c>
      <c r="R1316">
        <v>0</v>
      </c>
      <c r="S1316">
        <v>1</v>
      </c>
      <c r="T1316" t="str">
        <f>IF(mental_health[Sleep_Hours]&lt;5,"Low",IF(mental_health[Sleep_Hours]&lt;7,"Medium","Good"))</f>
        <v>Medium</v>
      </c>
      <c r="U1316" t="str">
        <f>IF(mental_health[Stress_Level]&lt;=3,"Low",IF(mental_health[Stress_Level]&lt;=7,"Medium","High"))</f>
        <v>Low</v>
      </c>
      <c r="V1316" t="str">
        <f>IF(mental_health[Daily_Screen_Time]&lt;=4,"Low",IF(mental_health[Daily_Screen_Time]&lt;=8,"Medium","High"))</f>
        <v>Low</v>
      </c>
    </row>
    <row r="1317" spans="1:22" x14ac:dyDescent="0.3">
      <c r="A1317">
        <v>1316</v>
      </c>
      <c r="B1317">
        <v>24</v>
      </c>
      <c r="C1317" t="s">
        <v>23</v>
      </c>
      <c r="D1317" t="s">
        <v>19</v>
      </c>
      <c r="E1317">
        <v>2.2000000000000002</v>
      </c>
      <c r="F1317">
        <v>2.1</v>
      </c>
      <c r="G1317">
        <v>1</v>
      </c>
      <c r="H1317" t="str">
        <f t="shared" si="20"/>
        <v>Night Usage</v>
      </c>
      <c r="I1317">
        <v>5.8</v>
      </c>
      <c r="J1317" s="3">
        <v>1</v>
      </c>
      <c r="K1317">
        <v>11.4</v>
      </c>
      <c r="L1317" t="s">
        <v>20</v>
      </c>
      <c r="M1317">
        <v>3</v>
      </c>
      <c r="N1317">
        <v>4</v>
      </c>
      <c r="O1317">
        <v>1</v>
      </c>
      <c r="P1317">
        <v>0</v>
      </c>
      <c r="Q1317">
        <v>0</v>
      </c>
      <c r="R1317">
        <v>1</v>
      </c>
      <c r="S1317">
        <v>0</v>
      </c>
      <c r="T1317" t="str">
        <f>IF(mental_health[Sleep_Hours]&lt;5,"Low",IF(mental_health[Sleep_Hours]&lt;7,"Medium","Good"))</f>
        <v>Medium</v>
      </c>
      <c r="U1317" t="str">
        <f>IF(mental_health[Stress_Level]&lt;=3,"Low",IF(mental_health[Stress_Level]&lt;=7,"Medium","High"))</f>
        <v>Low</v>
      </c>
      <c r="V1317" t="str">
        <f>IF(mental_health[Daily_Screen_Time]&lt;=4,"Low",IF(mental_health[Daily_Screen_Time]&lt;=8,"Medium","High"))</f>
        <v>Low</v>
      </c>
    </row>
    <row r="1318" spans="1:22" x14ac:dyDescent="0.3">
      <c r="A1318">
        <v>1317</v>
      </c>
      <c r="B1318">
        <v>55</v>
      </c>
      <c r="C1318" t="s">
        <v>18</v>
      </c>
      <c r="D1318" t="s">
        <v>19</v>
      </c>
      <c r="E1318">
        <v>11.6</v>
      </c>
      <c r="F1318">
        <v>4.4000000000000004</v>
      </c>
      <c r="G1318">
        <v>1</v>
      </c>
      <c r="H1318" t="str">
        <f t="shared" si="20"/>
        <v>Night Usage</v>
      </c>
      <c r="I1318">
        <v>3.2</v>
      </c>
      <c r="J1318" s="3">
        <v>2</v>
      </c>
      <c r="K1318">
        <v>2</v>
      </c>
      <c r="L1318" t="s">
        <v>21</v>
      </c>
      <c r="M1318">
        <v>10</v>
      </c>
      <c r="N1318">
        <v>4</v>
      </c>
      <c r="O1318">
        <v>0</v>
      </c>
      <c r="P1318">
        <v>0</v>
      </c>
      <c r="Q1318">
        <v>1</v>
      </c>
      <c r="R1318">
        <v>1</v>
      </c>
      <c r="S1318">
        <v>0</v>
      </c>
      <c r="T1318" t="str">
        <f>IF(mental_health[Sleep_Hours]&lt;5,"Low",IF(mental_health[Sleep_Hours]&lt;7,"Medium","Good"))</f>
        <v>Low</v>
      </c>
      <c r="U1318" t="str">
        <f>IF(mental_health[Stress_Level]&lt;=3,"Low",IF(mental_health[Stress_Level]&lt;=7,"Medium","High"))</f>
        <v>Low</v>
      </c>
      <c r="V1318" t="str">
        <f>IF(mental_health[Daily_Screen_Time]&lt;=4,"Low",IF(mental_health[Daily_Screen_Time]&lt;=8,"Medium","High"))</f>
        <v>High</v>
      </c>
    </row>
    <row r="1319" spans="1:22" x14ac:dyDescent="0.3">
      <c r="A1319">
        <v>1318</v>
      </c>
      <c r="B1319">
        <v>32</v>
      </c>
      <c r="C1319" t="s">
        <v>18</v>
      </c>
      <c r="D1319" t="s">
        <v>24</v>
      </c>
      <c r="E1319">
        <v>5.8</v>
      </c>
      <c r="F1319">
        <v>6.2</v>
      </c>
      <c r="G1319">
        <v>1</v>
      </c>
      <c r="H1319" t="str">
        <f t="shared" si="20"/>
        <v>Night Usage</v>
      </c>
      <c r="I1319">
        <v>3.1</v>
      </c>
      <c r="J1319" s="3">
        <v>1</v>
      </c>
      <c r="K1319">
        <v>10.9</v>
      </c>
      <c r="L1319" t="s">
        <v>21</v>
      </c>
      <c r="M1319">
        <v>8</v>
      </c>
      <c r="N1319">
        <v>2</v>
      </c>
      <c r="O1319">
        <v>1</v>
      </c>
      <c r="P1319">
        <v>0</v>
      </c>
      <c r="Q1319">
        <v>0</v>
      </c>
      <c r="R1319">
        <v>0</v>
      </c>
      <c r="S1319">
        <v>0</v>
      </c>
      <c r="T1319" t="str">
        <f>IF(mental_health[Sleep_Hours]&lt;5,"Low",IF(mental_health[Sleep_Hours]&lt;7,"Medium","Good"))</f>
        <v>Low</v>
      </c>
      <c r="U1319" t="str">
        <f>IF(mental_health[Stress_Level]&lt;=3,"Low",IF(mental_health[Stress_Level]&lt;=7,"Medium","High"))</f>
        <v>Low</v>
      </c>
      <c r="V1319" t="str">
        <f>IF(mental_health[Daily_Screen_Time]&lt;=4,"Low",IF(mental_health[Daily_Screen_Time]&lt;=8,"Medium","High"))</f>
        <v>Medium</v>
      </c>
    </row>
    <row r="1320" spans="1:22" x14ac:dyDescent="0.3">
      <c r="A1320">
        <v>1319</v>
      </c>
      <c r="B1320">
        <v>16</v>
      </c>
      <c r="C1320" t="s">
        <v>18</v>
      </c>
      <c r="D1320" t="s">
        <v>22</v>
      </c>
      <c r="E1320">
        <v>8</v>
      </c>
      <c r="F1320">
        <v>7.1</v>
      </c>
      <c r="G1320">
        <v>0</v>
      </c>
      <c r="H1320" t="str">
        <f t="shared" si="20"/>
        <v>No Night Usage</v>
      </c>
      <c r="I1320">
        <v>3.7</v>
      </c>
      <c r="J1320" s="3">
        <v>4</v>
      </c>
      <c r="K1320">
        <v>5.0999999999999996</v>
      </c>
      <c r="L1320" t="s">
        <v>21</v>
      </c>
      <c r="M1320">
        <v>4</v>
      </c>
      <c r="N1320">
        <v>0</v>
      </c>
      <c r="O1320">
        <v>1</v>
      </c>
      <c r="P1320">
        <v>1</v>
      </c>
      <c r="Q1320">
        <v>1</v>
      </c>
      <c r="R1320">
        <v>0</v>
      </c>
      <c r="S1320">
        <v>1</v>
      </c>
      <c r="T1320" t="str">
        <f>IF(mental_health[Sleep_Hours]&lt;5,"Low",IF(mental_health[Sleep_Hours]&lt;7,"Medium","Good"))</f>
        <v>Low</v>
      </c>
      <c r="U1320" t="str">
        <f>IF(mental_health[Stress_Level]&lt;=3,"Low",IF(mental_health[Stress_Level]&lt;=7,"Medium","High"))</f>
        <v>Medium</v>
      </c>
      <c r="V1320" t="str">
        <f>IF(mental_health[Daily_Screen_Time]&lt;=4,"Low",IF(mental_health[Daily_Screen_Time]&lt;=8,"Medium","High"))</f>
        <v>Medium</v>
      </c>
    </row>
    <row r="1321" spans="1:22" x14ac:dyDescent="0.3">
      <c r="A1321">
        <v>1320</v>
      </c>
      <c r="B1321">
        <v>40</v>
      </c>
      <c r="C1321" t="s">
        <v>23</v>
      </c>
      <c r="D1321" t="s">
        <v>22</v>
      </c>
      <c r="E1321">
        <v>2.8</v>
      </c>
      <c r="F1321">
        <v>5.4</v>
      </c>
      <c r="G1321">
        <v>1</v>
      </c>
      <c r="H1321" t="str">
        <f t="shared" si="20"/>
        <v>Night Usage</v>
      </c>
      <c r="I1321">
        <v>6.9</v>
      </c>
      <c r="J1321" s="3">
        <v>10</v>
      </c>
      <c r="K1321">
        <v>5.0999999999999996</v>
      </c>
      <c r="L1321" t="s">
        <v>20</v>
      </c>
      <c r="M1321">
        <v>4</v>
      </c>
      <c r="N1321">
        <v>1</v>
      </c>
      <c r="O1321">
        <v>0</v>
      </c>
      <c r="P1321">
        <v>0</v>
      </c>
      <c r="Q1321">
        <v>0</v>
      </c>
      <c r="R1321">
        <v>0</v>
      </c>
      <c r="S1321">
        <v>1</v>
      </c>
      <c r="T1321" t="str">
        <f>IF(mental_health[Sleep_Hours]&lt;5,"Low",IF(mental_health[Sleep_Hours]&lt;7,"Medium","Good"))</f>
        <v>Medium</v>
      </c>
      <c r="U1321" t="str">
        <f>IF(mental_health[Stress_Level]&lt;=3,"Low",IF(mental_health[Stress_Level]&lt;=7,"Medium","High"))</f>
        <v>High</v>
      </c>
      <c r="V1321" t="str">
        <f>IF(mental_health[Daily_Screen_Time]&lt;=4,"Low",IF(mental_health[Daily_Screen_Time]&lt;=8,"Medium","High"))</f>
        <v>Low</v>
      </c>
    </row>
    <row r="1322" spans="1:22" x14ac:dyDescent="0.3">
      <c r="A1322">
        <v>1321</v>
      </c>
      <c r="B1322">
        <v>58</v>
      </c>
      <c r="C1322" t="s">
        <v>18</v>
      </c>
      <c r="D1322" t="s">
        <v>22</v>
      </c>
      <c r="E1322">
        <v>8.8000000000000007</v>
      </c>
      <c r="F1322">
        <v>5.7</v>
      </c>
      <c r="G1322">
        <v>0</v>
      </c>
      <c r="H1322" t="str">
        <f t="shared" si="20"/>
        <v>No Night Usage</v>
      </c>
      <c r="I1322">
        <v>6.4</v>
      </c>
      <c r="J1322" s="3">
        <v>9</v>
      </c>
      <c r="K1322">
        <v>4.3</v>
      </c>
      <c r="L1322" t="s">
        <v>25</v>
      </c>
      <c r="M1322">
        <v>9</v>
      </c>
      <c r="N1322">
        <v>0</v>
      </c>
      <c r="O1322">
        <v>0</v>
      </c>
      <c r="P1322">
        <v>0</v>
      </c>
      <c r="Q1322">
        <v>1</v>
      </c>
      <c r="R1322">
        <v>1</v>
      </c>
      <c r="S1322">
        <v>1</v>
      </c>
      <c r="T1322" t="str">
        <f>IF(mental_health[Sleep_Hours]&lt;5,"Low",IF(mental_health[Sleep_Hours]&lt;7,"Medium","Good"))</f>
        <v>Medium</v>
      </c>
      <c r="U1322" t="str">
        <f>IF(mental_health[Stress_Level]&lt;=3,"Low",IF(mental_health[Stress_Level]&lt;=7,"Medium","High"))</f>
        <v>High</v>
      </c>
      <c r="V1322" t="str">
        <f>IF(mental_health[Daily_Screen_Time]&lt;=4,"Low",IF(mental_health[Daily_Screen_Time]&lt;=8,"Medium","High"))</f>
        <v>High</v>
      </c>
    </row>
    <row r="1323" spans="1:22" x14ac:dyDescent="0.3">
      <c r="A1323">
        <v>1322</v>
      </c>
      <c r="B1323">
        <v>55</v>
      </c>
      <c r="C1323" t="s">
        <v>18</v>
      </c>
      <c r="D1323" t="s">
        <v>22</v>
      </c>
      <c r="E1323">
        <v>11.3</v>
      </c>
      <c r="F1323">
        <v>1.9</v>
      </c>
      <c r="G1323">
        <v>0</v>
      </c>
      <c r="H1323" t="str">
        <f t="shared" si="20"/>
        <v>No Night Usage</v>
      </c>
      <c r="I1323">
        <v>6.3</v>
      </c>
      <c r="J1323" s="3">
        <v>4</v>
      </c>
      <c r="K1323">
        <v>5.2</v>
      </c>
      <c r="L1323" t="s">
        <v>25</v>
      </c>
      <c r="M1323">
        <v>3</v>
      </c>
      <c r="N1323">
        <v>0</v>
      </c>
      <c r="O1323">
        <v>1</v>
      </c>
      <c r="P1323">
        <v>0</v>
      </c>
      <c r="Q1323">
        <v>1</v>
      </c>
      <c r="R1323">
        <v>1</v>
      </c>
      <c r="S1323">
        <v>0</v>
      </c>
      <c r="T1323" t="str">
        <f>IF(mental_health[Sleep_Hours]&lt;5,"Low",IF(mental_health[Sleep_Hours]&lt;7,"Medium","Good"))</f>
        <v>Medium</v>
      </c>
      <c r="U1323" t="str">
        <f>IF(mental_health[Stress_Level]&lt;=3,"Low",IF(mental_health[Stress_Level]&lt;=7,"Medium","High"))</f>
        <v>Medium</v>
      </c>
      <c r="V1323" t="str">
        <f>IF(mental_health[Daily_Screen_Time]&lt;=4,"Low",IF(mental_health[Daily_Screen_Time]&lt;=8,"Medium","High"))</f>
        <v>High</v>
      </c>
    </row>
    <row r="1324" spans="1:22" x14ac:dyDescent="0.3">
      <c r="A1324">
        <v>1323</v>
      </c>
      <c r="B1324">
        <v>57</v>
      </c>
      <c r="C1324" t="s">
        <v>23</v>
      </c>
      <c r="D1324" t="s">
        <v>24</v>
      </c>
      <c r="E1324">
        <v>7.8</v>
      </c>
      <c r="F1324">
        <v>7.6</v>
      </c>
      <c r="G1324">
        <v>0</v>
      </c>
      <c r="H1324" t="str">
        <f t="shared" si="20"/>
        <v>No Night Usage</v>
      </c>
      <c r="I1324">
        <v>3.2</v>
      </c>
      <c r="J1324" s="3">
        <v>4</v>
      </c>
      <c r="K1324">
        <v>4.0999999999999996</v>
      </c>
      <c r="L1324" t="s">
        <v>20</v>
      </c>
      <c r="M1324">
        <v>7</v>
      </c>
      <c r="N1324">
        <v>3</v>
      </c>
      <c r="O1324">
        <v>1</v>
      </c>
      <c r="P1324">
        <v>1</v>
      </c>
      <c r="Q1324">
        <v>1</v>
      </c>
      <c r="R1324">
        <v>0</v>
      </c>
      <c r="S1324">
        <v>0</v>
      </c>
      <c r="T1324" t="str">
        <f>IF(mental_health[Sleep_Hours]&lt;5,"Low",IF(mental_health[Sleep_Hours]&lt;7,"Medium","Good"))</f>
        <v>Low</v>
      </c>
      <c r="U1324" t="str">
        <f>IF(mental_health[Stress_Level]&lt;=3,"Low",IF(mental_health[Stress_Level]&lt;=7,"Medium","High"))</f>
        <v>Medium</v>
      </c>
      <c r="V1324" t="str">
        <f>IF(mental_health[Daily_Screen_Time]&lt;=4,"Low",IF(mental_health[Daily_Screen_Time]&lt;=8,"Medium","High"))</f>
        <v>Medium</v>
      </c>
    </row>
    <row r="1325" spans="1:22" x14ac:dyDescent="0.3">
      <c r="A1325">
        <v>1324</v>
      </c>
      <c r="B1325">
        <v>40</v>
      </c>
      <c r="C1325" t="s">
        <v>23</v>
      </c>
      <c r="D1325" t="s">
        <v>24</v>
      </c>
      <c r="E1325">
        <v>3.3</v>
      </c>
      <c r="F1325">
        <v>1.9</v>
      </c>
      <c r="G1325">
        <v>0</v>
      </c>
      <c r="H1325" t="str">
        <f t="shared" si="20"/>
        <v>No Night Usage</v>
      </c>
      <c r="I1325">
        <v>5.8</v>
      </c>
      <c r="J1325" s="3">
        <v>7</v>
      </c>
      <c r="K1325">
        <v>11.1</v>
      </c>
      <c r="L1325" t="s">
        <v>25</v>
      </c>
      <c r="M1325">
        <v>1</v>
      </c>
      <c r="N1325">
        <v>1</v>
      </c>
      <c r="O1325">
        <v>1</v>
      </c>
      <c r="P1325">
        <v>1</v>
      </c>
      <c r="Q1325">
        <v>0</v>
      </c>
      <c r="R1325">
        <v>1</v>
      </c>
      <c r="S1325">
        <v>1</v>
      </c>
      <c r="T1325" t="str">
        <f>IF(mental_health[Sleep_Hours]&lt;5,"Low",IF(mental_health[Sleep_Hours]&lt;7,"Medium","Good"))</f>
        <v>Medium</v>
      </c>
      <c r="U1325" t="str">
        <f>IF(mental_health[Stress_Level]&lt;=3,"Low",IF(mental_health[Stress_Level]&lt;=7,"Medium","High"))</f>
        <v>Medium</v>
      </c>
      <c r="V1325" t="str">
        <f>IF(mental_health[Daily_Screen_Time]&lt;=4,"Low",IF(mental_health[Daily_Screen_Time]&lt;=8,"Medium","High"))</f>
        <v>Low</v>
      </c>
    </row>
    <row r="1326" spans="1:22" x14ac:dyDescent="0.3">
      <c r="A1326">
        <v>1325</v>
      </c>
      <c r="B1326">
        <v>54</v>
      </c>
      <c r="C1326" t="s">
        <v>23</v>
      </c>
      <c r="D1326" t="s">
        <v>19</v>
      </c>
      <c r="E1326">
        <v>7.8</v>
      </c>
      <c r="F1326">
        <v>6.4</v>
      </c>
      <c r="G1326">
        <v>1</v>
      </c>
      <c r="H1326" t="str">
        <f t="shared" si="20"/>
        <v>Night Usage</v>
      </c>
      <c r="I1326">
        <v>8.5</v>
      </c>
      <c r="J1326" s="3">
        <v>9</v>
      </c>
      <c r="K1326">
        <v>11</v>
      </c>
      <c r="L1326" t="s">
        <v>20</v>
      </c>
      <c r="M1326">
        <v>7</v>
      </c>
      <c r="N1326">
        <v>1</v>
      </c>
      <c r="O1326">
        <v>0</v>
      </c>
      <c r="P1326">
        <v>1</v>
      </c>
      <c r="Q1326">
        <v>1</v>
      </c>
      <c r="R1326">
        <v>1</v>
      </c>
      <c r="S1326">
        <v>1</v>
      </c>
      <c r="T1326" t="str">
        <f>IF(mental_health[Sleep_Hours]&lt;5,"Low",IF(mental_health[Sleep_Hours]&lt;7,"Medium","Good"))</f>
        <v>Good</v>
      </c>
      <c r="U1326" t="str">
        <f>IF(mental_health[Stress_Level]&lt;=3,"Low",IF(mental_health[Stress_Level]&lt;=7,"Medium","High"))</f>
        <v>High</v>
      </c>
      <c r="V1326" t="str">
        <f>IF(mental_health[Daily_Screen_Time]&lt;=4,"Low",IF(mental_health[Daily_Screen_Time]&lt;=8,"Medium","High"))</f>
        <v>Medium</v>
      </c>
    </row>
    <row r="1327" spans="1:22" x14ac:dyDescent="0.3">
      <c r="A1327">
        <v>1326</v>
      </c>
      <c r="B1327">
        <v>50</v>
      </c>
      <c r="C1327" t="s">
        <v>23</v>
      </c>
      <c r="D1327" t="s">
        <v>22</v>
      </c>
      <c r="E1327">
        <v>9.6999999999999993</v>
      </c>
      <c r="F1327">
        <v>2.9</v>
      </c>
      <c r="G1327">
        <v>0</v>
      </c>
      <c r="H1327" t="str">
        <f t="shared" si="20"/>
        <v>No Night Usage</v>
      </c>
      <c r="I1327">
        <v>5.4</v>
      </c>
      <c r="J1327" s="3">
        <v>7</v>
      </c>
      <c r="K1327">
        <v>3</v>
      </c>
      <c r="L1327" t="s">
        <v>20</v>
      </c>
      <c r="M1327">
        <v>10</v>
      </c>
      <c r="N1327">
        <v>3</v>
      </c>
      <c r="O1327">
        <v>0</v>
      </c>
      <c r="P1327">
        <v>0</v>
      </c>
      <c r="Q1327">
        <v>0</v>
      </c>
      <c r="R1327">
        <v>1</v>
      </c>
      <c r="S1327">
        <v>1</v>
      </c>
      <c r="T1327" t="str">
        <f>IF(mental_health[Sleep_Hours]&lt;5,"Low",IF(mental_health[Sleep_Hours]&lt;7,"Medium","Good"))</f>
        <v>Medium</v>
      </c>
      <c r="U1327" t="str">
        <f>IF(mental_health[Stress_Level]&lt;=3,"Low",IF(mental_health[Stress_Level]&lt;=7,"Medium","High"))</f>
        <v>Medium</v>
      </c>
      <c r="V1327" t="str">
        <f>IF(mental_health[Daily_Screen_Time]&lt;=4,"Low",IF(mental_health[Daily_Screen_Time]&lt;=8,"Medium","High"))</f>
        <v>High</v>
      </c>
    </row>
    <row r="1328" spans="1:22" x14ac:dyDescent="0.3">
      <c r="A1328">
        <v>1327</v>
      </c>
      <c r="B1328">
        <v>18</v>
      </c>
      <c r="C1328" t="s">
        <v>18</v>
      </c>
      <c r="D1328" t="s">
        <v>22</v>
      </c>
      <c r="E1328">
        <v>6.1</v>
      </c>
      <c r="F1328">
        <v>7.5</v>
      </c>
      <c r="G1328">
        <v>0</v>
      </c>
      <c r="H1328" t="str">
        <f t="shared" si="20"/>
        <v>No Night Usage</v>
      </c>
      <c r="I1328">
        <v>6.7</v>
      </c>
      <c r="J1328" s="3">
        <v>1</v>
      </c>
      <c r="K1328">
        <v>3.4</v>
      </c>
      <c r="L1328" t="s">
        <v>25</v>
      </c>
      <c r="M1328">
        <v>2</v>
      </c>
      <c r="N1328">
        <v>3</v>
      </c>
      <c r="O1328">
        <v>1</v>
      </c>
      <c r="P1328">
        <v>1</v>
      </c>
      <c r="Q1328">
        <v>0</v>
      </c>
      <c r="R1328">
        <v>0</v>
      </c>
      <c r="S1328">
        <v>0</v>
      </c>
      <c r="T1328" t="str">
        <f>IF(mental_health[Sleep_Hours]&lt;5,"Low",IF(mental_health[Sleep_Hours]&lt;7,"Medium","Good"))</f>
        <v>Medium</v>
      </c>
      <c r="U1328" t="str">
        <f>IF(mental_health[Stress_Level]&lt;=3,"Low",IF(mental_health[Stress_Level]&lt;=7,"Medium","High"))</f>
        <v>Low</v>
      </c>
      <c r="V1328" t="str">
        <f>IF(mental_health[Daily_Screen_Time]&lt;=4,"Low",IF(mental_health[Daily_Screen_Time]&lt;=8,"Medium","High"))</f>
        <v>Medium</v>
      </c>
    </row>
    <row r="1329" spans="1:22" x14ac:dyDescent="0.3">
      <c r="A1329">
        <v>1328</v>
      </c>
      <c r="B1329">
        <v>52</v>
      </c>
      <c r="C1329" t="s">
        <v>23</v>
      </c>
      <c r="D1329" t="s">
        <v>22</v>
      </c>
      <c r="E1329">
        <v>10.8</v>
      </c>
      <c r="F1329">
        <v>6</v>
      </c>
      <c r="G1329">
        <v>1</v>
      </c>
      <c r="H1329" t="str">
        <f t="shared" si="20"/>
        <v>Night Usage</v>
      </c>
      <c r="I1329">
        <v>7.7</v>
      </c>
      <c r="J1329" s="3">
        <v>1</v>
      </c>
      <c r="K1329">
        <v>10.6</v>
      </c>
      <c r="L1329" t="s">
        <v>21</v>
      </c>
      <c r="M1329">
        <v>6</v>
      </c>
      <c r="N1329">
        <v>0</v>
      </c>
      <c r="O1329">
        <v>0</v>
      </c>
      <c r="P1329">
        <v>0</v>
      </c>
      <c r="Q1329">
        <v>1</v>
      </c>
      <c r="R1329">
        <v>0</v>
      </c>
      <c r="S1329">
        <v>0</v>
      </c>
      <c r="T1329" t="str">
        <f>IF(mental_health[Sleep_Hours]&lt;5,"Low",IF(mental_health[Sleep_Hours]&lt;7,"Medium","Good"))</f>
        <v>Good</v>
      </c>
      <c r="U1329" t="str">
        <f>IF(mental_health[Stress_Level]&lt;=3,"Low",IF(mental_health[Stress_Level]&lt;=7,"Medium","High"))</f>
        <v>Low</v>
      </c>
      <c r="V1329" t="str">
        <f>IF(mental_health[Daily_Screen_Time]&lt;=4,"Low",IF(mental_health[Daily_Screen_Time]&lt;=8,"Medium","High"))</f>
        <v>High</v>
      </c>
    </row>
    <row r="1330" spans="1:22" x14ac:dyDescent="0.3">
      <c r="A1330">
        <v>1329</v>
      </c>
      <c r="B1330">
        <v>59</v>
      </c>
      <c r="C1330" t="s">
        <v>23</v>
      </c>
      <c r="D1330" t="s">
        <v>24</v>
      </c>
      <c r="E1330">
        <v>8.5</v>
      </c>
      <c r="F1330">
        <v>6.3</v>
      </c>
      <c r="G1330">
        <v>0</v>
      </c>
      <c r="H1330" t="str">
        <f t="shared" si="20"/>
        <v>No Night Usage</v>
      </c>
      <c r="I1330">
        <v>7.7</v>
      </c>
      <c r="J1330" s="3">
        <v>4</v>
      </c>
      <c r="K1330">
        <v>6</v>
      </c>
      <c r="L1330" t="s">
        <v>20</v>
      </c>
      <c r="M1330">
        <v>9</v>
      </c>
      <c r="N1330">
        <v>2</v>
      </c>
      <c r="O1330">
        <v>1</v>
      </c>
      <c r="P1330">
        <v>0</v>
      </c>
      <c r="Q1330">
        <v>1</v>
      </c>
      <c r="R1330">
        <v>1</v>
      </c>
      <c r="S1330">
        <v>1</v>
      </c>
      <c r="T1330" t="str">
        <f>IF(mental_health[Sleep_Hours]&lt;5,"Low",IF(mental_health[Sleep_Hours]&lt;7,"Medium","Good"))</f>
        <v>Good</v>
      </c>
      <c r="U1330" t="str">
        <f>IF(mental_health[Stress_Level]&lt;=3,"Low",IF(mental_health[Stress_Level]&lt;=7,"Medium","High"))</f>
        <v>Medium</v>
      </c>
      <c r="V1330" t="str">
        <f>IF(mental_health[Daily_Screen_Time]&lt;=4,"Low",IF(mental_health[Daily_Screen_Time]&lt;=8,"Medium","High"))</f>
        <v>High</v>
      </c>
    </row>
    <row r="1331" spans="1:22" x14ac:dyDescent="0.3">
      <c r="A1331">
        <v>1330</v>
      </c>
      <c r="B1331">
        <v>59</v>
      </c>
      <c r="C1331" t="s">
        <v>18</v>
      </c>
      <c r="D1331" t="s">
        <v>22</v>
      </c>
      <c r="E1331">
        <v>11</v>
      </c>
      <c r="F1331">
        <v>2.5</v>
      </c>
      <c r="G1331">
        <v>1</v>
      </c>
      <c r="H1331" t="str">
        <f t="shared" si="20"/>
        <v>Night Usage</v>
      </c>
      <c r="I1331">
        <v>6.1</v>
      </c>
      <c r="J1331" s="3">
        <v>4</v>
      </c>
      <c r="K1331">
        <v>3.7</v>
      </c>
      <c r="L1331" t="s">
        <v>20</v>
      </c>
      <c r="M1331">
        <v>6</v>
      </c>
      <c r="N1331">
        <v>3</v>
      </c>
      <c r="O1331">
        <v>0</v>
      </c>
      <c r="P1331">
        <v>1</v>
      </c>
      <c r="Q1331">
        <v>1</v>
      </c>
      <c r="R1331">
        <v>1</v>
      </c>
      <c r="S1331">
        <v>0</v>
      </c>
      <c r="T1331" t="str">
        <f>IF(mental_health[Sleep_Hours]&lt;5,"Low",IF(mental_health[Sleep_Hours]&lt;7,"Medium","Good"))</f>
        <v>Medium</v>
      </c>
      <c r="U1331" t="str">
        <f>IF(mental_health[Stress_Level]&lt;=3,"Low",IF(mental_health[Stress_Level]&lt;=7,"Medium","High"))</f>
        <v>Medium</v>
      </c>
      <c r="V1331" t="str">
        <f>IF(mental_health[Daily_Screen_Time]&lt;=4,"Low",IF(mental_health[Daily_Screen_Time]&lt;=8,"Medium","High"))</f>
        <v>High</v>
      </c>
    </row>
    <row r="1332" spans="1:22" x14ac:dyDescent="0.3">
      <c r="A1332">
        <v>1331</v>
      </c>
      <c r="B1332">
        <v>45</v>
      </c>
      <c r="C1332" t="s">
        <v>18</v>
      </c>
      <c r="D1332" t="s">
        <v>24</v>
      </c>
      <c r="E1332">
        <v>8.1999999999999993</v>
      </c>
      <c r="F1332">
        <v>4.0999999999999996</v>
      </c>
      <c r="G1332">
        <v>0</v>
      </c>
      <c r="H1332" t="str">
        <f t="shared" si="20"/>
        <v>No Night Usage</v>
      </c>
      <c r="I1332">
        <v>8.1</v>
      </c>
      <c r="J1332" s="3">
        <v>1</v>
      </c>
      <c r="K1332">
        <v>7.1</v>
      </c>
      <c r="L1332" t="s">
        <v>20</v>
      </c>
      <c r="M1332">
        <v>3</v>
      </c>
      <c r="N1332">
        <v>1</v>
      </c>
      <c r="O1332">
        <v>1</v>
      </c>
      <c r="P1332">
        <v>0</v>
      </c>
      <c r="Q1332">
        <v>0</v>
      </c>
      <c r="R1332">
        <v>0</v>
      </c>
      <c r="S1332">
        <v>0</v>
      </c>
      <c r="T1332" t="str">
        <f>IF(mental_health[Sleep_Hours]&lt;5,"Low",IF(mental_health[Sleep_Hours]&lt;7,"Medium","Good"))</f>
        <v>Good</v>
      </c>
      <c r="U1332" t="str">
        <f>IF(mental_health[Stress_Level]&lt;=3,"Low",IF(mental_health[Stress_Level]&lt;=7,"Medium","High"))</f>
        <v>Low</v>
      </c>
      <c r="V1332" t="str">
        <f>IF(mental_health[Daily_Screen_Time]&lt;=4,"Low",IF(mental_health[Daily_Screen_Time]&lt;=8,"Medium","High"))</f>
        <v>High</v>
      </c>
    </row>
    <row r="1333" spans="1:22" x14ac:dyDescent="0.3">
      <c r="A1333">
        <v>1332</v>
      </c>
      <c r="B1333">
        <v>53</v>
      </c>
      <c r="C1333" t="s">
        <v>23</v>
      </c>
      <c r="D1333" t="s">
        <v>22</v>
      </c>
      <c r="E1333">
        <v>3.3</v>
      </c>
      <c r="F1333">
        <v>5.3</v>
      </c>
      <c r="G1333">
        <v>1</v>
      </c>
      <c r="H1333" t="str">
        <f t="shared" si="20"/>
        <v>Night Usage</v>
      </c>
      <c r="I1333">
        <v>5.3</v>
      </c>
      <c r="J1333" s="3">
        <v>6</v>
      </c>
      <c r="K1333">
        <v>6.2</v>
      </c>
      <c r="L1333" t="s">
        <v>20</v>
      </c>
      <c r="M1333">
        <v>1</v>
      </c>
      <c r="N1333">
        <v>1</v>
      </c>
      <c r="O1333">
        <v>1</v>
      </c>
      <c r="P1333">
        <v>1</v>
      </c>
      <c r="Q1333">
        <v>1</v>
      </c>
      <c r="R1333">
        <v>1</v>
      </c>
      <c r="S1333">
        <v>1</v>
      </c>
      <c r="T1333" t="str">
        <f>IF(mental_health[Sleep_Hours]&lt;5,"Low",IF(mental_health[Sleep_Hours]&lt;7,"Medium","Good"))</f>
        <v>Medium</v>
      </c>
      <c r="U1333" t="str">
        <f>IF(mental_health[Stress_Level]&lt;=3,"Low",IF(mental_health[Stress_Level]&lt;=7,"Medium","High"))</f>
        <v>Medium</v>
      </c>
      <c r="V1333" t="str">
        <f>IF(mental_health[Daily_Screen_Time]&lt;=4,"Low",IF(mental_health[Daily_Screen_Time]&lt;=8,"Medium","High"))</f>
        <v>Low</v>
      </c>
    </row>
    <row r="1334" spans="1:22" x14ac:dyDescent="0.3">
      <c r="A1334">
        <v>1333</v>
      </c>
      <c r="B1334">
        <v>49</v>
      </c>
      <c r="C1334" t="s">
        <v>18</v>
      </c>
      <c r="D1334" t="s">
        <v>22</v>
      </c>
      <c r="E1334">
        <v>5.0999999999999996</v>
      </c>
      <c r="F1334">
        <v>6.4</v>
      </c>
      <c r="G1334">
        <v>0</v>
      </c>
      <c r="H1334" t="str">
        <f t="shared" si="20"/>
        <v>No Night Usage</v>
      </c>
      <c r="I1334">
        <v>8.3000000000000007</v>
      </c>
      <c r="J1334" s="3">
        <v>10</v>
      </c>
      <c r="K1334">
        <v>4.2</v>
      </c>
      <c r="L1334" t="s">
        <v>25</v>
      </c>
      <c r="M1334">
        <v>4</v>
      </c>
      <c r="N1334">
        <v>0</v>
      </c>
      <c r="O1334">
        <v>1</v>
      </c>
      <c r="P1334">
        <v>0</v>
      </c>
      <c r="Q1334">
        <v>0</v>
      </c>
      <c r="R1334">
        <v>1</v>
      </c>
      <c r="S1334">
        <v>0</v>
      </c>
      <c r="T1334" t="str">
        <f>IF(mental_health[Sleep_Hours]&lt;5,"Low",IF(mental_health[Sleep_Hours]&lt;7,"Medium","Good"))</f>
        <v>Good</v>
      </c>
      <c r="U1334" t="str">
        <f>IF(mental_health[Stress_Level]&lt;=3,"Low",IF(mental_health[Stress_Level]&lt;=7,"Medium","High"))</f>
        <v>High</v>
      </c>
      <c r="V1334" t="str">
        <f>IF(mental_health[Daily_Screen_Time]&lt;=4,"Low",IF(mental_health[Daily_Screen_Time]&lt;=8,"Medium","High"))</f>
        <v>Medium</v>
      </c>
    </row>
    <row r="1335" spans="1:22" x14ac:dyDescent="0.3">
      <c r="A1335">
        <v>1334</v>
      </c>
      <c r="B1335">
        <v>27</v>
      </c>
      <c r="C1335" t="s">
        <v>23</v>
      </c>
      <c r="D1335" t="s">
        <v>19</v>
      </c>
      <c r="E1335">
        <v>4</v>
      </c>
      <c r="F1335">
        <v>1.7</v>
      </c>
      <c r="G1335">
        <v>0</v>
      </c>
      <c r="H1335" t="str">
        <f t="shared" si="20"/>
        <v>No Night Usage</v>
      </c>
      <c r="I1335">
        <v>4.4000000000000004</v>
      </c>
      <c r="J1335" s="3">
        <v>2</v>
      </c>
      <c r="K1335">
        <v>9.1999999999999993</v>
      </c>
      <c r="L1335" t="s">
        <v>25</v>
      </c>
      <c r="M1335">
        <v>4</v>
      </c>
      <c r="N1335">
        <v>2</v>
      </c>
      <c r="O1335">
        <v>1</v>
      </c>
      <c r="P1335">
        <v>0</v>
      </c>
      <c r="Q1335">
        <v>0</v>
      </c>
      <c r="R1335">
        <v>0</v>
      </c>
      <c r="S1335">
        <v>0</v>
      </c>
      <c r="T1335" t="str">
        <f>IF(mental_health[Sleep_Hours]&lt;5,"Low",IF(mental_health[Sleep_Hours]&lt;7,"Medium","Good"))</f>
        <v>Low</v>
      </c>
      <c r="U1335" t="str">
        <f>IF(mental_health[Stress_Level]&lt;=3,"Low",IF(mental_health[Stress_Level]&lt;=7,"Medium","High"))</f>
        <v>Low</v>
      </c>
      <c r="V1335" t="str">
        <f>IF(mental_health[Daily_Screen_Time]&lt;=4,"Low",IF(mental_health[Daily_Screen_Time]&lt;=8,"Medium","High"))</f>
        <v>Low</v>
      </c>
    </row>
    <row r="1336" spans="1:22" x14ac:dyDescent="0.3">
      <c r="A1336">
        <v>1335</v>
      </c>
      <c r="B1336">
        <v>34</v>
      </c>
      <c r="C1336" t="s">
        <v>23</v>
      </c>
      <c r="D1336" t="s">
        <v>22</v>
      </c>
      <c r="E1336">
        <v>11.1</v>
      </c>
      <c r="F1336">
        <v>7.7</v>
      </c>
      <c r="G1336">
        <v>1</v>
      </c>
      <c r="H1336" t="str">
        <f t="shared" si="20"/>
        <v>Night Usage</v>
      </c>
      <c r="I1336">
        <v>4.7</v>
      </c>
      <c r="J1336" s="3">
        <v>5</v>
      </c>
      <c r="K1336">
        <v>8.3000000000000007</v>
      </c>
      <c r="L1336" t="s">
        <v>20</v>
      </c>
      <c r="M1336">
        <v>8</v>
      </c>
      <c r="N1336">
        <v>4</v>
      </c>
      <c r="O1336">
        <v>1</v>
      </c>
      <c r="P1336">
        <v>0</v>
      </c>
      <c r="Q1336">
        <v>0</v>
      </c>
      <c r="R1336">
        <v>0</v>
      </c>
      <c r="S1336">
        <v>1</v>
      </c>
      <c r="T1336" t="str">
        <f>IF(mental_health[Sleep_Hours]&lt;5,"Low",IF(mental_health[Sleep_Hours]&lt;7,"Medium","Good"))</f>
        <v>Low</v>
      </c>
      <c r="U1336" t="str">
        <f>IF(mental_health[Stress_Level]&lt;=3,"Low",IF(mental_health[Stress_Level]&lt;=7,"Medium","High"))</f>
        <v>Medium</v>
      </c>
      <c r="V1336" t="str">
        <f>IF(mental_health[Daily_Screen_Time]&lt;=4,"Low",IF(mental_health[Daily_Screen_Time]&lt;=8,"Medium","High"))</f>
        <v>High</v>
      </c>
    </row>
    <row r="1337" spans="1:22" x14ac:dyDescent="0.3">
      <c r="A1337">
        <v>1336</v>
      </c>
      <c r="B1337">
        <v>52</v>
      </c>
      <c r="C1337" t="s">
        <v>18</v>
      </c>
      <c r="D1337" t="s">
        <v>22</v>
      </c>
      <c r="E1337">
        <v>9.6</v>
      </c>
      <c r="F1337">
        <v>7.2</v>
      </c>
      <c r="G1337">
        <v>0</v>
      </c>
      <c r="H1337" t="str">
        <f t="shared" si="20"/>
        <v>No Night Usage</v>
      </c>
      <c r="I1337">
        <v>3.3</v>
      </c>
      <c r="J1337" s="3">
        <v>8</v>
      </c>
      <c r="K1337">
        <v>3</v>
      </c>
      <c r="L1337" t="s">
        <v>21</v>
      </c>
      <c r="M1337">
        <v>10</v>
      </c>
      <c r="N1337">
        <v>3</v>
      </c>
      <c r="O1337">
        <v>1</v>
      </c>
      <c r="P1337">
        <v>0</v>
      </c>
      <c r="Q1337">
        <v>1</v>
      </c>
      <c r="R1337">
        <v>1</v>
      </c>
      <c r="S1337">
        <v>1</v>
      </c>
      <c r="T1337" t="str">
        <f>IF(mental_health[Sleep_Hours]&lt;5,"Low",IF(mental_health[Sleep_Hours]&lt;7,"Medium","Good"))</f>
        <v>Low</v>
      </c>
      <c r="U1337" t="str">
        <f>IF(mental_health[Stress_Level]&lt;=3,"Low",IF(mental_health[Stress_Level]&lt;=7,"Medium","High"))</f>
        <v>High</v>
      </c>
      <c r="V1337" t="str">
        <f>IF(mental_health[Daily_Screen_Time]&lt;=4,"Low",IF(mental_health[Daily_Screen_Time]&lt;=8,"Medium","High"))</f>
        <v>High</v>
      </c>
    </row>
    <row r="1338" spans="1:22" x14ac:dyDescent="0.3">
      <c r="A1338">
        <v>1337</v>
      </c>
      <c r="B1338">
        <v>59</v>
      </c>
      <c r="C1338" t="s">
        <v>18</v>
      </c>
      <c r="D1338" t="s">
        <v>19</v>
      </c>
      <c r="E1338">
        <v>8.8000000000000007</v>
      </c>
      <c r="F1338">
        <v>2.9</v>
      </c>
      <c r="G1338">
        <v>0</v>
      </c>
      <c r="H1338" t="str">
        <f t="shared" si="20"/>
        <v>No Night Usage</v>
      </c>
      <c r="I1338">
        <v>7.8</v>
      </c>
      <c r="J1338" s="3">
        <v>3</v>
      </c>
      <c r="K1338">
        <v>11.3</v>
      </c>
      <c r="L1338" t="s">
        <v>25</v>
      </c>
      <c r="M1338">
        <v>10</v>
      </c>
      <c r="N1338">
        <v>3</v>
      </c>
      <c r="O1338">
        <v>0</v>
      </c>
      <c r="P1338">
        <v>0</v>
      </c>
      <c r="Q1338">
        <v>0</v>
      </c>
      <c r="R1338">
        <v>0</v>
      </c>
      <c r="S1338">
        <v>1</v>
      </c>
      <c r="T1338" t="str">
        <f>IF(mental_health[Sleep_Hours]&lt;5,"Low",IF(mental_health[Sleep_Hours]&lt;7,"Medium","Good"))</f>
        <v>Good</v>
      </c>
      <c r="U1338" t="str">
        <f>IF(mental_health[Stress_Level]&lt;=3,"Low",IF(mental_health[Stress_Level]&lt;=7,"Medium","High"))</f>
        <v>Low</v>
      </c>
      <c r="V1338" t="str">
        <f>IF(mental_health[Daily_Screen_Time]&lt;=4,"Low",IF(mental_health[Daily_Screen_Time]&lt;=8,"Medium","High"))</f>
        <v>High</v>
      </c>
    </row>
    <row r="1339" spans="1:22" x14ac:dyDescent="0.3">
      <c r="A1339">
        <v>1338</v>
      </c>
      <c r="B1339">
        <v>32</v>
      </c>
      <c r="C1339" t="s">
        <v>23</v>
      </c>
      <c r="D1339" t="s">
        <v>24</v>
      </c>
      <c r="E1339">
        <v>5</v>
      </c>
      <c r="F1339">
        <v>6.8</v>
      </c>
      <c r="G1339">
        <v>1</v>
      </c>
      <c r="H1339" t="str">
        <f t="shared" si="20"/>
        <v>Night Usage</v>
      </c>
      <c r="I1339">
        <v>5.5</v>
      </c>
      <c r="J1339" s="3">
        <v>9</v>
      </c>
      <c r="K1339">
        <v>7.6</v>
      </c>
      <c r="L1339" t="s">
        <v>21</v>
      </c>
      <c r="M1339">
        <v>7</v>
      </c>
      <c r="N1339">
        <v>0</v>
      </c>
      <c r="O1339">
        <v>1</v>
      </c>
      <c r="P1339">
        <v>1</v>
      </c>
      <c r="Q1339">
        <v>0</v>
      </c>
      <c r="R1339">
        <v>1</v>
      </c>
      <c r="S1339">
        <v>0</v>
      </c>
      <c r="T1339" t="str">
        <f>IF(mental_health[Sleep_Hours]&lt;5,"Low",IF(mental_health[Sleep_Hours]&lt;7,"Medium","Good"))</f>
        <v>Medium</v>
      </c>
      <c r="U1339" t="str">
        <f>IF(mental_health[Stress_Level]&lt;=3,"Low",IF(mental_health[Stress_Level]&lt;=7,"Medium","High"))</f>
        <v>High</v>
      </c>
      <c r="V1339" t="str">
        <f>IF(mental_health[Daily_Screen_Time]&lt;=4,"Low",IF(mental_health[Daily_Screen_Time]&lt;=8,"Medium","High"))</f>
        <v>Medium</v>
      </c>
    </row>
    <row r="1340" spans="1:22" x14ac:dyDescent="0.3">
      <c r="A1340">
        <v>1339</v>
      </c>
      <c r="B1340">
        <v>25</v>
      </c>
      <c r="C1340" t="s">
        <v>23</v>
      </c>
      <c r="D1340" t="s">
        <v>24</v>
      </c>
      <c r="E1340">
        <v>3.8</v>
      </c>
      <c r="F1340">
        <v>4.5999999999999996</v>
      </c>
      <c r="G1340">
        <v>0</v>
      </c>
      <c r="H1340" t="str">
        <f t="shared" si="20"/>
        <v>No Night Usage</v>
      </c>
      <c r="I1340">
        <v>4.4000000000000004</v>
      </c>
      <c r="J1340" s="3">
        <v>7</v>
      </c>
      <c r="K1340">
        <v>4.5</v>
      </c>
      <c r="L1340" t="s">
        <v>21</v>
      </c>
      <c r="M1340">
        <v>10</v>
      </c>
      <c r="N1340">
        <v>2</v>
      </c>
      <c r="O1340">
        <v>1</v>
      </c>
      <c r="P1340">
        <v>1</v>
      </c>
      <c r="Q1340">
        <v>0</v>
      </c>
      <c r="R1340">
        <v>1</v>
      </c>
      <c r="S1340">
        <v>1</v>
      </c>
      <c r="T1340" t="str">
        <f>IF(mental_health[Sleep_Hours]&lt;5,"Low",IF(mental_health[Sleep_Hours]&lt;7,"Medium","Good"))</f>
        <v>Low</v>
      </c>
      <c r="U1340" t="str">
        <f>IF(mental_health[Stress_Level]&lt;=3,"Low",IF(mental_health[Stress_Level]&lt;=7,"Medium","High"))</f>
        <v>Medium</v>
      </c>
      <c r="V1340" t="str">
        <f>IF(mental_health[Daily_Screen_Time]&lt;=4,"Low",IF(mental_health[Daily_Screen_Time]&lt;=8,"Medium","High"))</f>
        <v>Low</v>
      </c>
    </row>
    <row r="1341" spans="1:22" x14ac:dyDescent="0.3">
      <c r="A1341">
        <v>1340</v>
      </c>
      <c r="B1341">
        <v>27</v>
      </c>
      <c r="C1341" t="s">
        <v>23</v>
      </c>
      <c r="D1341" t="s">
        <v>22</v>
      </c>
      <c r="E1341">
        <v>9.6</v>
      </c>
      <c r="F1341">
        <v>4.2</v>
      </c>
      <c r="G1341">
        <v>0</v>
      </c>
      <c r="H1341" t="str">
        <f t="shared" si="20"/>
        <v>No Night Usage</v>
      </c>
      <c r="I1341">
        <v>4.4000000000000004</v>
      </c>
      <c r="J1341" s="3">
        <v>9</v>
      </c>
      <c r="K1341">
        <v>4.0999999999999996</v>
      </c>
      <c r="L1341" t="s">
        <v>20</v>
      </c>
      <c r="M1341">
        <v>7</v>
      </c>
      <c r="N1341">
        <v>1</v>
      </c>
      <c r="O1341">
        <v>1</v>
      </c>
      <c r="P1341">
        <v>1</v>
      </c>
      <c r="Q1341">
        <v>1</v>
      </c>
      <c r="R1341">
        <v>1</v>
      </c>
      <c r="S1341">
        <v>1</v>
      </c>
      <c r="T1341" t="str">
        <f>IF(mental_health[Sleep_Hours]&lt;5,"Low",IF(mental_health[Sleep_Hours]&lt;7,"Medium","Good"))</f>
        <v>Low</v>
      </c>
      <c r="U1341" t="str">
        <f>IF(mental_health[Stress_Level]&lt;=3,"Low",IF(mental_health[Stress_Level]&lt;=7,"Medium","High"))</f>
        <v>High</v>
      </c>
      <c r="V1341" t="str">
        <f>IF(mental_health[Daily_Screen_Time]&lt;=4,"Low",IF(mental_health[Daily_Screen_Time]&lt;=8,"Medium","High"))</f>
        <v>High</v>
      </c>
    </row>
    <row r="1342" spans="1:22" x14ac:dyDescent="0.3">
      <c r="A1342">
        <v>1341</v>
      </c>
      <c r="B1342">
        <v>31</v>
      </c>
      <c r="C1342" t="s">
        <v>18</v>
      </c>
      <c r="D1342" t="s">
        <v>24</v>
      </c>
      <c r="E1342">
        <v>6.7</v>
      </c>
      <c r="F1342">
        <v>3.2</v>
      </c>
      <c r="G1342">
        <v>1</v>
      </c>
      <c r="H1342" t="str">
        <f t="shared" si="20"/>
        <v>Night Usage</v>
      </c>
      <c r="I1342">
        <v>8.4</v>
      </c>
      <c r="J1342" s="3">
        <v>1</v>
      </c>
      <c r="K1342">
        <v>3.4</v>
      </c>
      <c r="L1342" t="s">
        <v>25</v>
      </c>
      <c r="M1342">
        <v>7</v>
      </c>
      <c r="N1342">
        <v>1</v>
      </c>
      <c r="O1342">
        <v>1</v>
      </c>
      <c r="P1342">
        <v>1</v>
      </c>
      <c r="Q1342">
        <v>0</v>
      </c>
      <c r="R1342">
        <v>0</v>
      </c>
      <c r="S1342">
        <v>0</v>
      </c>
      <c r="T1342" t="str">
        <f>IF(mental_health[Sleep_Hours]&lt;5,"Low",IF(mental_health[Sleep_Hours]&lt;7,"Medium","Good"))</f>
        <v>Good</v>
      </c>
      <c r="U1342" t="str">
        <f>IF(mental_health[Stress_Level]&lt;=3,"Low",IF(mental_health[Stress_Level]&lt;=7,"Medium","High"))</f>
        <v>Low</v>
      </c>
      <c r="V1342" t="str">
        <f>IF(mental_health[Daily_Screen_Time]&lt;=4,"Low",IF(mental_health[Daily_Screen_Time]&lt;=8,"Medium","High"))</f>
        <v>Medium</v>
      </c>
    </row>
    <row r="1343" spans="1:22" x14ac:dyDescent="0.3">
      <c r="A1343">
        <v>1342</v>
      </c>
      <c r="B1343">
        <v>39</v>
      </c>
      <c r="C1343" t="s">
        <v>23</v>
      </c>
      <c r="D1343" t="s">
        <v>22</v>
      </c>
      <c r="E1343">
        <v>4.3</v>
      </c>
      <c r="F1343">
        <v>5.0999999999999996</v>
      </c>
      <c r="G1343">
        <v>1</v>
      </c>
      <c r="H1343" t="str">
        <f t="shared" si="20"/>
        <v>Night Usage</v>
      </c>
      <c r="I1343">
        <v>8</v>
      </c>
      <c r="J1343" s="3">
        <v>5</v>
      </c>
      <c r="K1343">
        <v>6.2</v>
      </c>
      <c r="L1343" t="s">
        <v>20</v>
      </c>
      <c r="M1343">
        <v>2</v>
      </c>
      <c r="N1343">
        <v>4</v>
      </c>
      <c r="O1343">
        <v>1</v>
      </c>
      <c r="P1343">
        <v>0</v>
      </c>
      <c r="Q1343">
        <v>0</v>
      </c>
      <c r="R1343">
        <v>1</v>
      </c>
      <c r="S1343">
        <v>1</v>
      </c>
      <c r="T1343" t="str">
        <f>IF(mental_health[Sleep_Hours]&lt;5,"Low",IF(mental_health[Sleep_Hours]&lt;7,"Medium","Good"))</f>
        <v>Good</v>
      </c>
      <c r="U1343" t="str">
        <f>IF(mental_health[Stress_Level]&lt;=3,"Low",IF(mental_health[Stress_Level]&lt;=7,"Medium","High"))</f>
        <v>Medium</v>
      </c>
      <c r="V1343" t="str">
        <f>IF(mental_health[Daily_Screen_Time]&lt;=4,"Low",IF(mental_health[Daily_Screen_Time]&lt;=8,"Medium","High"))</f>
        <v>Medium</v>
      </c>
    </row>
    <row r="1344" spans="1:22" x14ac:dyDescent="0.3">
      <c r="A1344">
        <v>1343</v>
      </c>
      <c r="B1344">
        <v>34</v>
      </c>
      <c r="C1344" t="s">
        <v>23</v>
      </c>
      <c r="D1344" t="s">
        <v>19</v>
      </c>
      <c r="E1344">
        <v>8.1999999999999993</v>
      </c>
      <c r="F1344">
        <v>6.1</v>
      </c>
      <c r="G1344">
        <v>1</v>
      </c>
      <c r="H1344" t="str">
        <f t="shared" si="20"/>
        <v>Night Usage</v>
      </c>
      <c r="I1344">
        <v>6.3</v>
      </c>
      <c r="J1344" s="3">
        <v>3</v>
      </c>
      <c r="K1344">
        <v>3.4</v>
      </c>
      <c r="L1344" t="s">
        <v>20</v>
      </c>
      <c r="M1344">
        <v>9</v>
      </c>
      <c r="N1344">
        <v>1</v>
      </c>
      <c r="O1344">
        <v>0</v>
      </c>
      <c r="P1344">
        <v>0</v>
      </c>
      <c r="Q1344">
        <v>1</v>
      </c>
      <c r="R1344">
        <v>0</v>
      </c>
      <c r="S1344">
        <v>1</v>
      </c>
      <c r="T1344" t="str">
        <f>IF(mental_health[Sleep_Hours]&lt;5,"Low",IF(mental_health[Sleep_Hours]&lt;7,"Medium","Good"))</f>
        <v>Medium</v>
      </c>
      <c r="U1344" t="str">
        <f>IF(mental_health[Stress_Level]&lt;=3,"Low",IF(mental_health[Stress_Level]&lt;=7,"Medium","High"))</f>
        <v>Low</v>
      </c>
      <c r="V1344" t="str">
        <f>IF(mental_health[Daily_Screen_Time]&lt;=4,"Low",IF(mental_health[Daily_Screen_Time]&lt;=8,"Medium","High"))</f>
        <v>High</v>
      </c>
    </row>
    <row r="1345" spans="1:22" x14ac:dyDescent="0.3">
      <c r="A1345">
        <v>1344</v>
      </c>
      <c r="B1345">
        <v>23</v>
      </c>
      <c r="C1345" t="s">
        <v>23</v>
      </c>
      <c r="D1345" t="s">
        <v>19</v>
      </c>
      <c r="E1345">
        <v>2.4</v>
      </c>
      <c r="F1345">
        <v>3.9</v>
      </c>
      <c r="G1345">
        <v>1</v>
      </c>
      <c r="H1345" t="str">
        <f t="shared" si="20"/>
        <v>Night Usage</v>
      </c>
      <c r="I1345">
        <v>6.7</v>
      </c>
      <c r="J1345" s="3">
        <v>4</v>
      </c>
      <c r="K1345">
        <v>6.2</v>
      </c>
      <c r="L1345" t="s">
        <v>21</v>
      </c>
      <c r="M1345">
        <v>6</v>
      </c>
      <c r="N1345">
        <v>3</v>
      </c>
      <c r="O1345">
        <v>1</v>
      </c>
      <c r="P1345">
        <v>1</v>
      </c>
      <c r="Q1345">
        <v>0</v>
      </c>
      <c r="R1345">
        <v>1</v>
      </c>
      <c r="S1345">
        <v>1</v>
      </c>
      <c r="T1345" t="str">
        <f>IF(mental_health[Sleep_Hours]&lt;5,"Low",IF(mental_health[Sleep_Hours]&lt;7,"Medium","Good"))</f>
        <v>Medium</v>
      </c>
      <c r="U1345" t="str">
        <f>IF(mental_health[Stress_Level]&lt;=3,"Low",IF(mental_health[Stress_Level]&lt;=7,"Medium","High"))</f>
        <v>Medium</v>
      </c>
      <c r="V1345" t="str">
        <f>IF(mental_health[Daily_Screen_Time]&lt;=4,"Low",IF(mental_health[Daily_Screen_Time]&lt;=8,"Medium","High"))</f>
        <v>Low</v>
      </c>
    </row>
    <row r="1346" spans="1:22" x14ac:dyDescent="0.3">
      <c r="A1346">
        <v>1345</v>
      </c>
      <c r="B1346">
        <v>46</v>
      </c>
      <c r="C1346" t="s">
        <v>23</v>
      </c>
      <c r="D1346" t="s">
        <v>22</v>
      </c>
      <c r="E1346">
        <v>5.3</v>
      </c>
      <c r="F1346">
        <v>5.4</v>
      </c>
      <c r="G1346">
        <v>1</v>
      </c>
      <c r="H1346" t="str">
        <f t="shared" ref="H1346:H1409" si="21">IF(G1346=1,"Night Usage","No Night Usage")</f>
        <v>Night Usage</v>
      </c>
      <c r="I1346">
        <v>5.8</v>
      </c>
      <c r="J1346" s="3">
        <v>4</v>
      </c>
      <c r="K1346">
        <v>3.5</v>
      </c>
      <c r="L1346" t="s">
        <v>21</v>
      </c>
      <c r="M1346">
        <v>2</v>
      </c>
      <c r="N1346">
        <v>4</v>
      </c>
      <c r="O1346">
        <v>1</v>
      </c>
      <c r="P1346">
        <v>1</v>
      </c>
      <c r="Q1346">
        <v>1</v>
      </c>
      <c r="R1346">
        <v>0</v>
      </c>
      <c r="S1346">
        <v>1</v>
      </c>
      <c r="T1346" t="str">
        <f>IF(mental_health[Sleep_Hours]&lt;5,"Low",IF(mental_health[Sleep_Hours]&lt;7,"Medium","Good"))</f>
        <v>Medium</v>
      </c>
      <c r="U1346" t="str">
        <f>IF(mental_health[Stress_Level]&lt;=3,"Low",IF(mental_health[Stress_Level]&lt;=7,"Medium","High"))</f>
        <v>Medium</v>
      </c>
      <c r="V1346" t="str">
        <f>IF(mental_health[Daily_Screen_Time]&lt;=4,"Low",IF(mental_health[Daily_Screen_Time]&lt;=8,"Medium","High"))</f>
        <v>Medium</v>
      </c>
    </row>
    <row r="1347" spans="1:22" x14ac:dyDescent="0.3">
      <c r="A1347">
        <v>1346</v>
      </c>
      <c r="B1347">
        <v>36</v>
      </c>
      <c r="C1347" t="s">
        <v>23</v>
      </c>
      <c r="D1347" t="s">
        <v>19</v>
      </c>
      <c r="E1347">
        <v>6.7</v>
      </c>
      <c r="F1347">
        <v>5.9</v>
      </c>
      <c r="G1347">
        <v>0</v>
      </c>
      <c r="H1347" t="str">
        <f t="shared" si="21"/>
        <v>No Night Usage</v>
      </c>
      <c r="I1347">
        <v>5.3</v>
      </c>
      <c r="J1347" s="3">
        <v>7</v>
      </c>
      <c r="K1347">
        <v>8.6</v>
      </c>
      <c r="L1347" t="s">
        <v>21</v>
      </c>
      <c r="M1347">
        <v>1</v>
      </c>
      <c r="N1347">
        <v>2</v>
      </c>
      <c r="O1347">
        <v>1</v>
      </c>
      <c r="P1347">
        <v>0</v>
      </c>
      <c r="Q1347">
        <v>0</v>
      </c>
      <c r="R1347">
        <v>1</v>
      </c>
      <c r="S1347">
        <v>1</v>
      </c>
      <c r="T1347" t="str">
        <f>IF(mental_health[Sleep_Hours]&lt;5,"Low",IF(mental_health[Sleep_Hours]&lt;7,"Medium","Good"))</f>
        <v>Medium</v>
      </c>
      <c r="U1347" t="str">
        <f>IF(mental_health[Stress_Level]&lt;=3,"Low",IF(mental_health[Stress_Level]&lt;=7,"Medium","High"))</f>
        <v>Medium</v>
      </c>
      <c r="V1347" t="str">
        <f>IF(mental_health[Daily_Screen_Time]&lt;=4,"Low",IF(mental_health[Daily_Screen_Time]&lt;=8,"Medium","High"))</f>
        <v>Medium</v>
      </c>
    </row>
    <row r="1348" spans="1:22" x14ac:dyDescent="0.3">
      <c r="A1348">
        <v>1347</v>
      </c>
      <c r="B1348">
        <v>32</v>
      </c>
      <c r="C1348" t="s">
        <v>18</v>
      </c>
      <c r="D1348" t="s">
        <v>19</v>
      </c>
      <c r="E1348">
        <v>3.5</v>
      </c>
      <c r="F1348">
        <v>6</v>
      </c>
      <c r="G1348">
        <v>1</v>
      </c>
      <c r="H1348" t="str">
        <f t="shared" si="21"/>
        <v>Night Usage</v>
      </c>
      <c r="I1348">
        <v>8.5</v>
      </c>
      <c r="J1348" s="3">
        <v>10</v>
      </c>
      <c r="K1348">
        <v>9.9</v>
      </c>
      <c r="L1348" t="s">
        <v>20</v>
      </c>
      <c r="M1348">
        <v>1</v>
      </c>
      <c r="N1348">
        <v>4</v>
      </c>
      <c r="O1348">
        <v>1</v>
      </c>
      <c r="P1348">
        <v>1</v>
      </c>
      <c r="Q1348">
        <v>1</v>
      </c>
      <c r="R1348">
        <v>1</v>
      </c>
      <c r="S1348">
        <v>0</v>
      </c>
      <c r="T1348" t="str">
        <f>IF(mental_health[Sleep_Hours]&lt;5,"Low",IF(mental_health[Sleep_Hours]&lt;7,"Medium","Good"))</f>
        <v>Good</v>
      </c>
      <c r="U1348" t="str">
        <f>IF(mental_health[Stress_Level]&lt;=3,"Low",IF(mental_health[Stress_Level]&lt;=7,"Medium","High"))</f>
        <v>High</v>
      </c>
      <c r="V1348" t="str">
        <f>IF(mental_health[Daily_Screen_Time]&lt;=4,"Low",IF(mental_health[Daily_Screen_Time]&lt;=8,"Medium","High"))</f>
        <v>Low</v>
      </c>
    </row>
    <row r="1349" spans="1:22" x14ac:dyDescent="0.3">
      <c r="A1349">
        <v>1348</v>
      </c>
      <c r="B1349">
        <v>38</v>
      </c>
      <c r="C1349" t="s">
        <v>23</v>
      </c>
      <c r="D1349" t="s">
        <v>22</v>
      </c>
      <c r="E1349">
        <v>11.8</v>
      </c>
      <c r="F1349">
        <v>1.4</v>
      </c>
      <c r="G1349">
        <v>0</v>
      </c>
      <c r="H1349" t="str">
        <f t="shared" si="21"/>
        <v>No Night Usage</v>
      </c>
      <c r="I1349">
        <v>3.8</v>
      </c>
      <c r="J1349" s="3">
        <v>8</v>
      </c>
      <c r="K1349">
        <v>7.5</v>
      </c>
      <c r="L1349" t="s">
        <v>20</v>
      </c>
      <c r="M1349">
        <v>1</v>
      </c>
      <c r="N1349">
        <v>2</v>
      </c>
      <c r="O1349">
        <v>0</v>
      </c>
      <c r="P1349">
        <v>0</v>
      </c>
      <c r="Q1349">
        <v>1</v>
      </c>
      <c r="R1349">
        <v>1</v>
      </c>
      <c r="S1349">
        <v>0</v>
      </c>
      <c r="T1349" t="str">
        <f>IF(mental_health[Sleep_Hours]&lt;5,"Low",IF(mental_health[Sleep_Hours]&lt;7,"Medium","Good"))</f>
        <v>Low</v>
      </c>
      <c r="U1349" t="str">
        <f>IF(mental_health[Stress_Level]&lt;=3,"Low",IF(mental_health[Stress_Level]&lt;=7,"Medium","High"))</f>
        <v>High</v>
      </c>
      <c r="V1349" t="str">
        <f>IF(mental_health[Daily_Screen_Time]&lt;=4,"Low",IF(mental_health[Daily_Screen_Time]&lt;=8,"Medium","High"))</f>
        <v>High</v>
      </c>
    </row>
    <row r="1350" spans="1:22" x14ac:dyDescent="0.3">
      <c r="A1350">
        <v>1349</v>
      </c>
      <c r="B1350">
        <v>52</v>
      </c>
      <c r="C1350" t="s">
        <v>23</v>
      </c>
      <c r="D1350" t="s">
        <v>22</v>
      </c>
      <c r="E1350">
        <v>4.0999999999999996</v>
      </c>
      <c r="F1350">
        <v>7</v>
      </c>
      <c r="G1350">
        <v>1</v>
      </c>
      <c r="H1350" t="str">
        <f t="shared" si="21"/>
        <v>Night Usage</v>
      </c>
      <c r="I1350">
        <v>5.5</v>
      </c>
      <c r="J1350" s="3">
        <v>10</v>
      </c>
      <c r="K1350">
        <v>8.8000000000000007</v>
      </c>
      <c r="L1350" t="s">
        <v>20</v>
      </c>
      <c r="M1350">
        <v>4</v>
      </c>
      <c r="N1350">
        <v>1</v>
      </c>
      <c r="O1350">
        <v>0</v>
      </c>
      <c r="P1350">
        <v>0</v>
      </c>
      <c r="Q1350">
        <v>1</v>
      </c>
      <c r="R1350">
        <v>1</v>
      </c>
      <c r="S1350">
        <v>1</v>
      </c>
      <c r="T1350" t="str">
        <f>IF(mental_health[Sleep_Hours]&lt;5,"Low",IF(mental_health[Sleep_Hours]&lt;7,"Medium","Good"))</f>
        <v>Medium</v>
      </c>
      <c r="U1350" t="str">
        <f>IF(mental_health[Stress_Level]&lt;=3,"Low",IF(mental_health[Stress_Level]&lt;=7,"Medium","High"))</f>
        <v>High</v>
      </c>
      <c r="V1350" t="str">
        <f>IF(mental_health[Daily_Screen_Time]&lt;=4,"Low",IF(mental_health[Daily_Screen_Time]&lt;=8,"Medium","High"))</f>
        <v>Medium</v>
      </c>
    </row>
    <row r="1351" spans="1:22" x14ac:dyDescent="0.3">
      <c r="A1351">
        <v>1350</v>
      </c>
      <c r="B1351">
        <v>31</v>
      </c>
      <c r="C1351" t="s">
        <v>23</v>
      </c>
      <c r="D1351" t="s">
        <v>19</v>
      </c>
      <c r="E1351">
        <v>3.3</v>
      </c>
      <c r="F1351">
        <v>4.2</v>
      </c>
      <c r="G1351">
        <v>0</v>
      </c>
      <c r="H1351" t="str">
        <f t="shared" si="21"/>
        <v>No Night Usage</v>
      </c>
      <c r="I1351">
        <v>5.0999999999999996</v>
      </c>
      <c r="J1351" s="3">
        <v>5</v>
      </c>
      <c r="K1351">
        <v>11.4</v>
      </c>
      <c r="L1351" t="s">
        <v>20</v>
      </c>
      <c r="M1351">
        <v>4</v>
      </c>
      <c r="N1351">
        <v>0</v>
      </c>
      <c r="O1351">
        <v>1</v>
      </c>
      <c r="P1351">
        <v>1</v>
      </c>
      <c r="Q1351">
        <v>1</v>
      </c>
      <c r="R1351">
        <v>0</v>
      </c>
      <c r="S1351">
        <v>0</v>
      </c>
      <c r="T1351" t="str">
        <f>IF(mental_health[Sleep_Hours]&lt;5,"Low",IF(mental_health[Sleep_Hours]&lt;7,"Medium","Good"))</f>
        <v>Medium</v>
      </c>
      <c r="U1351" t="str">
        <f>IF(mental_health[Stress_Level]&lt;=3,"Low",IF(mental_health[Stress_Level]&lt;=7,"Medium","High"))</f>
        <v>Medium</v>
      </c>
      <c r="V1351" t="str">
        <f>IF(mental_health[Daily_Screen_Time]&lt;=4,"Low",IF(mental_health[Daily_Screen_Time]&lt;=8,"Medium","High"))</f>
        <v>Low</v>
      </c>
    </row>
    <row r="1352" spans="1:22" x14ac:dyDescent="0.3">
      <c r="A1352">
        <v>1351</v>
      </c>
      <c r="B1352">
        <v>21</v>
      </c>
      <c r="C1352" t="s">
        <v>23</v>
      </c>
      <c r="D1352" t="s">
        <v>24</v>
      </c>
      <c r="E1352">
        <v>4</v>
      </c>
      <c r="F1352">
        <v>2.8</v>
      </c>
      <c r="G1352">
        <v>0</v>
      </c>
      <c r="H1352" t="str">
        <f t="shared" si="21"/>
        <v>No Night Usage</v>
      </c>
      <c r="I1352">
        <v>6</v>
      </c>
      <c r="J1352" s="3">
        <v>10</v>
      </c>
      <c r="K1352">
        <v>8.4</v>
      </c>
      <c r="L1352" t="s">
        <v>20</v>
      </c>
      <c r="M1352">
        <v>9</v>
      </c>
      <c r="N1352">
        <v>4</v>
      </c>
      <c r="O1352">
        <v>1</v>
      </c>
      <c r="P1352">
        <v>0</v>
      </c>
      <c r="Q1352">
        <v>1</v>
      </c>
      <c r="R1352">
        <v>0</v>
      </c>
      <c r="S1352">
        <v>0</v>
      </c>
      <c r="T1352" t="str">
        <f>IF(mental_health[Sleep_Hours]&lt;5,"Low",IF(mental_health[Sleep_Hours]&lt;7,"Medium","Good"))</f>
        <v>Medium</v>
      </c>
      <c r="U1352" t="str">
        <f>IF(mental_health[Stress_Level]&lt;=3,"Low",IF(mental_health[Stress_Level]&lt;=7,"Medium","High"))</f>
        <v>High</v>
      </c>
      <c r="V1352" t="str">
        <f>IF(mental_health[Daily_Screen_Time]&lt;=4,"Low",IF(mental_health[Daily_Screen_Time]&lt;=8,"Medium","High"))</f>
        <v>Low</v>
      </c>
    </row>
    <row r="1353" spans="1:22" x14ac:dyDescent="0.3">
      <c r="A1353">
        <v>1352</v>
      </c>
      <c r="B1353">
        <v>23</v>
      </c>
      <c r="C1353" t="s">
        <v>18</v>
      </c>
      <c r="D1353" t="s">
        <v>24</v>
      </c>
      <c r="E1353">
        <v>9.6999999999999993</v>
      </c>
      <c r="F1353">
        <v>2.7</v>
      </c>
      <c r="G1353">
        <v>1</v>
      </c>
      <c r="H1353" t="str">
        <f t="shared" si="21"/>
        <v>Night Usage</v>
      </c>
      <c r="I1353">
        <v>5.7</v>
      </c>
      <c r="J1353" s="3">
        <v>7</v>
      </c>
      <c r="K1353">
        <v>5.6</v>
      </c>
      <c r="L1353" t="s">
        <v>20</v>
      </c>
      <c r="M1353">
        <v>1</v>
      </c>
      <c r="N1353">
        <v>4</v>
      </c>
      <c r="O1353">
        <v>0</v>
      </c>
      <c r="P1353">
        <v>0</v>
      </c>
      <c r="Q1353">
        <v>1</v>
      </c>
      <c r="R1353">
        <v>1</v>
      </c>
      <c r="S1353">
        <v>1</v>
      </c>
      <c r="T1353" t="str">
        <f>IF(mental_health[Sleep_Hours]&lt;5,"Low",IF(mental_health[Sleep_Hours]&lt;7,"Medium","Good"))</f>
        <v>Medium</v>
      </c>
      <c r="U1353" t="str">
        <f>IF(mental_health[Stress_Level]&lt;=3,"Low",IF(mental_health[Stress_Level]&lt;=7,"Medium","High"))</f>
        <v>Medium</v>
      </c>
      <c r="V1353" t="str">
        <f>IF(mental_health[Daily_Screen_Time]&lt;=4,"Low",IF(mental_health[Daily_Screen_Time]&lt;=8,"Medium","High"))</f>
        <v>High</v>
      </c>
    </row>
    <row r="1354" spans="1:22" x14ac:dyDescent="0.3">
      <c r="A1354">
        <v>1353</v>
      </c>
      <c r="B1354">
        <v>40</v>
      </c>
      <c r="C1354" t="s">
        <v>18</v>
      </c>
      <c r="D1354" t="s">
        <v>22</v>
      </c>
      <c r="E1354">
        <v>6.3</v>
      </c>
      <c r="F1354">
        <v>4.4000000000000004</v>
      </c>
      <c r="G1354">
        <v>0</v>
      </c>
      <c r="H1354" t="str">
        <f t="shared" si="21"/>
        <v>No Night Usage</v>
      </c>
      <c r="I1354">
        <v>6.1</v>
      </c>
      <c r="J1354" s="3">
        <v>3</v>
      </c>
      <c r="K1354">
        <v>6.5</v>
      </c>
      <c r="L1354" t="s">
        <v>20</v>
      </c>
      <c r="M1354">
        <v>3</v>
      </c>
      <c r="N1354">
        <v>3</v>
      </c>
      <c r="O1354">
        <v>1</v>
      </c>
      <c r="P1354">
        <v>1</v>
      </c>
      <c r="Q1354">
        <v>0</v>
      </c>
      <c r="R1354">
        <v>0</v>
      </c>
      <c r="S1354">
        <v>0</v>
      </c>
      <c r="T1354" t="str">
        <f>IF(mental_health[Sleep_Hours]&lt;5,"Low",IF(mental_health[Sleep_Hours]&lt;7,"Medium","Good"))</f>
        <v>Medium</v>
      </c>
      <c r="U1354" t="str">
        <f>IF(mental_health[Stress_Level]&lt;=3,"Low",IF(mental_health[Stress_Level]&lt;=7,"Medium","High"))</f>
        <v>Low</v>
      </c>
      <c r="V1354" t="str">
        <f>IF(mental_health[Daily_Screen_Time]&lt;=4,"Low",IF(mental_health[Daily_Screen_Time]&lt;=8,"Medium","High"))</f>
        <v>Medium</v>
      </c>
    </row>
    <row r="1355" spans="1:22" x14ac:dyDescent="0.3">
      <c r="A1355">
        <v>1354</v>
      </c>
      <c r="B1355">
        <v>33</v>
      </c>
      <c r="C1355" t="s">
        <v>18</v>
      </c>
      <c r="D1355" t="s">
        <v>22</v>
      </c>
      <c r="E1355">
        <v>7.7</v>
      </c>
      <c r="F1355">
        <v>7.2</v>
      </c>
      <c r="G1355">
        <v>0</v>
      </c>
      <c r="H1355" t="str">
        <f t="shared" si="21"/>
        <v>No Night Usage</v>
      </c>
      <c r="I1355">
        <v>3.8</v>
      </c>
      <c r="J1355" s="3">
        <v>3</v>
      </c>
      <c r="K1355">
        <v>10.6</v>
      </c>
      <c r="L1355" t="s">
        <v>20</v>
      </c>
      <c r="M1355">
        <v>3</v>
      </c>
      <c r="N1355">
        <v>3</v>
      </c>
      <c r="O1355">
        <v>0</v>
      </c>
      <c r="P1355">
        <v>1</v>
      </c>
      <c r="Q1355">
        <v>0</v>
      </c>
      <c r="R1355">
        <v>1</v>
      </c>
      <c r="S1355">
        <v>0</v>
      </c>
      <c r="T1355" t="str">
        <f>IF(mental_health[Sleep_Hours]&lt;5,"Low",IF(mental_health[Sleep_Hours]&lt;7,"Medium","Good"))</f>
        <v>Low</v>
      </c>
      <c r="U1355" t="str">
        <f>IF(mental_health[Stress_Level]&lt;=3,"Low",IF(mental_health[Stress_Level]&lt;=7,"Medium","High"))</f>
        <v>Low</v>
      </c>
      <c r="V1355" t="str">
        <f>IF(mental_health[Daily_Screen_Time]&lt;=4,"Low",IF(mental_health[Daily_Screen_Time]&lt;=8,"Medium","High"))</f>
        <v>Medium</v>
      </c>
    </row>
    <row r="1356" spans="1:22" x14ac:dyDescent="0.3">
      <c r="A1356">
        <v>1355</v>
      </c>
      <c r="B1356">
        <v>40</v>
      </c>
      <c r="C1356" t="s">
        <v>23</v>
      </c>
      <c r="D1356" t="s">
        <v>24</v>
      </c>
      <c r="E1356">
        <v>2.2000000000000002</v>
      </c>
      <c r="F1356">
        <v>3.6</v>
      </c>
      <c r="G1356">
        <v>1</v>
      </c>
      <c r="H1356" t="str">
        <f t="shared" si="21"/>
        <v>Night Usage</v>
      </c>
      <c r="I1356">
        <v>6.1</v>
      </c>
      <c r="J1356" s="3">
        <v>3</v>
      </c>
      <c r="K1356">
        <v>3.3</v>
      </c>
      <c r="L1356" t="s">
        <v>25</v>
      </c>
      <c r="M1356">
        <v>8</v>
      </c>
      <c r="N1356">
        <v>2</v>
      </c>
      <c r="O1356">
        <v>1</v>
      </c>
      <c r="P1356">
        <v>0</v>
      </c>
      <c r="Q1356">
        <v>0</v>
      </c>
      <c r="R1356">
        <v>0</v>
      </c>
      <c r="S1356">
        <v>1</v>
      </c>
      <c r="T1356" t="str">
        <f>IF(mental_health[Sleep_Hours]&lt;5,"Low",IF(mental_health[Sleep_Hours]&lt;7,"Medium","Good"))</f>
        <v>Medium</v>
      </c>
      <c r="U1356" t="str">
        <f>IF(mental_health[Stress_Level]&lt;=3,"Low",IF(mental_health[Stress_Level]&lt;=7,"Medium","High"))</f>
        <v>Low</v>
      </c>
      <c r="V1356" t="str">
        <f>IF(mental_health[Daily_Screen_Time]&lt;=4,"Low",IF(mental_health[Daily_Screen_Time]&lt;=8,"Medium","High"))</f>
        <v>Low</v>
      </c>
    </row>
    <row r="1357" spans="1:22" x14ac:dyDescent="0.3">
      <c r="A1357">
        <v>1356</v>
      </c>
      <c r="B1357">
        <v>27</v>
      </c>
      <c r="C1357" t="s">
        <v>23</v>
      </c>
      <c r="D1357" t="s">
        <v>19</v>
      </c>
      <c r="E1357">
        <v>2.2999999999999998</v>
      </c>
      <c r="F1357">
        <v>6.2</v>
      </c>
      <c r="G1357">
        <v>1</v>
      </c>
      <c r="H1357" t="str">
        <f t="shared" si="21"/>
        <v>Night Usage</v>
      </c>
      <c r="I1357">
        <v>4.5</v>
      </c>
      <c r="J1357" s="3">
        <v>4</v>
      </c>
      <c r="K1357">
        <v>5.3</v>
      </c>
      <c r="L1357" t="s">
        <v>25</v>
      </c>
      <c r="M1357">
        <v>2</v>
      </c>
      <c r="N1357">
        <v>0</v>
      </c>
      <c r="O1357">
        <v>0</v>
      </c>
      <c r="P1357">
        <v>1</v>
      </c>
      <c r="Q1357">
        <v>1</v>
      </c>
      <c r="R1357">
        <v>0</v>
      </c>
      <c r="S1357">
        <v>0</v>
      </c>
      <c r="T1357" t="str">
        <f>IF(mental_health[Sleep_Hours]&lt;5,"Low",IF(mental_health[Sleep_Hours]&lt;7,"Medium","Good"))</f>
        <v>Low</v>
      </c>
      <c r="U1357" t="str">
        <f>IF(mental_health[Stress_Level]&lt;=3,"Low",IF(mental_health[Stress_Level]&lt;=7,"Medium","High"))</f>
        <v>Medium</v>
      </c>
      <c r="V1357" t="str">
        <f>IF(mental_health[Daily_Screen_Time]&lt;=4,"Low",IF(mental_health[Daily_Screen_Time]&lt;=8,"Medium","High"))</f>
        <v>Low</v>
      </c>
    </row>
    <row r="1358" spans="1:22" x14ac:dyDescent="0.3">
      <c r="A1358">
        <v>1357</v>
      </c>
      <c r="B1358">
        <v>30</v>
      </c>
      <c r="C1358" t="s">
        <v>18</v>
      </c>
      <c r="D1358" t="s">
        <v>24</v>
      </c>
      <c r="E1358">
        <v>6.5</v>
      </c>
      <c r="F1358">
        <v>1.7</v>
      </c>
      <c r="G1358">
        <v>1</v>
      </c>
      <c r="H1358" t="str">
        <f t="shared" si="21"/>
        <v>Night Usage</v>
      </c>
      <c r="I1358">
        <v>4.0999999999999996</v>
      </c>
      <c r="J1358" s="3">
        <v>6</v>
      </c>
      <c r="K1358">
        <v>7.8</v>
      </c>
      <c r="L1358" t="s">
        <v>25</v>
      </c>
      <c r="M1358">
        <v>6</v>
      </c>
      <c r="N1358">
        <v>3</v>
      </c>
      <c r="O1358">
        <v>0</v>
      </c>
      <c r="P1358">
        <v>0</v>
      </c>
      <c r="Q1358">
        <v>1</v>
      </c>
      <c r="R1358">
        <v>1</v>
      </c>
      <c r="S1358">
        <v>1</v>
      </c>
      <c r="T1358" t="str">
        <f>IF(mental_health[Sleep_Hours]&lt;5,"Low",IF(mental_health[Sleep_Hours]&lt;7,"Medium","Good"))</f>
        <v>Low</v>
      </c>
      <c r="U1358" t="str">
        <f>IF(mental_health[Stress_Level]&lt;=3,"Low",IF(mental_health[Stress_Level]&lt;=7,"Medium","High"))</f>
        <v>Medium</v>
      </c>
      <c r="V1358" t="str">
        <f>IF(mental_health[Daily_Screen_Time]&lt;=4,"Low",IF(mental_health[Daily_Screen_Time]&lt;=8,"Medium","High"))</f>
        <v>Medium</v>
      </c>
    </row>
    <row r="1359" spans="1:22" x14ac:dyDescent="0.3">
      <c r="A1359">
        <v>1358</v>
      </c>
      <c r="B1359">
        <v>41</v>
      </c>
      <c r="C1359" t="s">
        <v>18</v>
      </c>
      <c r="D1359" t="s">
        <v>24</v>
      </c>
      <c r="E1359">
        <v>10.199999999999999</v>
      </c>
      <c r="F1359">
        <v>4.3</v>
      </c>
      <c r="G1359">
        <v>1</v>
      </c>
      <c r="H1359" t="str">
        <f t="shared" si="21"/>
        <v>Night Usage</v>
      </c>
      <c r="I1359">
        <v>3.4</v>
      </c>
      <c r="J1359" s="3">
        <v>5</v>
      </c>
      <c r="K1359">
        <v>8.8000000000000007</v>
      </c>
      <c r="L1359" t="s">
        <v>25</v>
      </c>
      <c r="M1359">
        <v>4</v>
      </c>
      <c r="N1359">
        <v>3</v>
      </c>
      <c r="O1359">
        <v>1</v>
      </c>
      <c r="P1359">
        <v>1</v>
      </c>
      <c r="Q1359">
        <v>0</v>
      </c>
      <c r="R1359">
        <v>1</v>
      </c>
      <c r="S1359">
        <v>1</v>
      </c>
      <c r="T1359" t="str">
        <f>IF(mental_health[Sleep_Hours]&lt;5,"Low",IF(mental_health[Sleep_Hours]&lt;7,"Medium","Good"))</f>
        <v>Low</v>
      </c>
      <c r="U1359" t="str">
        <f>IF(mental_health[Stress_Level]&lt;=3,"Low",IF(mental_health[Stress_Level]&lt;=7,"Medium","High"))</f>
        <v>Medium</v>
      </c>
      <c r="V1359" t="str">
        <f>IF(mental_health[Daily_Screen_Time]&lt;=4,"Low",IF(mental_health[Daily_Screen_Time]&lt;=8,"Medium","High"))</f>
        <v>High</v>
      </c>
    </row>
    <row r="1360" spans="1:22" x14ac:dyDescent="0.3">
      <c r="A1360">
        <v>1359</v>
      </c>
      <c r="B1360">
        <v>56</v>
      </c>
      <c r="C1360" t="s">
        <v>18</v>
      </c>
      <c r="D1360" t="s">
        <v>24</v>
      </c>
      <c r="E1360">
        <v>10.9</v>
      </c>
      <c r="F1360">
        <v>7.9</v>
      </c>
      <c r="G1360">
        <v>0</v>
      </c>
      <c r="H1360" t="str">
        <f t="shared" si="21"/>
        <v>No Night Usage</v>
      </c>
      <c r="I1360">
        <v>7.6</v>
      </c>
      <c r="J1360" s="3">
        <v>8</v>
      </c>
      <c r="K1360">
        <v>9.6</v>
      </c>
      <c r="L1360" t="s">
        <v>20</v>
      </c>
      <c r="M1360">
        <v>10</v>
      </c>
      <c r="N1360">
        <v>1</v>
      </c>
      <c r="O1360">
        <v>1</v>
      </c>
      <c r="P1360">
        <v>0</v>
      </c>
      <c r="Q1360">
        <v>1</v>
      </c>
      <c r="R1360">
        <v>0</v>
      </c>
      <c r="S1360">
        <v>0</v>
      </c>
      <c r="T1360" t="str">
        <f>IF(mental_health[Sleep_Hours]&lt;5,"Low",IF(mental_health[Sleep_Hours]&lt;7,"Medium","Good"))</f>
        <v>Good</v>
      </c>
      <c r="U1360" t="str">
        <f>IF(mental_health[Stress_Level]&lt;=3,"Low",IF(mental_health[Stress_Level]&lt;=7,"Medium","High"))</f>
        <v>High</v>
      </c>
      <c r="V1360" t="str">
        <f>IF(mental_health[Daily_Screen_Time]&lt;=4,"Low",IF(mental_health[Daily_Screen_Time]&lt;=8,"Medium","High"))</f>
        <v>High</v>
      </c>
    </row>
    <row r="1361" spans="1:22" x14ac:dyDescent="0.3">
      <c r="A1361">
        <v>1360</v>
      </c>
      <c r="B1361">
        <v>41</v>
      </c>
      <c r="C1361" t="s">
        <v>23</v>
      </c>
      <c r="D1361" t="s">
        <v>24</v>
      </c>
      <c r="E1361">
        <v>2.9</v>
      </c>
      <c r="F1361">
        <v>6.4</v>
      </c>
      <c r="G1361">
        <v>0</v>
      </c>
      <c r="H1361" t="str">
        <f t="shared" si="21"/>
        <v>No Night Usage</v>
      </c>
      <c r="I1361">
        <v>5.6</v>
      </c>
      <c r="J1361" s="3">
        <v>5</v>
      </c>
      <c r="K1361">
        <v>5.2</v>
      </c>
      <c r="L1361" t="s">
        <v>20</v>
      </c>
      <c r="M1361">
        <v>6</v>
      </c>
      <c r="N1361">
        <v>1</v>
      </c>
      <c r="O1361">
        <v>1</v>
      </c>
      <c r="P1361">
        <v>0</v>
      </c>
      <c r="Q1361">
        <v>0</v>
      </c>
      <c r="R1361">
        <v>0</v>
      </c>
      <c r="S1361">
        <v>0</v>
      </c>
      <c r="T1361" t="str">
        <f>IF(mental_health[Sleep_Hours]&lt;5,"Low",IF(mental_health[Sleep_Hours]&lt;7,"Medium","Good"))</f>
        <v>Medium</v>
      </c>
      <c r="U1361" t="str">
        <f>IF(mental_health[Stress_Level]&lt;=3,"Low",IF(mental_health[Stress_Level]&lt;=7,"Medium","High"))</f>
        <v>Medium</v>
      </c>
      <c r="V1361" t="str">
        <f>IF(mental_health[Daily_Screen_Time]&lt;=4,"Low",IF(mental_health[Daily_Screen_Time]&lt;=8,"Medium","High"))</f>
        <v>Low</v>
      </c>
    </row>
    <row r="1362" spans="1:22" x14ac:dyDescent="0.3">
      <c r="A1362">
        <v>1361</v>
      </c>
      <c r="B1362">
        <v>47</v>
      </c>
      <c r="C1362" t="s">
        <v>23</v>
      </c>
      <c r="D1362" t="s">
        <v>22</v>
      </c>
      <c r="E1362">
        <v>7.4</v>
      </c>
      <c r="F1362">
        <v>2.5</v>
      </c>
      <c r="G1362">
        <v>0</v>
      </c>
      <c r="H1362" t="str">
        <f t="shared" si="21"/>
        <v>No Night Usage</v>
      </c>
      <c r="I1362">
        <v>6.8</v>
      </c>
      <c r="J1362" s="3">
        <v>5</v>
      </c>
      <c r="K1362">
        <v>3.5</v>
      </c>
      <c r="L1362" t="s">
        <v>21</v>
      </c>
      <c r="M1362">
        <v>5</v>
      </c>
      <c r="N1362">
        <v>3</v>
      </c>
      <c r="O1362">
        <v>1</v>
      </c>
      <c r="P1362">
        <v>0</v>
      </c>
      <c r="Q1362">
        <v>0</v>
      </c>
      <c r="R1362">
        <v>0</v>
      </c>
      <c r="S1362">
        <v>0</v>
      </c>
      <c r="T1362" t="str">
        <f>IF(mental_health[Sleep_Hours]&lt;5,"Low",IF(mental_health[Sleep_Hours]&lt;7,"Medium","Good"))</f>
        <v>Medium</v>
      </c>
      <c r="U1362" t="str">
        <f>IF(mental_health[Stress_Level]&lt;=3,"Low",IF(mental_health[Stress_Level]&lt;=7,"Medium","High"))</f>
        <v>Medium</v>
      </c>
      <c r="V1362" t="str">
        <f>IF(mental_health[Daily_Screen_Time]&lt;=4,"Low",IF(mental_health[Daily_Screen_Time]&lt;=8,"Medium","High"))</f>
        <v>Medium</v>
      </c>
    </row>
    <row r="1363" spans="1:22" x14ac:dyDescent="0.3">
      <c r="A1363">
        <v>1362</v>
      </c>
      <c r="B1363">
        <v>25</v>
      </c>
      <c r="C1363" t="s">
        <v>18</v>
      </c>
      <c r="D1363" t="s">
        <v>22</v>
      </c>
      <c r="E1363">
        <v>11.1</v>
      </c>
      <c r="F1363">
        <v>4.5</v>
      </c>
      <c r="G1363">
        <v>0</v>
      </c>
      <c r="H1363" t="str">
        <f t="shared" si="21"/>
        <v>No Night Usage</v>
      </c>
      <c r="I1363">
        <v>7.4</v>
      </c>
      <c r="J1363" s="3">
        <v>10</v>
      </c>
      <c r="K1363">
        <v>11.5</v>
      </c>
      <c r="L1363" t="s">
        <v>21</v>
      </c>
      <c r="M1363">
        <v>9</v>
      </c>
      <c r="N1363">
        <v>2</v>
      </c>
      <c r="O1363">
        <v>0</v>
      </c>
      <c r="P1363">
        <v>0</v>
      </c>
      <c r="Q1363">
        <v>1</v>
      </c>
      <c r="R1363">
        <v>1</v>
      </c>
      <c r="S1363">
        <v>0</v>
      </c>
      <c r="T1363" t="str">
        <f>IF(mental_health[Sleep_Hours]&lt;5,"Low",IF(mental_health[Sleep_Hours]&lt;7,"Medium","Good"))</f>
        <v>Good</v>
      </c>
      <c r="U1363" t="str">
        <f>IF(mental_health[Stress_Level]&lt;=3,"Low",IF(mental_health[Stress_Level]&lt;=7,"Medium","High"))</f>
        <v>High</v>
      </c>
      <c r="V1363" t="str">
        <f>IF(mental_health[Daily_Screen_Time]&lt;=4,"Low",IF(mental_health[Daily_Screen_Time]&lt;=8,"Medium","High"))</f>
        <v>High</v>
      </c>
    </row>
    <row r="1364" spans="1:22" x14ac:dyDescent="0.3">
      <c r="A1364">
        <v>1363</v>
      </c>
      <c r="B1364">
        <v>31</v>
      </c>
      <c r="C1364" t="s">
        <v>18</v>
      </c>
      <c r="D1364" t="s">
        <v>19</v>
      </c>
      <c r="E1364">
        <v>5.9</v>
      </c>
      <c r="F1364">
        <v>2.6</v>
      </c>
      <c r="G1364">
        <v>0</v>
      </c>
      <c r="H1364" t="str">
        <f t="shared" si="21"/>
        <v>No Night Usage</v>
      </c>
      <c r="I1364">
        <v>7.1</v>
      </c>
      <c r="J1364" s="3">
        <v>2</v>
      </c>
      <c r="K1364">
        <v>2.8</v>
      </c>
      <c r="L1364" t="s">
        <v>25</v>
      </c>
      <c r="M1364">
        <v>9</v>
      </c>
      <c r="N1364">
        <v>0</v>
      </c>
      <c r="O1364">
        <v>0</v>
      </c>
      <c r="P1364">
        <v>0</v>
      </c>
      <c r="Q1364">
        <v>0</v>
      </c>
      <c r="R1364">
        <v>0</v>
      </c>
      <c r="S1364">
        <v>1</v>
      </c>
      <c r="T1364" t="str">
        <f>IF(mental_health[Sleep_Hours]&lt;5,"Low",IF(mental_health[Sleep_Hours]&lt;7,"Medium","Good"))</f>
        <v>Good</v>
      </c>
      <c r="U1364" t="str">
        <f>IF(mental_health[Stress_Level]&lt;=3,"Low",IF(mental_health[Stress_Level]&lt;=7,"Medium","High"))</f>
        <v>Low</v>
      </c>
      <c r="V1364" t="str">
        <f>IF(mental_health[Daily_Screen_Time]&lt;=4,"Low",IF(mental_health[Daily_Screen_Time]&lt;=8,"Medium","High"))</f>
        <v>Medium</v>
      </c>
    </row>
    <row r="1365" spans="1:22" x14ac:dyDescent="0.3">
      <c r="A1365">
        <v>1364</v>
      </c>
      <c r="B1365">
        <v>22</v>
      </c>
      <c r="C1365" t="s">
        <v>18</v>
      </c>
      <c r="D1365" t="s">
        <v>19</v>
      </c>
      <c r="E1365">
        <v>10.3</v>
      </c>
      <c r="F1365">
        <v>3.9</v>
      </c>
      <c r="G1365">
        <v>0</v>
      </c>
      <c r="H1365" t="str">
        <f t="shared" si="21"/>
        <v>No Night Usage</v>
      </c>
      <c r="I1365">
        <v>5.8</v>
      </c>
      <c r="J1365" s="3">
        <v>5</v>
      </c>
      <c r="K1365">
        <v>3</v>
      </c>
      <c r="L1365" t="s">
        <v>21</v>
      </c>
      <c r="M1365">
        <v>1</v>
      </c>
      <c r="N1365">
        <v>3</v>
      </c>
      <c r="O1365">
        <v>1</v>
      </c>
      <c r="P1365">
        <v>0</v>
      </c>
      <c r="Q1365">
        <v>0</v>
      </c>
      <c r="R1365">
        <v>1</v>
      </c>
      <c r="S1365">
        <v>0</v>
      </c>
      <c r="T1365" t="str">
        <f>IF(mental_health[Sleep_Hours]&lt;5,"Low",IF(mental_health[Sleep_Hours]&lt;7,"Medium","Good"))</f>
        <v>Medium</v>
      </c>
      <c r="U1365" t="str">
        <f>IF(mental_health[Stress_Level]&lt;=3,"Low",IF(mental_health[Stress_Level]&lt;=7,"Medium","High"))</f>
        <v>Medium</v>
      </c>
      <c r="V1365" t="str">
        <f>IF(mental_health[Daily_Screen_Time]&lt;=4,"Low",IF(mental_health[Daily_Screen_Time]&lt;=8,"Medium","High"))</f>
        <v>High</v>
      </c>
    </row>
    <row r="1366" spans="1:22" x14ac:dyDescent="0.3">
      <c r="A1366">
        <v>1365</v>
      </c>
      <c r="B1366">
        <v>32</v>
      </c>
      <c r="C1366" t="s">
        <v>23</v>
      </c>
      <c r="D1366" t="s">
        <v>19</v>
      </c>
      <c r="E1366">
        <v>3.3</v>
      </c>
      <c r="F1366">
        <v>6.5</v>
      </c>
      <c r="G1366">
        <v>1</v>
      </c>
      <c r="H1366" t="str">
        <f t="shared" si="21"/>
        <v>Night Usage</v>
      </c>
      <c r="I1366">
        <v>5.3</v>
      </c>
      <c r="J1366" s="3">
        <v>7</v>
      </c>
      <c r="K1366">
        <v>6.9</v>
      </c>
      <c r="L1366" t="s">
        <v>25</v>
      </c>
      <c r="M1366">
        <v>3</v>
      </c>
      <c r="N1366">
        <v>2</v>
      </c>
      <c r="O1366">
        <v>0</v>
      </c>
      <c r="P1366">
        <v>0</v>
      </c>
      <c r="Q1366">
        <v>0</v>
      </c>
      <c r="R1366">
        <v>1</v>
      </c>
      <c r="S1366">
        <v>0</v>
      </c>
      <c r="T1366" t="str">
        <f>IF(mental_health[Sleep_Hours]&lt;5,"Low",IF(mental_health[Sleep_Hours]&lt;7,"Medium","Good"))</f>
        <v>Medium</v>
      </c>
      <c r="U1366" t="str">
        <f>IF(mental_health[Stress_Level]&lt;=3,"Low",IF(mental_health[Stress_Level]&lt;=7,"Medium","High"))</f>
        <v>Medium</v>
      </c>
      <c r="V1366" t="str">
        <f>IF(mental_health[Daily_Screen_Time]&lt;=4,"Low",IF(mental_health[Daily_Screen_Time]&lt;=8,"Medium","High"))</f>
        <v>Low</v>
      </c>
    </row>
    <row r="1367" spans="1:22" x14ac:dyDescent="0.3">
      <c r="A1367">
        <v>1366</v>
      </c>
      <c r="B1367">
        <v>38</v>
      </c>
      <c r="C1367" t="s">
        <v>23</v>
      </c>
      <c r="D1367" t="s">
        <v>19</v>
      </c>
      <c r="E1367">
        <v>11.4</v>
      </c>
      <c r="F1367">
        <v>6.4</v>
      </c>
      <c r="G1367">
        <v>0</v>
      </c>
      <c r="H1367" t="str">
        <f t="shared" si="21"/>
        <v>No Night Usage</v>
      </c>
      <c r="I1367">
        <v>5.3</v>
      </c>
      <c r="J1367" s="3">
        <v>2</v>
      </c>
      <c r="K1367">
        <v>10.199999999999999</v>
      </c>
      <c r="L1367" t="s">
        <v>20</v>
      </c>
      <c r="M1367">
        <v>1</v>
      </c>
      <c r="N1367">
        <v>2</v>
      </c>
      <c r="O1367">
        <v>1</v>
      </c>
      <c r="P1367">
        <v>0</v>
      </c>
      <c r="Q1367">
        <v>0</v>
      </c>
      <c r="R1367">
        <v>1</v>
      </c>
      <c r="S1367">
        <v>0</v>
      </c>
      <c r="T1367" t="str">
        <f>IF(mental_health[Sleep_Hours]&lt;5,"Low",IF(mental_health[Sleep_Hours]&lt;7,"Medium","Good"))</f>
        <v>Medium</v>
      </c>
      <c r="U1367" t="str">
        <f>IF(mental_health[Stress_Level]&lt;=3,"Low",IF(mental_health[Stress_Level]&lt;=7,"Medium","High"))</f>
        <v>Low</v>
      </c>
      <c r="V1367" t="str">
        <f>IF(mental_health[Daily_Screen_Time]&lt;=4,"Low",IF(mental_health[Daily_Screen_Time]&lt;=8,"Medium","High"))</f>
        <v>High</v>
      </c>
    </row>
    <row r="1368" spans="1:22" x14ac:dyDescent="0.3">
      <c r="A1368">
        <v>1367</v>
      </c>
      <c r="B1368">
        <v>41</v>
      </c>
      <c r="C1368" t="s">
        <v>23</v>
      </c>
      <c r="D1368" t="s">
        <v>24</v>
      </c>
      <c r="E1368">
        <v>9.5</v>
      </c>
      <c r="F1368">
        <v>2.6</v>
      </c>
      <c r="G1368">
        <v>0</v>
      </c>
      <c r="H1368" t="str">
        <f t="shared" si="21"/>
        <v>No Night Usage</v>
      </c>
      <c r="I1368">
        <v>6.8</v>
      </c>
      <c r="J1368" s="3">
        <v>6</v>
      </c>
      <c r="K1368">
        <v>9.6999999999999993</v>
      </c>
      <c r="L1368" t="s">
        <v>20</v>
      </c>
      <c r="M1368">
        <v>6</v>
      </c>
      <c r="N1368">
        <v>3</v>
      </c>
      <c r="O1368">
        <v>1</v>
      </c>
      <c r="P1368">
        <v>0</v>
      </c>
      <c r="Q1368">
        <v>1</v>
      </c>
      <c r="R1368">
        <v>1</v>
      </c>
      <c r="S1368">
        <v>1</v>
      </c>
      <c r="T1368" t="str">
        <f>IF(mental_health[Sleep_Hours]&lt;5,"Low",IF(mental_health[Sleep_Hours]&lt;7,"Medium","Good"))</f>
        <v>Medium</v>
      </c>
      <c r="U1368" t="str">
        <f>IF(mental_health[Stress_Level]&lt;=3,"Low",IF(mental_health[Stress_Level]&lt;=7,"Medium","High"))</f>
        <v>Medium</v>
      </c>
      <c r="V1368" t="str">
        <f>IF(mental_health[Daily_Screen_Time]&lt;=4,"Low",IF(mental_health[Daily_Screen_Time]&lt;=8,"Medium","High"))</f>
        <v>High</v>
      </c>
    </row>
    <row r="1369" spans="1:22" x14ac:dyDescent="0.3">
      <c r="A1369">
        <v>1368</v>
      </c>
      <c r="B1369">
        <v>36</v>
      </c>
      <c r="C1369" t="s">
        <v>18</v>
      </c>
      <c r="D1369" t="s">
        <v>22</v>
      </c>
      <c r="E1369">
        <v>11.4</v>
      </c>
      <c r="F1369">
        <v>7.5</v>
      </c>
      <c r="G1369">
        <v>0</v>
      </c>
      <c r="H1369" t="str">
        <f t="shared" si="21"/>
        <v>No Night Usage</v>
      </c>
      <c r="I1369">
        <v>6</v>
      </c>
      <c r="J1369" s="3">
        <v>7</v>
      </c>
      <c r="K1369">
        <v>11.4</v>
      </c>
      <c r="L1369" t="s">
        <v>21</v>
      </c>
      <c r="M1369">
        <v>3</v>
      </c>
      <c r="N1369">
        <v>2</v>
      </c>
      <c r="O1369">
        <v>1</v>
      </c>
      <c r="P1369">
        <v>1</v>
      </c>
      <c r="Q1369">
        <v>0</v>
      </c>
      <c r="R1369">
        <v>0</v>
      </c>
      <c r="S1369">
        <v>1</v>
      </c>
      <c r="T1369" t="str">
        <f>IF(mental_health[Sleep_Hours]&lt;5,"Low",IF(mental_health[Sleep_Hours]&lt;7,"Medium","Good"))</f>
        <v>Medium</v>
      </c>
      <c r="U1369" t="str">
        <f>IF(mental_health[Stress_Level]&lt;=3,"Low",IF(mental_health[Stress_Level]&lt;=7,"Medium","High"))</f>
        <v>Medium</v>
      </c>
      <c r="V1369" t="str">
        <f>IF(mental_health[Daily_Screen_Time]&lt;=4,"Low",IF(mental_health[Daily_Screen_Time]&lt;=8,"Medium","High"))</f>
        <v>High</v>
      </c>
    </row>
    <row r="1370" spans="1:22" x14ac:dyDescent="0.3">
      <c r="A1370">
        <v>1369</v>
      </c>
      <c r="B1370">
        <v>37</v>
      </c>
      <c r="C1370" t="s">
        <v>18</v>
      </c>
      <c r="D1370" t="s">
        <v>22</v>
      </c>
      <c r="E1370">
        <v>8.8000000000000007</v>
      </c>
      <c r="F1370">
        <v>5.0999999999999996</v>
      </c>
      <c r="G1370">
        <v>1</v>
      </c>
      <c r="H1370" t="str">
        <f t="shared" si="21"/>
        <v>Night Usage</v>
      </c>
      <c r="I1370">
        <v>8.1</v>
      </c>
      <c r="J1370" s="3">
        <v>5</v>
      </c>
      <c r="K1370">
        <v>3.4</v>
      </c>
      <c r="L1370" t="s">
        <v>20</v>
      </c>
      <c r="M1370">
        <v>1</v>
      </c>
      <c r="N1370">
        <v>4</v>
      </c>
      <c r="O1370">
        <v>0</v>
      </c>
      <c r="P1370">
        <v>0</v>
      </c>
      <c r="Q1370">
        <v>1</v>
      </c>
      <c r="R1370">
        <v>1</v>
      </c>
      <c r="S1370">
        <v>0</v>
      </c>
      <c r="T1370" t="str">
        <f>IF(mental_health[Sleep_Hours]&lt;5,"Low",IF(mental_health[Sleep_Hours]&lt;7,"Medium","Good"))</f>
        <v>Good</v>
      </c>
      <c r="U1370" t="str">
        <f>IF(mental_health[Stress_Level]&lt;=3,"Low",IF(mental_health[Stress_Level]&lt;=7,"Medium","High"))</f>
        <v>Medium</v>
      </c>
      <c r="V1370" t="str">
        <f>IF(mental_health[Daily_Screen_Time]&lt;=4,"Low",IF(mental_health[Daily_Screen_Time]&lt;=8,"Medium","High"))</f>
        <v>High</v>
      </c>
    </row>
    <row r="1371" spans="1:22" x14ac:dyDescent="0.3">
      <c r="A1371">
        <v>1370</v>
      </c>
      <c r="B1371">
        <v>22</v>
      </c>
      <c r="C1371" t="s">
        <v>23</v>
      </c>
      <c r="D1371" t="s">
        <v>19</v>
      </c>
      <c r="E1371">
        <v>5.6</v>
      </c>
      <c r="F1371">
        <v>3.7</v>
      </c>
      <c r="G1371">
        <v>1</v>
      </c>
      <c r="H1371" t="str">
        <f t="shared" si="21"/>
        <v>Night Usage</v>
      </c>
      <c r="I1371">
        <v>8.1999999999999993</v>
      </c>
      <c r="J1371" s="3">
        <v>9</v>
      </c>
      <c r="K1371">
        <v>5.8</v>
      </c>
      <c r="L1371" t="s">
        <v>20</v>
      </c>
      <c r="M1371">
        <v>6</v>
      </c>
      <c r="N1371">
        <v>2</v>
      </c>
      <c r="O1371">
        <v>1</v>
      </c>
      <c r="P1371">
        <v>1</v>
      </c>
      <c r="Q1371">
        <v>1</v>
      </c>
      <c r="R1371">
        <v>0</v>
      </c>
      <c r="S1371">
        <v>0</v>
      </c>
      <c r="T1371" t="str">
        <f>IF(mental_health[Sleep_Hours]&lt;5,"Low",IF(mental_health[Sleep_Hours]&lt;7,"Medium","Good"))</f>
        <v>Good</v>
      </c>
      <c r="U1371" t="str">
        <f>IF(mental_health[Stress_Level]&lt;=3,"Low",IF(mental_health[Stress_Level]&lt;=7,"Medium","High"))</f>
        <v>High</v>
      </c>
      <c r="V1371" t="str">
        <f>IF(mental_health[Daily_Screen_Time]&lt;=4,"Low",IF(mental_health[Daily_Screen_Time]&lt;=8,"Medium","High"))</f>
        <v>Medium</v>
      </c>
    </row>
    <row r="1372" spans="1:22" x14ac:dyDescent="0.3">
      <c r="A1372">
        <v>1371</v>
      </c>
      <c r="B1372">
        <v>29</v>
      </c>
      <c r="C1372" t="s">
        <v>18</v>
      </c>
      <c r="D1372" t="s">
        <v>19</v>
      </c>
      <c r="E1372">
        <v>11.4</v>
      </c>
      <c r="F1372">
        <v>4.5</v>
      </c>
      <c r="G1372">
        <v>1</v>
      </c>
      <c r="H1372" t="str">
        <f t="shared" si="21"/>
        <v>Night Usage</v>
      </c>
      <c r="I1372">
        <v>4</v>
      </c>
      <c r="J1372" s="3">
        <v>4</v>
      </c>
      <c r="K1372">
        <v>4.8</v>
      </c>
      <c r="L1372" t="s">
        <v>25</v>
      </c>
      <c r="M1372">
        <v>5</v>
      </c>
      <c r="N1372">
        <v>3</v>
      </c>
      <c r="O1372">
        <v>0</v>
      </c>
      <c r="P1372">
        <v>1</v>
      </c>
      <c r="Q1372">
        <v>1</v>
      </c>
      <c r="R1372">
        <v>1</v>
      </c>
      <c r="S1372">
        <v>1</v>
      </c>
      <c r="T1372" t="str">
        <f>IF(mental_health[Sleep_Hours]&lt;5,"Low",IF(mental_health[Sleep_Hours]&lt;7,"Medium","Good"))</f>
        <v>Low</v>
      </c>
      <c r="U1372" t="str">
        <f>IF(mental_health[Stress_Level]&lt;=3,"Low",IF(mental_health[Stress_Level]&lt;=7,"Medium","High"))</f>
        <v>Medium</v>
      </c>
      <c r="V1372" t="str">
        <f>IF(mental_health[Daily_Screen_Time]&lt;=4,"Low",IF(mental_health[Daily_Screen_Time]&lt;=8,"Medium","High"))</f>
        <v>High</v>
      </c>
    </row>
    <row r="1373" spans="1:22" x14ac:dyDescent="0.3">
      <c r="A1373">
        <v>1372</v>
      </c>
      <c r="B1373">
        <v>30</v>
      </c>
      <c r="C1373" t="s">
        <v>23</v>
      </c>
      <c r="D1373" t="s">
        <v>24</v>
      </c>
      <c r="E1373">
        <v>4.8</v>
      </c>
      <c r="F1373">
        <v>5.2</v>
      </c>
      <c r="G1373">
        <v>1</v>
      </c>
      <c r="H1373" t="str">
        <f t="shared" si="21"/>
        <v>Night Usage</v>
      </c>
      <c r="I1373">
        <v>3.8</v>
      </c>
      <c r="J1373" s="3">
        <v>10</v>
      </c>
      <c r="K1373">
        <v>10.6</v>
      </c>
      <c r="L1373" t="s">
        <v>21</v>
      </c>
      <c r="M1373">
        <v>8</v>
      </c>
      <c r="N1373">
        <v>2</v>
      </c>
      <c r="O1373">
        <v>1</v>
      </c>
      <c r="P1373">
        <v>1</v>
      </c>
      <c r="Q1373">
        <v>0</v>
      </c>
      <c r="R1373">
        <v>0</v>
      </c>
      <c r="S1373">
        <v>1</v>
      </c>
      <c r="T1373" t="str">
        <f>IF(mental_health[Sleep_Hours]&lt;5,"Low",IF(mental_health[Sleep_Hours]&lt;7,"Medium","Good"))</f>
        <v>Low</v>
      </c>
      <c r="U1373" t="str">
        <f>IF(mental_health[Stress_Level]&lt;=3,"Low",IF(mental_health[Stress_Level]&lt;=7,"Medium","High"))</f>
        <v>High</v>
      </c>
      <c r="V1373" t="str">
        <f>IF(mental_health[Daily_Screen_Time]&lt;=4,"Low",IF(mental_health[Daily_Screen_Time]&lt;=8,"Medium","High"))</f>
        <v>Medium</v>
      </c>
    </row>
    <row r="1374" spans="1:22" x14ac:dyDescent="0.3">
      <c r="A1374">
        <v>1373</v>
      </c>
      <c r="B1374">
        <v>22</v>
      </c>
      <c r="C1374" t="s">
        <v>18</v>
      </c>
      <c r="D1374" t="s">
        <v>24</v>
      </c>
      <c r="E1374">
        <v>5.3</v>
      </c>
      <c r="F1374">
        <v>4.9000000000000004</v>
      </c>
      <c r="G1374">
        <v>0</v>
      </c>
      <c r="H1374" t="str">
        <f t="shared" si="21"/>
        <v>No Night Usage</v>
      </c>
      <c r="I1374">
        <v>6.8</v>
      </c>
      <c r="J1374" s="3">
        <v>1</v>
      </c>
      <c r="K1374">
        <v>6.9</v>
      </c>
      <c r="L1374" t="s">
        <v>20</v>
      </c>
      <c r="M1374">
        <v>2</v>
      </c>
      <c r="N1374">
        <v>3</v>
      </c>
      <c r="O1374">
        <v>0</v>
      </c>
      <c r="P1374">
        <v>0</v>
      </c>
      <c r="Q1374">
        <v>0</v>
      </c>
      <c r="R1374">
        <v>0</v>
      </c>
      <c r="S1374">
        <v>0</v>
      </c>
      <c r="T1374" t="str">
        <f>IF(mental_health[Sleep_Hours]&lt;5,"Low",IF(mental_health[Sleep_Hours]&lt;7,"Medium","Good"))</f>
        <v>Medium</v>
      </c>
      <c r="U1374" t="str">
        <f>IF(mental_health[Stress_Level]&lt;=3,"Low",IF(mental_health[Stress_Level]&lt;=7,"Medium","High"))</f>
        <v>Low</v>
      </c>
      <c r="V1374" t="str">
        <f>IF(mental_health[Daily_Screen_Time]&lt;=4,"Low",IF(mental_health[Daily_Screen_Time]&lt;=8,"Medium","High"))</f>
        <v>Medium</v>
      </c>
    </row>
    <row r="1375" spans="1:22" x14ac:dyDescent="0.3">
      <c r="A1375">
        <v>1374</v>
      </c>
      <c r="B1375">
        <v>24</v>
      </c>
      <c r="C1375" t="s">
        <v>18</v>
      </c>
      <c r="D1375" t="s">
        <v>19</v>
      </c>
      <c r="E1375">
        <v>9</v>
      </c>
      <c r="F1375">
        <v>4.4000000000000004</v>
      </c>
      <c r="G1375">
        <v>0</v>
      </c>
      <c r="H1375" t="str">
        <f t="shared" si="21"/>
        <v>No Night Usage</v>
      </c>
      <c r="I1375">
        <v>4.8</v>
      </c>
      <c r="J1375" s="3">
        <v>8</v>
      </c>
      <c r="K1375">
        <v>2.2999999999999998</v>
      </c>
      <c r="L1375" t="s">
        <v>21</v>
      </c>
      <c r="M1375">
        <v>8</v>
      </c>
      <c r="N1375">
        <v>1</v>
      </c>
      <c r="O1375">
        <v>0</v>
      </c>
      <c r="P1375">
        <v>0</v>
      </c>
      <c r="Q1375">
        <v>0</v>
      </c>
      <c r="R1375">
        <v>1</v>
      </c>
      <c r="S1375">
        <v>1</v>
      </c>
      <c r="T1375" t="str">
        <f>IF(mental_health[Sleep_Hours]&lt;5,"Low",IF(mental_health[Sleep_Hours]&lt;7,"Medium","Good"))</f>
        <v>Low</v>
      </c>
      <c r="U1375" t="str">
        <f>IF(mental_health[Stress_Level]&lt;=3,"Low",IF(mental_health[Stress_Level]&lt;=7,"Medium","High"))</f>
        <v>High</v>
      </c>
      <c r="V1375" t="str">
        <f>IF(mental_health[Daily_Screen_Time]&lt;=4,"Low",IF(mental_health[Daily_Screen_Time]&lt;=8,"Medium","High"))</f>
        <v>High</v>
      </c>
    </row>
    <row r="1376" spans="1:22" x14ac:dyDescent="0.3">
      <c r="A1376">
        <v>1375</v>
      </c>
      <c r="B1376">
        <v>23</v>
      </c>
      <c r="C1376" t="s">
        <v>18</v>
      </c>
      <c r="D1376" t="s">
        <v>22</v>
      </c>
      <c r="E1376">
        <v>9.6999999999999993</v>
      </c>
      <c r="F1376">
        <v>4.5</v>
      </c>
      <c r="G1376">
        <v>0</v>
      </c>
      <c r="H1376" t="str">
        <f t="shared" si="21"/>
        <v>No Night Usage</v>
      </c>
      <c r="I1376">
        <v>3.1</v>
      </c>
      <c r="J1376" s="3">
        <v>8</v>
      </c>
      <c r="K1376">
        <v>9.1</v>
      </c>
      <c r="L1376" t="s">
        <v>20</v>
      </c>
      <c r="M1376">
        <v>5</v>
      </c>
      <c r="N1376">
        <v>3</v>
      </c>
      <c r="O1376">
        <v>0</v>
      </c>
      <c r="P1376">
        <v>1</v>
      </c>
      <c r="Q1376">
        <v>1</v>
      </c>
      <c r="R1376">
        <v>0</v>
      </c>
      <c r="S1376">
        <v>1</v>
      </c>
      <c r="T1376" t="str">
        <f>IF(mental_health[Sleep_Hours]&lt;5,"Low",IF(mental_health[Sleep_Hours]&lt;7,"Medium","Good"))</f>
        <v>Low</v>
      </c>
      <c r="U1376" t="str">
        <f>IF(mental_health[Stress_Level]&lt;=3,"Low",IF(mental_health[Stress_Level]&lt;=7,"Medium","High"))</f>
        <v>High</v>
      </c>
      <c r="V1376" t="str">
        <f>IF(mental_health[Daily_Screen_Time]&lt;=4,"Low",IF(mental_health[Daily_Screen_Time]&lt;=8,"Medium","High"))</f>
        <v>High</v>
      </c>
    </row>
    <row r="1377" spans="1:22" x14ac:dyDescent="0.3">
      <c r="A1377">
        <v>1376</v>
      </c>
      <c r="B1377">
        <v>38</v>
      </c>
      <c r="C1377" t="s">
        <v>18</v>
      </c>
      <c r="D1377" t="s">
        <v>22</v>
      </c>
      <c r="E1377">
        <v>11.3</v>
      </c>
      <c r="F1377">
        <v>2.2000000000000002</v>
      </c>
      <c r="G1377">
        <v>1</v>
      </c>
      <c r="H1377" t="str">
        <f t="shared" si="21"/>
        <v>Night Usage</v>
      </c>
      <c r="I1377">
        <v>8.3000000000000007</v>
      </c>
      <c r="J1377" s="3">
        <v>7</v>
      </c>
      <c r="K1377">
        <v>5.9</v>
      </c>
      <c r="L1377" t="s">
        <v>25</v>
      </c>
      <c r="M1377">
        <v>8</v>
      </c>
      <c r="N1377">
        <v>2</v>
      </c>
      <c r="O1377">
        <v>0</v>
      </c>
      <c r="P1377">
        <v>0</v>
      </c>
      <c r="Q1377">
        <v>1</v>
      </c>
      <c r="R1377">
        <v>1</v>
      </c>
      <c r="S1377">
        <v>0</v>
      </c>
      <c r="T1377" t="str">
        <f>IF(mental_health[Sleep_Hours]&lt;5,"Low",IF(mental_health[Sleep_Hours]&lt;7,"Medium","Good"))</f>
        <v>Good</v>
      </c>
      <c r="U1377" t="str">
        <f>IF(mental_health[Stress_Level]&lt;=3,"Low",IF(mental_health[Stress_Level]&lt;=7,"Medium","High"))</f>
        <v>Medium</v>
      </c>
      <c r="V1377" t="str">
        <f>IF(mental_health[Daily_Screen_Time]&lt;=4,"Low",IF(mental_health[Daily_Screen_Time]&lt;=8,"Medium","High"))</f>
        <v>High</v>
      </c>
    </row>
    <row r="1378" spans="1:22" x14ac:dyDescent="0.3">
      <c r="A1378">
        <v>1377</v>
      </c>
      <c r="B1378">
        <v>44</v>
      </c>
      <c r="C1378" t="s">
        <v>23</v>
      </c>
      <c r="D1378" t="s">
        <v>22</v>
      </c>
      <c r="E1378">
        <v>4</v>
      </c>
      <c r="F1378">
        <v>6.7</v>
      </c>
      <c r="G1378">
        <v>0</v>
      </c>
      <c r="H1378" t="str">
        <f t="shared" si="21"/>
        <v>No Night Usage</v>
      </c>
      <c r="I1378">
        <v>4.4000000000000004</v>
      </c>
      <c r="J1378" s="3">
        <v>8</v>
      </c>
      <c r="K1378">
        <v>7.3</v>
      </c>
      <c r="L1378" t="s">
        <v>20</v>
      </c>
      <c r="M1378">
        <v>10</v>
      </c>
      <c r="N1378">
        <v>3</v>
      </c>
      <c r="O1378">
        <v>1</v>
      </c>
      <c r="P1378">
        <v>0</v>
      </c>
      <c r="Q1378">
        <v>0</v>
      </c>
      <c r="R1378">
        <v>1</v>
      </c>
      <c r="S1378">
        <v>0</v>
      </c>
      <c r="T1378" t="str">
        <f>IF(mental_health[Sleep_Hours]&lt;5,"Low",IF(mental_health[Sleep_Hours]&lt;7,"Medium","Good"))</f>
        <v>Low</v>
      </c>
      <c r="U1378" t="str">
        <f>IF(mental_health[Stress_Level]&lt;=3,"Low",IF(mental_health[Stress_Level]&lt;=7,"Medium","High"))</f>
        <v>High</v>
      </c>
      <c r="V1378" t="str">
        <f>IF(mental_health[Daily_Screen_Time]&lt;=4,"Low",IF(mental_health[Daily_Screen_Time]&lt;=8,"Medium","High"))</f>
        <v>Low</v>
      </c>
    </row>
    <row r="1379" spans="1:22" x14ac:dyDescent="0.3">
      <c r="A1379">
        <v>1378</v>
      </c>
      <c r="B1379">
        <v>33</v>
      </c>
      <c r="C1379" t="s">
        <v>18</v>
      </c>
      <c r="D1379" t="s">
        <v>19</v>
      </c>
      <c r="E1379">
        <v>10</v>
      </c>
      <c r="F1379">
        <v>4.8</v>
      </c>
      <c r="G1379">
        <v>0</v>
      </c>
      <c r="H1379" t="str">
        <f t="shared" si="21"/>
        <v>No Night Usage</v>
      </c>
      <c r="I1379">
        <v>8.6</v>
      </c>
      <c r="J1379" s="3">
        <v>2</v>
      </c>
      <c r="K1379">
        <v>10.9</v>
      </c>
      <c r="L1379" t="s">
        <v>21</v>
      </c>
      <c r="M1379">
        <v>4</v>
      </c>
      <c r="N1379">
        <v>0</v>
      </c>
      <c r="O1379">
        <v>0</v>
      </c>
      <c r="P1379">
        <v>0</v>
      </c>
      <c r="Q1379">
        <v>0</v>
      </c>
      <c r="R1379">
        <v>0</v>
      </c>
      <c r="S1379">
        <v>1</v>
      </c>
      <c r="T1379" t="str">
        <f>IF(mental_health[Sleep_Hours]&lt;5,"Low",IF(mental_health[Sleep_Hours]&lt;7,"Medium","Good"))</f>
        <v>Good</v>
      </c>
      <c r="U1379" t="str">
        <f>IF(mental_health[Stress_Level]&lt;=3,"Low",IF(mental_health[Stress_Level]&lt;=7,"Medium","High"))</f>
        <v>Low</v>
      </c>
      <c r="V1379" t="str">
        <f>IF(mental_health[Daily_Screen_Time]&lt;=4,"Low",IF(mental_health[Daily_Screen_Time]&lt;=8,"Medium","High"))</f>
        <v>High</v>
      </c>
    </row>
    <row r="1380" spans="1:22" x14ac:dyDescent="0.3">
      <c r="A1380">
        <v>1379</v>
      </c>
      <c r="B1380">
        <v>46</v>
      </c>
      <c r="C1380" t="s">
        <v>23</v>
      </c>
      <c r="D1380" t="s">
        <v>22</v>
      </c>
      <c r="E1380">
        <v>9.4</v>
      </c>
      <c r="F1380">
        <v>1.9</v>
      </c>
      <c r="G1380">
        <v>0</v>
      </c>
      <c r="H1380" t="str">
        <f t="shared" si="21"/>
        <v>No Night Usage</v>
      </c>
      <c r="I1380">
        <v>7.3</v>
      </c>
      <c r="J1380" s="3">
        <v>3</v>
      </c>
      <c r="K1380">
        <v>4.5999999999999996</v>
      </c>
      <c r="L1380" t="s">
        <v>21</v>
      </c>
      <c r="M1380">
        <v>4</v>
      </c>
      <c r="N1380">
        <v>3</v>
      </c>
      <c r="O1380">
        <v>0</v>
      </c>
      <c r="P1380">
        <v>0</v>
      </c>
      <c r="Q1380">
        <v>0</v>
      </c>
      <c r="R1380">
        <v>1</v>
      </c>
      <c r="S1380">
        <v>0</v>
      </c>
      <c r="T1380" t="str">
        <f>IF(mental_health[Sleep_Hours]&lt;5,"Low",IF(mental_health[Sleep_Hours]&lt;7,"Medium","Good"))</f>
        <v>Good</v>
      </c>
      <c r="U1380" t="str">
        <f>IF(mental_health[Stress_Level]&lt;=3,"Low",IF(mental_health[Stress_Level]&lt;=7,"Medium","High"))</f>
        <v>Low</v>
      </c>
      <c r="V1380" t="str">
        <f>IF(mental_health[Daily_Screen_Time]&lt;=4,"Low",IF(mental_health[Daily_Screen_Time]&lt;=8,"Medium","High"))</f>
        <v>High</v>
      </c>
    </row>
    <row r="1381" spans="1:22" x14ac:dyDescent="0.3">
      <c r="A1381">
        <v>1380</v>
      </c>
      <c r="B1381">
        <v>45</v>
      </c>
      <c r="C1381" t="s">
        <v>23</v>
      </c>
      <c r="D1381" t="s">
        <v>24</v>
      </c>
      <c r="E1381">
        <v>2.6</v>
      </c>
      <c r="F1381">
        <v>6.4</v>
      </c>
      <c r="G1381">
        <v>1</v>
      </c>
      <c r="H1381" t="str">
        <f t="shared" si="21"/>
        <v>Night Usage</v>
      </c>
      <c r="I1381">
        <v>7.6</v>
      </c>
      <c r="J1381" s="3">
        <v>9</v>
      </c>
      <c r="K1381">
        <v>4.4000000000000004</v>
      </c>
      <c r="L1381" t="s">
        <v>25</v>
      </c>
      <c r="M1381">
        <v>10</v>
      </c>
      <c r="N1381">
        <v>3</v>
      </c>
      <c r="O1381">
        <v>1</v>
      </c>
      <c r="P1381">
        <v>0</v>
      </c>
      <c r="Q1381">
        <v>0</v>
      </c>
      <c r="R1381">
        <v>1</v>
      </c>
      <c r="S1381">
        <v>0</v>
      </c>
      <c r="T1381" t="str">
        <f>IF(mental_health[Sleep_Hours]&lt;5,"Low",IF(mental_health[Sleep_Hours]&lt;7,"Medium","Good"))</f>
        <v>Good</v>
      </c>
      <c r="U1381" t="str">
        <f>IF(mental_health[Stress_Level]&lt;=3,"Low",IF(mental_health[Stress_Level]&lt;=7,"Medium","High"))</f>
        <v>High</v>
      </c>
      <c r="V1381" t="str">
        <f>IF(mental_health[Daily_Screen_Time]&lt;=4,"Low",IF(mental_health[Daily_Screen_Time]&lt;=8,"Medium","High"))</f>
        <v>Low</v>
      </c>
    </row>
    <row r="1382" spans="1:22" x14ac:dyDescent="0.3">
      <c r="A1382">
        <v>1381</v>
      </c>
      <c r="B1382">
        <v>54</v>
      </c>
      <c r="C1382" t="s">
        <v>23</v>
      </c>
      <c r="D1382" t="s">
        <v>24</v>
      </c>
      <c r="E1382">
        <v>5.9</v>
      </c>
      <c r="F1382">
        <v>7.5</v>
      </c>
      <c r="G1382">
        <v>1</v>
      </c>
      <c r="H1382" t="str">
        <f t="shared" si="21"/>
        <v>Night Usage</v>
      </c>
      <c r="I1382">
        <v>4.2</v>
      </c>
      <c r="J1382" s="3">
        <v>1</v>
      </c>
      <c r="K1382">
        <v>4.5999999999999996</v>
      </c>
      <c r="L1382" t="s">
        <v>20</v>
      </c>
      <c r="M1382">
        <v>4</v>
      </c>
      <c r="N1382">
        <v>0</v>
      </c>
      <c r="O1382">
        <v>0</v>
      </c>
      <c r="P1382">
        <v>0</v>
      </c>
      <c r="Q1382">
        <v>0</v>
      </c>
      <c r="R1382">
        <v>0</v>
      </c>
      <c r="S1382">
        <v>0</v>
      </c>
      <c r="T1382" t="str">
        <f>IF(mental_health[Sleep_Hours]&lt;5,"Low",IF(mental_health[Sleep_Hours]&lt;7,"Medium","Good"))</f>
        <v>Low</v>
      </c>
      <c r="U1382" t="str">
        <f>IF(mental_health[Stress_Level]&lt;=3,"Low",IF(mental_health[Stress_Level]&lt;=7,"Medium","High"))</f>
        <v>Low</v>
      </c>
      <c r="V1382" t="str">
        <f>IF(mental_health[Daily_Screen_Time]&lt;=4,"Low",IF(mental_health[Daily_Screen_Time]&lt;=8,"Medium","High"))</f>
        <v>Medium</v>
      </c>
    </row>
    <row r="1383" spans="1:22" x14ac:dyDescent="0.3">
      <c r="A1383">
        <v>1382</v>
      </c>
      <c r="B1383">
        <v>50</v>
      </c>
      <c r="C1383" t="s">
        <v>18</v>
      </c>
      <c r="D1383" t="s">
        <v>19</v>
      </c>
      <c r="E1383">
        <v>4.8</v>
      </c>
      <c r="F1383">
        <v>7.6</v>
      </c>
      <c r="G1383">
        <v>1</v>
      </c>
      <c r="H1383" t="str">
        <f t="shared" si="21"/>
        <v>Night Usage</v>
      </c>
      <c r="I1383">
        <v>4.4000000000000004</v>
      </c>
      <c r="J1383" s="3">
        <v>8</v>
      </c>
      <c r="K1383">
        <v>5.4</v>
      </c>
      <c r="L1383" t="s">
        <v>25</v>
      </c>
      <c r="M1383">
        <v>6</v>
      </c>
      <c r="N1383">
        <v>0</v>
      </c>
      <c r="O1383">
        <v>1</v>
      </c>
      <c r="P1383">
        <v>1</v>
      </c>
      <c r="Q1383">
        <v>0</v>
      </c>
      <c r="R1383">
        <v>1</v>
      </c>
      <c r="S1383">
        <v>1</v>
      </c>
      <c r="T1383" t="str">
        <f>IF(mental_health[Sleep_Hours]&lt;5,"Low",IF(mental_health[Sleep_Hours]&lt;7,"Medium","Good"))</f>
        <v>Low</v>
      </c>
      <c r="U1383" t="str">
        <f>IF(mental_health[Stress_Level]&lt;=3,"Low",IF(mental_health[Stress_Level]&lt;=7,"Medium","High"))</f>
        <v>High</v>
      </c>
      <c r="V1383" t="str">
        <f>IF(mental_health[Daily_Screen_Time]&lt;=4,"Low",IF(mental_health[Daily_Screen_Time]&lt;=8,"Medium","High"))</f>
        <v>Medium</v>
      </c>
    </row>
    <row r="1384" spans="1:22" x14ac:dyDescent="0.3">
      <c r="A1384">
        <v>1383</v>
      </c>
      <c r="B1384">
        <v>33</v>
      </c>
      <c r="C1384" t="s">
        <v>23</v>
      </c>
      <c r="D1384" t="s">
        <v>24</v>
      </c>
      <c r="E1384">
        <v>5</v>
      </c>
      <c r="F1384">
        <v>3.6</v>
      </c>
      <c r="G1384">
        <v>0</v>
      </c>
      <c r="H1384" t="str">
        <f t="shared" si="21"/>
        <v>No Night Usage</v>
      </c>
      <c r="I1384">
        <v>6.1</v>
      </c>
      <c r="J1384" s="3">
        <v>8</v>
      </c>
      <c r="K1384">
        <v>3.1</v>
      </c>
      <c r="L1384" t="s">
        <v>21</v>
      </c>
      <c r="M1384">
        <v>4</v>
      </c>
      <c r="N1384">
        <v>0</v>
      </c>
      <c r="O1384">
        <v>0</v>
      </c>
      <c r="P1384">
        <v>1</v>
      </c>
      <c r="Q1384">
        <v>1</v>
      </c>
      <c r="R1384">
        <v>1</v>
      </c>
      <c r="S1384">
        <v>1</v>
      </c>
      <c r="T1384" t="str">
        <f>IF(mental_health[Sleep_Hours]&lt;5,"Low",IF(mental_health[Sleep_Hours]&lt;7,"Medium","Good"))</f>
        <v>Medium</v>
      </c>
      <c r="U1384" t="str">
        <f>IF(mental_health[Stress_Level]&lt;=3,"Low",IF(mental_health[Stress_Level]&lt;=7,"Medium","High"))</f>
        <v>High</v>
      </c>
      <c r="V1384" t="str">
        <f>IF(mental_health[Daily_Screen_Time]&lt;=4,"Low",IF(mental_health[Daily_Screen_Time]&lt;=8,"Medium","High"))</f>
        <v>Medium</v>
      </c>
    </row>
    <row r="1385" spans="1:22" x14ac:dyDescent="0.3">
      <c r="A1385">
        <v>1384</v>
      </c>
      <c r="B1385">
        <v>57</v>
      </c>
      <c r="C1385" t="s">
        <v>23</v>
      </c>
      <c r="D1385" t="s">
        <v>19</v>
      </c>
      <c r="E1385">
        <v>11.8</v>
      </c>
      <c r="F1385">
        <v>1.9</v>
      </c>
      <c r="G1385">
        <v>0</v>
      </c>
      <c r="H1385" t="str">
        <f t="shared" si="21"/>
        <v>No Night Usage</v>
      </c>
      <c r="I1385">
        <v>4</v>
      </c>
      <c r="J1385" s="3">
        <v>7</v>
      </c>
      <c r="K1385">
        <v>9</v>
      </c>
      <c r="L1385" t="s">
        <v>25</v>
      </c>
      <c r="M1385">
        <v>9</v>
      </c>
      <c r="N1385">
        <v>4</v>
      </c>
      <c r="O1385">
        <v>1</v>
      </c>
      <c r="P1385">
        <v>1</v>
      </c>
      <c r="Q1385">
        <v>1</v>
      </c>
      <c r="R1385">
        <v>1</v>
      </c>
      <c r="S1385">
        <v>1</v>
      </c>
      <c r="T1385" t="str">
        <f>IF(mental_health[Sleep_Hours]&lt;5,"Low",IF(mental_health[Sleep_Hours]&lt;7,"Medium","Good"))</f>
        <v>Low</v>
      </c>
      <c r="U1385" t="str">
        <f>IF(mental_health[Stress_Level]&lt;=3,"Low",IF(mental_health[Stress_Level]&lt;=7,"Medium","High"))</f>
        <v>Medium</v>
      </c>
      <c r="V1385" t="str">
        <f>IF(mental_health[Daily_Screen_Time]&lt;=4,"Low",IF(mental_health[Daily_Screen_Time]&lt;=8,"Medium","High"))</f>
        <v>High</v>
      </c>
    </row>
    <row r="1386" spans="1:22" x14ac:dyDescent="0.3">
      <c r="A1386">
        <v>1385</v>
      </c>
      <c r="B1386">
        <v>54</v>
      </c>
      <c r="C1386" t="s">
        <v>23</v>
      </c>
      <c r="D1386" t="s">
        <v>22</v>
      </c>
      <c r="E1386">
        <v>8.4</v>
      </c>
      <c r="F1386">
        <v>4.5999999999999996</v>
      </c>
      <c r="G1386">
        <v>0</v>
      </c>
      <c r="H1386" t="str">
        <f t="shared" si="21"/>
        <v>No Night Usage</v>
      </c>
      <c r="I1386">
        <v>4.8</v>
      </c>
      <c r="J1386" s="3">
        <v>5</v>
      </c>
      <c r="K1386">
        <v>4.0999999999999996</v>
      </c>
      <c r="L1386" t="s">
        <v>20</v>
      </c>
      <c r="M1386">
        <v>9</v>
      </c>
      <c r="N1386">
        <v>3</v>
      </c>
      <c r="O1386">
        <v>0</v>
      </c>
      <c r="P1386">
        <v>1</v>
      </c>
      <c r="Q1386">
        <v>1</v>
      </c>
      <c r="R1386">
        <v>1</v>
      </c>
      <c r="S1386">
        <v>1</v>
      </c>
      <c r="T1386" t="str">
        <f>IF(mental_health[Sleep_Hours]&lt;5,"Low",IF(mental_health[Sleep_Hours]&lt;7,"Medium","Good"))</f>
        <v>Low</v>
      </c>
      <c r="U1386" t="str">
        <f>IF(mental_health[Stress_Level]&lt;=3,"Low",IF(mental_health[Stress_Level]&lt;=7,"Medium","High"))</f>
        <v>Medium</v>
      </c>
      <c r="V1386" t="str">
        <f>IF(mental_health[Daily_Screen_Time]&lt;=4,"Low",IF(mental_health[Daily_Screen_Time]&lt;=8,"Medium","High"))</f>
        <v>High</v>
      </c>
    </row>
    <row r="1387" spans="1:22" x14ac:dyDescent="0.3">
      <c r="A1387">
        <v>1386</v>
      </c>
      <c r="B1387">
        <v>32</v>
      </c>
      <c r="C1387" t="s">
        <v>18</v>
      </c>
      <c r="D1387" t="s">
        <v>22</v>
      </c>
      <c r="E1387">
        <v>9.1999999999999993</v>
      </c>
      <c r="F1387">
        <v>1.8</v>
      </c>
      <c r="G1387">
        <v>0</v>
      </c>
      <c r="H1387" t="str">
        <f t="shared" si="21"/>
        <v>No Night Usage</v>
      </c>
      <c r="I1387">
        <v>4.9000000000000004</v>
      </c>
      <c r="J1387" s="3">
        <v>4</v>
      </c>
      <c r="K1387">
        <v>11.3</v>
      </c>
      <c r="L1387" t="s">
        <v>20</v>
      </c>
      <c r="M1387">
        <v>3</v>
      </c>
      <c r="N1387">
        <v>0</v>
      </c>
      <c r="O1387">
        <v>0</v>
      </c>
      <c r="P1387">
        <v>1</v>
      </c>
      <c r="Q1387">
        <v>0</v>
      </c>
      <c r="R1387">
        <v>0</v>
      </c>
      <c r="S1387">
        <v>1</v>
      </c>
      <c r="T1387" t="str">
        <f>IF(mental_health[Sleep_Hours]&lt;5,"Low",IF(mental_health[Sleep_Hours]&lt;7,"Medium","Good"))</f>
        <v>Low</v>
      </c>
      <c r="U1387" t="str">
        <f>IF(mental_health[Stress_Level]&lt;=3,"Low",IF(mental_health[Stress_Level]&lt;=7,"Medium","High"))</f>
        <v>Medium</v>
      </c>
      <c r="V1387" t="str">
        <f>IF(mental_health[Daily_Screen_Time]&lt;=4,"Low",IF(mental_health[Daily_Screen_Time]&lt;=8,"Medium","High"))</f>
        <v>High</v>
      </c>
    </row>
    <row r="1388" spans="1:22" x14ac:dyDescent="0.3">
      <c r="A1388">
        <v>1387</v>
      </c>
      <c r="B1388">
        <v>29</v>
      </c>
      <c r="C1388" t="s">
        <v>18</v>
      </c>
      <c r="D1388" t="s">
        <v>22</v>
      </c>
      <c r="E1388">
        <v>11.8</v>
      </c>
      <c r="F1388">
        <v>7.5</v>
      </c>
      <c r="G1388">
        <v>1</v>
      </c>
      <c r="H1388" t="str">
        <f t="shared" si="21"/>
        <v>Night Usage</v>
      </c>
      <c r="I1388">
        <v>4</v>
      </c>
      <c r="J1388" s="3">
        <v>10</v>
      </c>
      <c r="K1388">
        <v>4.2</v>
      </c>
      <c r="L1388" t="s">
        <v>25</v>
      </c>
      <c r="M1388">
        <v>7</v>
      </c>
      <c r="N1388">
        <v>0</v>
      </c>
      <c r="O1388">
        <v>0</v>
      </c>
      <c r="P1388">
        <v>0</v>
      </c>
      <c r="Q1388">
        <v>1</v>
      </c>
      <c r="R1388">
        <v>0</v>
      </c>
      <c r="S1388">
        <v>1</v>
      </c>
      <c r="T1388" t="str">
        <f>IF(mental_health[Sleep_Hours]&lt;5,"Low",IF(mental_health[Sleep_Hours]&lt;7,"Medium","Good"))</f>
        <v>Low</v>
      </c>
      <c r="U1388" t="str">
        <f>IF(mental_health[Stress_Level]&lt;=3,"Low",IF(mental_health[Stress_Level]&lt;=7,"Medium","High"))</f>
        <v>High</v>
      </c>
      <c r="V1388" t="str">
        <f>IF(mental_health[Daily_Screen_Time]&lt;=4,"Low",IF(mental_health[Daily_Screen_Time]&lt;=8,"Medium","High"))</f>
        <v>High</v>
      </c>
    </row>
    <row r="1389" spans="1:22" x14ac:dyDescent="0.3">
      <c r="A1389">
        <v>1388</v>
      </c>
      <c r="B1389">
        <v>46</v>
      </c>
      <c r="C1389" t="s">
        <v>23</v>
      </c>
      <c r="D1389" t="s">
        <v>24</v>
      </c>
      <c r="E1389">
        <v>5.8</v>
      </c>
      <c r="F1389">
        <v>2.2999999999999998</v>
      </c>
      <c r="G1389">
        <v>0</v>
      </c>
      <c r="H1389" t="str">
        <f t="shared" si="21"/>
        <v>No Night Usage</v>
      </c>
      <c r="I1389">
        <v>4.2</v>
      </c>
      <c r="J1389" s="3">
        <v>10</v>
      </c>
      <c r="K1389">
        <v>4.5999999999999996</v>
      </c>
      <c r="L1389" t="s">
        <v>21</v>
      </c>
      <c r="M1389">
        <v>5</v>
      </c>
      <c r="N1389">
        <v>1</v>
      </c>
      <c r="O1389">
        <v>0</v>
      </c>
      <c r="P1389">
        <v>0</v>
      </c>
      <c r="Q1389">
        <v>0</v>
      </c>
      <c r="R1389">
        <v>1</v>
      </c>
      <c r="S1389">
        <v>1</v>
      </c>
      <c r="T1389" t="str">
        <f>IF(mental_health[Sleep_Hours]&lt;5,"Low",IF(mental_health[Sleep_Hours]&lt;7,"Medium","Good"))</f>
        <v>Low</v>
      </c>
      <c r="U1389" t="str">
        <f>IF(mental_health[Stress_Level]&lt;=3,"Low",IF(mental_health[Stress_Level]&lt;=7,"Medium","High"))</f>
        <v>High</v>
      </c>
      <c r="V1389" t="str">
        <f>IF(mental_health[Daily_Screen_Time]&lt;=4,"Low",IF(mental_health[Daily_Screen_Time]&lt;=8,"Medium","High"))</f>
        <v>Medium</v>
      </c>
    </row>
    <row r="1390" spans="1:22" x14ac:dyDescent="0.3">
      <c r="A1390">
        <v>1389</v>
      </c>
      <c r="B1390">
        <v>39</v>
      </c>
      <c r="C1390" t="s">
        <v>18</v>
      </c>
      <c r="D1390" t="s">
        <v>19</v>
      </c>
      <c r="E1390">
        <v>10</v>
      </c>
      <c r="F1390">
        <v>2.8</v>
      </c>
      <c r="G1390">
        <v>1</v>
      </c>
      <c r="H1390" t="str">
        <f t="shared" si="21"/>
        <v>Night Usage</v>
      </c>
      <c r="I1390">
        <v>7.7</v>
      </c>
      <c r="J1390" s="3">
        <v>10</v>
      </c>
      <c r="K1390">
        <v>5</v>
      </c>
      <c r="L1390" t="s">
        <v>21</v>
      </c>
      <c r="M1390">
        <v>9</v>
      </c>
      <c r="N1390">
        <v>4</v>
      </c>
      <c r="O1390">
        <v>1</v>
      </c>
      <c r="P1390">
        <v>0</v>
      </c>
      <c r="Q1390">
        <v>1</v>
      </c>
      <c r="R1390">
        <v>1</v>
      </c>
      <c r="S1390">
        <v>1</v>
      </c>
      <c r="T1390" t="str">
        <f>IF(mental_health[Sleep_Hours]&lt;5,"Low",IF(mental_health[Sleep_Hours]&lt;7,"Medium","Good"))</f>
        <v>Good</v>
      </c>
      <c r="U1390" t="str">
        <f>IF(mental_health[Stress_Level]&lt;=3,"Low",IF(mental_health[Stress_Level]&lt;=7,"Medium","High"))</f>
        <v>High</v>
      </c>
      <c r="V1390" t="str">
        <f>IF(mental_health[Daily_Screen_Time]&lt;=4,"Low",IF(mental_health[Daily_Screen_Time]&lt;=8,"Medium","High"))</f>
        <v>High</v>
      </c>
    </row>
    <row r="1391" spans="1:22" x14ac:dyDescent="0.3">
      <c r="A1391">
        <v>1390</v>
      </c>
      <c r="B1391">
        <v>50</v>
      </c>
      <c r="C1391" t="s">
        <v>23</v>
      </c>
      <c r="D1391" t="s">
        <v>22</v>
      </c>
      <c r="E1391">
        <v>6.3</v>
      </c>
      <c r="F1391">
        <v>3.8</v>
      </c>
      <c r="G1391">
        <v>0</v>
      </c>
      <c r="H1391" t="str">
        <f t="shared" si="21"/>
        <v>No Night Usage</v>
      </c>
      <c r="I1391">
        <v>4</v>
      </c>
      <c r="J1391" s="3">
        <v>10</v>
      </c>
      <c r="K1391">
        <v>9.6999999999999993</v>
      </c>
      <c r="L1391" t="s">
        <v>25</v>
      </c>
      <c r="M1391">
        <v>2</v>
      </c>
      <c r="N1391">
        <v>3</v>
      </c>
      <c r="O1391">
        <v>0</v>
      </c>
      <c r="P1391">
        <v>1</v>
      </c>
      <c r="Q1391">
        <v>1</v>
      </c>
      <c r="R1391">
        <v>1</v>
      </c>
      <c r="S1391">
        <v>1</v>
      </c>
      <c r="T1391" t="str">
        <f>IF(mental_health[Sleep_Hours]&lt;5,"Low",IF(mental_health[Sleep_Hours]&lt;7,"Medium","Good"))</f>
        <v>Low</v>
      </c>
      <c r="U1391" t="str">
        <f>IF(mental_health[Stress_Level]&lt;=3,"Low",IF(mental_health[Stress_Level]&lt;=7,"Medium","High"))</f>
        <v>High</v>
      </c>
      <c r="V1391" t="str">
        <f>IF(mental_health[Daily_Screen_Time]&lt;=4,"Low",IF(mental_health[Daily_Screen_Time]&lt;=8,"Medium","High"))</f>
        <v>Medium</v>
      </c>
    </row>
    <row r="1392" spans="1:22" x14ac:dyDescent="0.3">
      <c r="A1392">
        <v>1391</v>
      </c>
      <c r="B1392">
        <v>59</v>
      </c>
      <c r="C1392" t="s">
        <v>23</v>
      </c>
      <c r="D1392" t="s">
        <v>19</v>
      </c>
      <c r="E1392">
        <v>10.7</v>
      </c>
      <c r="F1392">
        <v>3.7</v>
      </c>
      <c r="G1392">
        <v>1</v>
      </c>
      <c r="H1392" t="str">
        <f t="shared" si="21"/>
        <v>Night Usage</v>
      </c>
      <c r="I1392">
        <v>3.2</v>
      </c>
      <c r="J1392" s="3">
        <v>6</v>
      </c>
      <c r="K1392">
        <v>6.3</v>
      </c>
      <c r="L1392" t="s">
        <v>20</v>
      </c>
      <c r="M1392">
        <v>3</v>
      </c>
      <c r="N1392">
        <v>2</v>
      </c>
      <c r="O1392">
        <v>1</v>
      </c>
      <c r="P1392">
        <v>1</v>
      </c>
      <c r="Q1392">
        <v>1</v>
      </c>
      <c r="R1392">
        <v>1</v>
      </c>
      <c r="S1392">
        <v>1</v>
      </c>
      <c r="T1392" t="str">
        <f>IF(mental_health[Sleep_Hours]&lt;5,"Low",IF(mental_health[Sleep_Hours]&lt;7,"Medium","Good"))</f>
        <v>Low</v>
      </c>
      <c r="U1392" t="str">
        <f>IF(mental_health[Stress_Level]&lt;=3,"Low",IF(mental_health[Stress_Level]&lt;=7,"Medium","High"))</f>
        <v>Medium</v>
      </c>
      <c r="V1392" t="str">
        <f>IF(mental_health[Daily_Screen_Time]&lt;=4,"Low",IF(mental_health[Daily_Screen_Time]&lt;=8,"Medium","High"))</f>
        <v>High</v>
      </c>
    </row>
    <row r="1393" spans="1:22" x14ac:dyDescent="0.3">
      <c r="A1393">
        <v>1392</v>
      </c>
      <c r="B1393">
        <v>49</v>
      </c>
      <c r="C1393" t="s">
        <v>18</v>
      </c>
      <c r="D1393" t="s">
        <v>22</v>
      </c>
      <c r="E1393">
        <v>3.8</v>
      </c>
      <c r="F1393">
        <v>6.6</v>
      </c>
      <c r="G1393">
        <v>0</v>
      </c>
      <c r="H1393" t="str">
        <f t="shared" si="21"/>
        <v>No Night Usage</v>
      </c>
      <c r="I1393">
        <v>6.8</v>
      </c>
      <c r="J1393" s="3">
        <v>1</v>
      </c>
      <c r="K1393">
        <v>10.199999999999999</v>
      </c>
      <c r="L1393" t="s">
        <v>20</v>
      </c>
      <c r="M1393">
        <v>10</v>
      </c>
      <c r="N1393">
        <v>4</v>
      </c>
      <c r="O1393">
        <v>1</v>
      </c>
      <c r="P1393">
        <v>0</v>
      </c>
      <c r="Q1393">
        <v>1</v>
      </c>
      <c r="R1393">
        <v>0</v>
      </c>
      <c r="S1393">
        <v>0</v>
      </c>
      <c r="T1393" t="str">
        <f>IF(mental_health[Sleep_Hours]&lt;5,"Low",IF(mental_health[Sleep_Hours]&lt;7,"Medium","Good"))</f>
        <v>Medium</v>
      </c>
      <c r="U1393" t="str">
        <f>IF(mental_health[Stress_Level]&lt;=3,"Low",IF(mental_health[Stress_Level]&lt;=7,"Medium","High"))</f>
        <v>Low</v>
      </c>
      <c r="V1393" t="str">
        <f>IF(mental_health[Daily_Screen_Time]&lt;=4,"Low",IF(mental_health[Daily_Screen_Time]&lt;=8,"Medium","High"))</f>
        <v>Low</v>
      </c>
    </row>
    <row r="1394" spans="1:22" x14ac:dyDescent="0.3">
      <c r="A1394">
        <v>1393</v>
      </c>
      <c r="B1394">
        <v>18</v>
      </c>
      <c r="C1394" t="s">
        <v>23</v>
      </c>
      <c r="D1394" t="s">
        <v>24</v>
      </c>
      <c r="E1394">
        <v>11.5</v>
      </c>
      <c r="F1394">
        <v>4.2</v>
      </c>
      <c r="G1394">
        <v>0</v>
      </c>
      <c r="H1394" t="str">
        <f t="shared" si="21"/>
        <v>No Night Usage</v>
      </c>
      <c r="I1394">
        <v>8.9</v>
      </c>
      <c r="J1394" s="3">
        <v>5</v>
      </c>
      <c r="K1394">
        <v>9.8000000000000007</v>
      </c>
      <c r="L1394" t="s">
        <v>20</v>
      </c>
      <c r="M1394">
        <v>5</v>
      </c>
      <c r="N1394">
        <v>4</v>
      </c>
      <c r="O1394">
        <v>1</v>
      </c>
      <c r="P1394">
        <v>1</v>
      </c>
      <c r="Q1394">
        <v>0</v>
      </c>
      <c r="R1394">
        <v>1</v>
      </c>
      <c r="S1394">
        <v>0</v>
      </c>
      <c r="T1394" t="str">
        <f>IF(mental_health[Sleep_Hours]&lt;5,"Low",IF(mental_health[Sleep_Hours]&lt;7,"Medium","Good"))</f>
        <v>Good</v>
      </c>
      <c r="U1394" t="str">
        <f>IF(mental_health[Stress_Level]&lt;=3,"Low",IF(mental_health[Stress_Level]&lt;=7,"Medium","High"))</f>
        <v>Medium</v>
      </c>
      <c r="V1394" t="str">
        <f>IF(mental_health[Daily_Screen_Time]&lt;=4,"Low",IF(mental_health[Daily_Screen_Time]&lt;=8,"Medium","High"))</f>
        <v>High</v>
      </c>
    </row>
    <row r="1395" spans="1:22" x14ac:dyDescent="0.3">
      <c r="A1395">
        <v>1394</v>
      </c>
      <c r="B1395">
        <v>52</v>
      </c>
      <c r="C1395" t="s">
        <v>18</v>
      </c>
      <c r="D1395" t="s">
        <v>24</v>
      </c>
      <c r="E1395">
        <v>4.2</v>
      </c>
      <c r="F1395">
        <v>2.2000000000000002</v>
      </c>
      <c r="G1395">
        <v>1</v>
      </c>
      <c r="H1395" t="str">
        <f t="shared" si="21"/>
        <v>Night Usage</v>
      </c>
      <c r="I1395">
        <v>5</v>
      </c>
      <c r="J1395" s="3">
        <v>4</v>
      </c>
      <c r="K1395">
        <v>11.3</v>
      </c>
      <c r="L1395" t="s">
        <v>20</v>
      </c>
      <c r="M1395">
        <v>5</v>
      </c>
      <c r="N1395">
        <v>1</v>
      </c>
      <c r="O1395">
        <v>1</v>
      </c>
      <c r="P1395">
        <v>0</v>
      </c>
      <c r="Q1395">
        <v>1</v>
      </c>
      <c r="R1395">
        <v>1</v>
      </c>
      <c r="S1395">
        <v>1</v>
      </c>
      <c r="T1395" t="str">
        <f>IF(mental_health[Sleep_Hours]&lt;5,"Low",IF(mental_health[Sleep_Hours]&lt;7,"Medium","Good"))</f>
        <v>Medium</v>
      </c>
      <c r="U1395" t="str">
        <f>IF(mental_health[Stress_Level]&lt;=3,"Low",IF(mental_health[Stress_Level]&lt;=7,"Medium","High"))</f>
        <v>Medium</v>
      </c>
      <c r="V1395" t="str">
        <f>IF(mental_health[Daily_Screen_Time]&lt;=4,"Low",IF(mental_health[Daily_Screen_Time]&lt;=8,"Medium","High"))</f>
        <v>Medium</v>
      </c>
    </row>
    <row r="1396" spans="1:22" x14ac:dyDescent="0.3">
      <c r="A1396">
        <v>1395</v>
      </c>
      <c r="B1396">
        <v>58</v>
      </c>
      <c r="C1396" t="s">
        <v>18</v>
      </c>
      <c r="D1396" t="s">
        <v>19</v>
      </c>
      <c r="E1396">
        <v>5.3</v>
      </c>
      <c r="F1396">
        <v>2.9</v>
      </c>
      <c r="G1396">
        <v>1</v>
      </c>
      <c r="H1396" t="str">
        <f t="shared" si="21"/>
        <v>Night Usage</v>
      </c>
      <c r="I1396">
        <v>3.7</v>
      </c>
      <c r="J1396" s="3">
        <v>4</v>
      </c>
      <c r="K1396">
        <v>9.6</v>
      </c>
      <c r="L1396" t="s">
        <v>21</v>
      </c>
      <c r="M1396">
        <v>10</v>
      </c>
      <c r="N1396">
        <v>3</v>
      </c>
      <c r="O1396">
        <v>0</v>
      </c>
      <c r="P1396">
        <v>0</v>
      </c>
      <c r="Q1396">
        <v>1</v>
      </c>
      <c r="R1396">
        <v>0</v>
      </c>
      <c r="S1396">
        <v>1</v>
      </c>
      <c r="T1396" t="str">
        <f>IF(mental_health[Sleep_Hours]&lt;5,"Low",IF(mental_health[Sleep_Hours]&lt;7,"Medium","Good"))</f>
        <v>Low</v>
      </c>
      <c r="U1396" t="str">
        <f>IF(mental_health[Stress_Level]&lt;=3,"Low",IF(mental_health[Stress_Level]&lt;=7,"Medium","High"))</f>
        <v>Medium</v>
      </c>
      <c r="V1396" t="str">
        <f>IF(mental_health[Daily_Screen_Time]&lt;=4,"Low",IF(mental_health[Daily_Screen_Time]&lt;=8,"Medium","High"))</f>
        <v>Medium</v>
      </c>
    </row>
    <row r="1397" spans="1:22" x14ac:dyDescent="0.3">
      <c r="A1397">
        <v>1396</v>
      </c>
      <c r="B1397">
        <v>55</v>
      </c>
      <c r="C1397" t="s">
        <v>23</v>
      </c>
      <c r="D1397" t="s">
        <v>24</v>
      </c>
      <c r="E1397">
        <v>9.6</v>
      </c>
      <c r="F1397">
        <v>4.5999999999999996</v>
      </c>
      <c r="G1397">
        <v>0</v>
      </c>
      <c r="H1397" t="str">
        <f t="shared" si="21"/>
        <v>No Night Usage</v>
      </c>
      <c r="I1397">
        <v>6.4</v>
      </c>
      <c r="J1397" s="3">
        <v>7</v>
      </c>
      <c r="K1397">
        <v>2.5</v>
      </c>
      <c r="L1397" t="s">
        <v>20</v>
      </c>
      <c r="M1397">
        <v>7</v>
      </c>
      <c r="N1397">
        <v>3</v>
      </c>
      <c r="O1397">
        <v>0</v>
      </c>
      <c r="P1397">
        <v>0</v>
      </c>
      <c r="Q1397">
        <v>1</v>
      </c>
      <c r="R1397">
        <v>1</v>
      </c>
      <c r="S1397">
        <v>0</v>
      </c>
      <c r="T1397" t="str">
        <f>IF(mental_health[Sleep_Hours]&lt;5,"Low",IF(mental_health[Sleep_Hours]&lt;7,"Medium","Good"))</f>
        <v>Medium</v>
      </c>
      <c r="U1397" t="str">
        <f>IF(mental_health[Stress_Level]&lt;=3,"Low",IF(mental_health[Stress_Level]&lt;=7,"Medium","High"))</f>
        <v>Medium</v>
      </c>
      <c r="V1397" t="str">
        <f>IF(mental_health[Daily_Screen_Time]&lt;=4,"Low",IF(mental_health[Daily_Screen_Time]&lt;=8,"Medium","High"))</f>
        <v>High</v>
      </c>
    </row>
    <row r="1398" spans="1:22" x14ac:dyDescent="0.3">
      <c r="A1398">
        <v>1397</v>
      </c>
      <c r="B1398">
        <v>41</v>
      </c>
      <c r="C1398" t="s">
        <v>18</v>
      </c>
      <c r="D1398" t="s">
        <v>24</v>
      </c>
      <c r="E1398">
        <v>5.9</v>
      </c>
      <c r="F1398">
        <v>2</v>
      </c>
      <c r="G1398">
        <v>0</v>
      </c>
      <c r="H1398" t="str">
        <f t="shared" si="21"/>
        <v>No Night Usage</v>
      </c>
      <c r="I1398">
        <v>8.4</v>
      </c>
      <c r="J1398" s="3">
        <v>9</v>
      </c>
      <c r="K1398">
        <v>10.4</v>
      </c>
      <c r="L1398" t="s">
        <v>25</v>
      </c>
      <c r="M1398">
        <v>8</v>
      </c>
      <c r="N1398">
        <v>0</v>
      </c>
      <c r="O1398">
        <v>0</v>
      </c>
      <c r="P1398">
        <v>1</v>
      </c>
      <c r="Q1398">
        <v>1</v>
      </c>
      <c r="R1398">
        <v>1</v>
      </c>
      <c r="S1398">
        <v>1</v>
      </c>
      <c r="T1398" t="str">
        <f>IF(mental_health[Sleep_Hours]&lt;5,"Low",IF(mental_health[Sleep_Hours]&lt;7,"Medium","Good"))</f>
        <v>Good</v>
      </c>
      <c r="U1398" t="str">
        <f>IF(mental_health[Stress_Level]&lt;=3,"Low",IF(mental_health[Stress_Level]&lt;=7,"Medium","High"))</f>
        <v>High</v>
      </c>
      <c r="V1398" t="str">
        <f>IF(mental_health[Daily_Screen_Time]&lt;=4,"Low",IF(mental_health[Daily_Screen_Time]&lt;=8,"Medium","High"))</f>
        <v>Medium</v>
      </c>
    </row>
    <row r="1399" spans="1:22" x14ac:dyDescent="0.3">
      <c r="A1399">
        <v>1398</v>
      </c>
      <c r="B1399">
        <v>38</v>
      </c>
      <c r="C1399" t="s">
        <v>18</v>
      </c>
      <c r="D1399" t="s">
        <v>19</v>
      </c>
      <c r="E1399">
        <v>8.1</v>
      </c>
      <c r="F1399">
        <v>5.3</v>
      </c>
      <c r="G1399">
        <v>0</v>
      </c>
      <c r="H1399" t="str">
        <f t="shared" si="21"/>
        <v>No Night Usage</v>
      </c>
      <c r="I1399">
        <v>7.7</v>
      </c>
      <c r="J1399" s="3">
        <v>8</v>
      </c>
      <c r="K1399">
        <v>11.4</v>
      </c>
      <c r="L1399" t="s">
        <v>25</v>
      </c>
      <c r="M1399">
        <v>8</v>
      </c>
      <c r="N1399">
        <v>0</v>
      </c>
      <c r="O1399">
        <v>0</v>
      </c>
      <c r="P1399">
        <v>1</v>
      </c>
      <c r="Q1399">
        <v>0</v>
      </c>
      <c r="R1399">
        <v>0</v>
      </c>
      <c r="S1399">
        <v>0</v>
      </c>
      <c r="T1399" t="str">
        <f>IF(mental_health[Sleep_Hours]&lt;5,"Low",IF(mental_health[Sleep_Hours]&lt;7,"Medium","Good"))</f>
        <v>Good</v>
      </c>
      <c r="U1399" t="str">
        <f>IF(mental_health[Stress_Level]&lt;=3,"Low",IF(mental_health[Stress_Level]&lt;=7,"Medium","High"))</f>
        <v>High</v>
      </c>
      <c r="V1399" t="str">
        <f>IF(mental_health[Daily_Screen_Time]&lt;=4,"Low",IF(mental_health[Daily_Screen_Time]&lt;=8,"Medium","High"))</f>
        <v>High</v>
      </c>
    </row>
    <row r="1400" spans="1:22" x14ac:dyDescent="0.3">
      <c r="A1400">
        <v>1399</v>
      </c>
      <c r="B1400">
        <v>59</v>
      </c>
      <c r="C1400" t="s">
        <v>23</v>
      </c>
      <c r="D1400" t="s">
        <v>22</v>
      </c>
      <c r="E1400">
        <v>6.4</v>
      </c>
      <c r="F1400">
        <v>5</v>
      </c>
      <c r="G1400">
        <v>1</v>
      </c>
      <c r="H1400" t="str">
        <f t="shared" si="21"/>
        <v>Night Usage</v>
      </c>
      <c r="I1400">
        <v>6.7</v>
      </c>
      <c r="J1400" s="3">
        <v>8</v>
      </c>
      <c r="K1400">
        <v>11.9</v>
      </c>
      <c r="L1400" t="s">
        <v>25</v>
      </c>
      <c r="M1400">
        <v>1</v>
      </c>
      <c r="N1400">
        <v>4</v>
      </c>
      <c r="O1400">
        <v>0</v>
      </c>
      <c r="P1400">
        <v>0</v>
      </c>
      <c r="Q1400">
        <v>1</v>
      </c>
      <c r="R1400">
        <v>1</v>
      </c>
      <c r="S1400">
        <v>1</v>
      </c>
      <c r="T1400" t="str">
        <f>IF(mental_health[Sleep_Hours]&lt;5,"Low",IF(mental_health[Sleep_Hours]&lt;7,"Medium","Good"))</f>
        <v>Medium</v>
      </c>
      <c r="U1400" t="str">
        <f>IF(mental_health[Stress_Level]&lt;=3,"Low",IF(mental_health[Stress_Level]&lt;=7,"Medium","High"))</f>
        <v>High</v>
      </c>
      <c r="V1400" t="str">
        <f>IF(mental_health[Daily_Screen_Time]&lt;=4,"Low",IF(mental_health[Daily_Screen_Time]&lt;=8,"Medium","High"))</f>
        <v>Medium</v>
      </c>
    </row>
    <row r="1401" spans="1:22" x14ac:dyDescent="0.3">
      <c r="A1401">
        <v>1400</v>
      </c>
      <c r="B1401">
        <v>54</v>
      </c>
      <c r="C1401" t="s">
        <v>23</v>
      </c>
      <c r="D1401" t="s">
        <v>24</v>
      </c>
      <c r="E1401">
        <v>9.4</v>
      </c>
      <c r="F1401">
        <v>6</v>
      </c>
      <c r="G1401">
        <v>0</v>
      </c>
      <c r="H1401" t="str">
        <f t="shared" si="21"/>
        <v>No Night Usage</v>
      </c>
      <c r="I1401">
        <v>4.9000000000000004</v>
      </c>
      <c r="J1401" s="3">
        <v>5</v>
      </c>
      <c r="K1401">
        <v>3.3</v>
      </c>
      <c r="L1401" t="s">
        <v>25</v>
      </c>
      <c r="M1401">
        <v>1</v>
      </c>
      <c r="N1401">
        <v>1</v>
      </c>
      <c r="O1401">
        <v>0</v>
      </c>
      <c r="P1401">
        <v>0</v>
      </c>
      <c r="Q1401">
        <v>0</v>
      </c>
      <c r="R1401">
        <v>0</v>
      </c>
      <c r="S1401">
        <v>1</v>
      </c>
      <c r="T1401" t="str">
        <f>IF(mental_health[Sleep_Hours]&lt;5,"Low",IF(mental_health[Sleep_Hours]&lt;7,"Medium","Good"))</f>
        <v>Low</v>
      </c>
      <c r="U1401" t="str">
        <f>IF(mental_health[Stress_Level]&lt;=3,"Low",IF(mental_health[Stress_Level]&lt;=7,"Medium","High"))</f>
        <v>Medium</v>
      </c>
      <c r="V1401" t="str">
        <f>IF(mental_health[Daily_Screen_Time]&lt;=4,"Low",IF(mental_health[Daily_Screen_Time]&lt;=8,"Medium","High"))</f>
        <v>High</v>
      </c>
    </row>
    <row r="1402" spans="1:22" x14ac:dyDescent="0.3">
      <c r="A1402">
        <v>1401</v>
      </c>
      <c r="B1402">
        <v>30</v>
      </c>
      <c r="C1402" t="s">
        <v>18</v>
      </c>
      <c r="D1402" t="s">
        <v>19</v>
      </c>
      <c r="E1402">
        <v>4.3</v>
      </c>
      <c r="F1402">
        <v>7.6</v>
      </c>
      <c r="G1402">
        <v>1</v>
      </c>
      <c r="H1402" t="str">
        <f t="shared" si="21"/>
        <v>Night Usage</v>
      </c>
      <c r="I1402">
        <v>6.3</v>
      </c>
      <c r="J1402" s="3">
        <v>6</v>
      </c>
      <c r="K1402">
        <v>8.1</v>
      </c>
      <c r="L1402" t="s">
        <v>20</v>
      </c>
      <c r="M1402">
        <v>3</v>
      </c>
      <c r="N1402">
        <v>3</v>
      </c>
      <c r="O1402">
        <v>1</v>
      </c>
      <c r="P1402">
        <v>1</v>
      </c>
      <c r="Q1402">
        <v>1</v>
      </c>
      <c r="R1402">
        <v>1</v>
      </c>
      <c r="S1402">
        <v>1</v>
      </c>
      <c r="T1402" t="str">
        <f>IF(mental_health[Sleep_Hours]&lt;5,"Low",IF(mental_health[Sleep_Hours]&lt;7,"Medium","Good"))</f>
        <v>Medium</v>
      </c>
      <c r="U1402" t="str">
        <f>IF(mental_health[Stress_Level]&lt;=3,"Low",IF(mental_health[Stress_Level]&lt;=7,"Medium","High"))</f>
        <v>Medium</v>
      </c>
      <c r="V1402" t="str">
        <f>IF(mental_health[Daily_Screen_Time]&lt;=4,"Low",IF(mental_health[Daily_Screen_Time]&lt;=8,"Medium","High"))</f>
        <v>Medium</v>
      </c>
    </row>
    <row r="1403" spans="1:22" x14ac:dyDescent="0.3">
      <c r="A1403">
        <v>1402</v>
      </c>
      <c r="B1403">
        <v>19</v>
      </c>
      <c r="C1403" t="s">
        <v>18</v>
      </c>
      <c r="D1403" t="s">
        <v>24</v>
      </c>
      <c r="E1403">
        <v>2.6</v>
      </c>
      <c r="F1403">
        <v>7.4</v>
      </c>
      <c r="G1403">
        <v>0</v>
      </c>
      <c r="H1403" t="str">
        <f t="shared" si="21"/>
        <v>No Night Usage</v>
      </c>
      <c r="I1403">
        <v>3.5</v>
      </c>
      <c r="J1403" s="3">
        <v>2</v>
      </c>
      <c r="K1403">
        <v>4</v>
      </c>
      <c r="L1403" t="s">
        <v>21</v>
      </c>
      <c r="M1403">
        <v>1</v>
      </c>
      <c r="N1403">
        <v>1</v>
      </c>
      <c r="O1403">
        <v>1</v>
      </c>
      <c r="P1403">
        <v>1</v>
      </c>
      <c r="Q1403">
        <v>0</v>
      </c>
      <c r="R1403">
        <v>0</v>
      </c>
      <c r="S1403">
        <v>0</v>
      </c>
      <c r="T1403" t="str">
        <f>IF(mental_health[Sleep_Hours]&lt;5,"Low",IF(mental_health[Sleep_Hours]&lt;7,"Medium","Good"))</f>
        <v>Low</v>
      </c>
      <c r="U1403" t="str">
        <f>IF(mental_health[Stress_Level]&lt;=3,"Low",IF(mental_health[Stress_Level]&lt;=7,"Medium","High"))</f>
        <v>Low</v>
      </c>
      <c r="V1403" t="str">
        <f>IF(mental_health[Daily_Screen_Time]&lt;=4,"Low",IF(mental_health[Daily_Screen_Time]&lt;=8,"Medium","High"))</f>
        <v>Low</v>
      </c>
    </row>
    <row r="1404" spans="1:22" x14ac:dyDescent="0.3">
      <c r="A1404">
        <v>1403</v>
      </c>
      <c r="B1404">
        <v>44</v>
      </c>
      <c r="C1404" t="s">
        <v>23</v>
      </c>
      <c r="D1404" t="s">
        <v>24</v>
      </c>
      <c r="E1404">
        <v>5</v>
      </c>
      <c r="F1404">
        <v>7.6</v>
      </c>
      <c r="G1404">
        <v>0</v>
      </c>
      <c r="H1404" t="str">
        <f t="shared" si="21"/>
        <v>No Night Usage</v>
      </c>
      <c r="I1404">
        <v>7.1</v>
      </c>
      <c r="J1404" s="3">
        <v>3</v>
      </c>
      <c r="K1404">
        <v>4.5999999999999996</v>
      </c>
      <c r="L1404" t="s">
        <v>20</v>
      </c>
      <c r="M1404">
        <v>1</v>
      </c>
      <c r="N1404">
        <v>2</v>
      </c>
      <c r="O1404">
        <v>0</v>
      </c>
      <c r="P1404">
        <v>1</v>
      </c>
      <c r="Q1404">
        <v>0</v>
      </c>
      <c r="R1404">
        <v>1</v>
      </c>
      <c r="S1404">
        <v>1</v>
      </c>
      <c r="T1404" t="str">
        <f>IF(mental_health[Sleep_Hours]&lt;5,"Low",IF(mental_health[Sleep_Hours]&lt;7,"Medium","Good"))</f>
        <v>Good</v>
      </c>
      <c r="U1404" t="str">
        <f>IF(mental_health[Stress_Level]&lt;=3,"Low",IF(mental_health[Stress_Level]&lt;=7,"Medium","High"))</f>
        <v>Low</v>
      </c>
      <c r="V1404" t="str">
        <f>IF(mental_health[Daily_Screen_Time]&lt;=4,"Low",IF(mental_health[Daily_Screen_Time]&lt;=8,"Medium","High"))</f>
        <v>Medium</v>
      </c>
    </row>
    <row r="1405" spans="1:22" x14ac:dyDescent="0.3">
      <c r="A1405">
        <v>1404</v>
      </c>
      <c r="B1405">
        <v>37</v>
      </c>
      <c r="C1405" t="s">
        <v>18</v>
      </c>
      <c r="D1405" t="s">
        <v>24</v>
      </c>
      <c r="E1405">
        <v>6.7</v>
      </c>
      <c r="F1405">
        <v>2.7</v>
      </c>
      <c r="G1405">
        <v>0</v>
      </c>
      <c r="H1405" t="str">
        <f t="shared" si="21"/>
        <v>No Night Usage</v>
      </c>
      <c r="I1405">
        <v>7.4</v>
      </c>
      <c r="J1405" s="3">
        <v>5</v>
      </c>
      <c r="K1405">
        <v>9.5</v>
      </c>
      <c r="L1405" t="s">
        <v>21</v>
      </c>
      <c r="M1405">
        <v>10</v>
      </c>
      <c r="N1405">
        <v>3</v>
      </c>
      <c r="O1405">
        <v>0</v>
      </c>
      <c r="P1405">
        <v>1</v>
      </c>
      <c r="Q1405">
        <v>0</v>
      </c>
      <c r="R1405">
        <v>1</v>
      </c>
      <c r="S1405">
        <v>1</v>
      </c>
      <c r="T1405" t="str">
        <f>IF(mental_health[Sleep_Hours]&lt;5,"Low",IF(mental_health[Sleep_Hours]&lt;7,"Medium","Good"))</f>
        <v>Good</v>
      </c>
      <c r="U1405" t="str">
        <f>IF(mental_health[Stress_Level]&lt;=3,"Low",IF(mental_health[Stress_Level]&lt;=7,"Medium","High"))</f>
        <v>Medium</v>
      </c>
      <c r="V1405" t="str">
        <f>IF(mental_health[Daily_Screen_Time]&lt;=4,"Low",IF(mental_health[Daily_Screen_Time]&lt;=8,"Medium","High"))</f>
        <v>Medium</v>
      </c>
    </row>
    <row r="1406" spans="1:22" x14ac:dyDescent="0.3">
      <c r="A1406">
        <v>1405</v>
      </c>
      <c r="B1406">
        <v>40</v>
      </c>
      <c r="C1406" t="s">
        <v>18</v>
      </c>
      <c r="D1406" t="s">
        <v>24</v>
      </c>
      <c r="E1406">
        <v>3.7</v>
      </c>
      <c r="F1406">
        <v>1.9</v>
      </c>
      <c r="G1406">
        <v>0</v>
      </c>
      <c r="H1406" t="str">
        <f t="shared" si="21"/>
        <v>No Night Usage</v>
      </c>
      <c r="I1406">
        <v>8.8000000000000007</v>
      </c>
      <c r="J1406" s="3">
        <v>2</v>
      </c>
      <c r="K1406">
        <v>11.8</v>
      </c>
      <c r="L1406" t="s">
        <v>20</v>
      </c>
      <c r="M1406">
        <v>8</v>
      </c>
      <c r="N1406">
        <v>0</v>
      </c>
      <c r="O1406">
        <v>0</v>
      </c>
      <c r="P1406">
        <v>0</v>
      </c>
      <c r="Q1406">
        <v>0</v>
      </c>
      <c r="R1406">
        <v>0</v>
      </c>
      <c r="S1406">
        <v>0</v>
      </c>
      <c r="T1406" t="str">
        <f>IF(mental_health[Sleep_Hours]&lt;5,"Low",IF(mental_health[Sleep_Hours]&lt;7,"Medium","Good"))</f>
        <v>Good</v>
      </c>
      <c r="U1406" t="str">
        <f>IF(mental_health[Stress_Level]&lt;=3,"Low",IF(mental_health[Stress_Level]&lt;=7,"Medium","High"))</f>
        <v>Low</v>
      </c>
      <c r="V1406" t="str">
        <f>IF(mental_health[Daily_Screen_Time]&lt;=4,"Low",IF(mental_health[Daily_Screen_Time]&lt;=8,"Medium","High"))</f>
        <v>Low</v>
      </c>
    </row>
    <row r="1407" spans="1:22" x14ac:dyDescent="0.3">
      <c r="A1407">
        <v>1406</v>
      </c>
      <c r="B1407">
        <v>28</v>
      </c>
      <c r="C1407" t="s">
        <v>18</v>
      </c>
      <c r="D1407" t="s">
        <v>19</v>
      </c>
      <c r="E1407">
        <v>5.5</v>
      </c>
      <c r="F1407">
        <v>3.1</v>
      </c>
      <c r="G1407">
        <v>1</v>
      </c>
      <c r="H1407" t="str">
        <f t="shared" si="21"/>
        <v>Night Usage</v>
      </c>
      <c r="I1407">
        <v>4.5999999999999996</v>
      </c>
      <c r="J1407" s="3">
        <v>3</v>
      </c>
      <c r="K1407">
        <v>7.9</v>
      </c>
      <c r="L1407" t="s">
        <v>21</v>
      </c>
      <c r="M1407">
        <v>1</v>
      </c>
      <c r="N1407">
        <v>4</v>
      </c>
      <c r="O1407">
        <v>1</v>
      </c>
      <c r="P1407">
        <v>0</v>
      </c>
      <c r="Q1407">
        <v>0</v>
      </c>
      <c r="R1407">
        <v>0</v>
      </c>
      <c r="S1407">
        <v>0</v>
      </c>
      <c r="T1407" t="str">
        <f>IF(mental_health[Sleep_Hours]&lt;5,"Low",IF(mental_health[Sleep_Hours]&lt;7,"Medium","Good"))</f>
        <v>Low</v>
      </c>
      <c r="U1407" t="str">
        <f>IF(mental_health[Stress_Level]&lt;=3,"Low",IF(mental_health[Stress_Level]&lt;=7,"Medium","High"))</f>
        <v>Low</v>
      </c>
      <c r="V1407" t="str">
        <f>IF(mental_health[Daily_Screen_Time]&lt;=4,"Low",IF(mental_health[Daily_Screen_Time]&lt;=8,"Medium","High"))</f>
        <v>Medium</v>
      </c>
    </row>
    <row r="1408" spans="1:22" x14ac:dyDescent="0.3">
      <c r="A1408">
        <v>1407</v>
      </c>
      <c r="B1408">
        <v>33</v>
      </c>
      <c r="C1408" t="s">
        <v>18</v>
      </c>
      <c r="D1408" t="s">
        <v>19</v>
      </c>
      <c r="E1408">
        <v>6</v>
      </c>
      <c r="F1408">
        <v>7.3</v>
      </c>
      <c r="G1408">
        <v>1</v>
      </c>
      <c r="H1408" t="str">
        <f t="shared" si="21"/>
        <v>Night Usage</v>
      </c>
      <c r="I1408">
        <v>3.1</v>
      </c>
      <c r="J1408" s="3">
        <v>4</v>
      </c>
      <c r="K1408">
        <v>10.5</v>
      </c>
      <c r="L1408" t="s">
        <v>25</v>
      </c>
      <c r="M1408">
        <v>9</v>
      </c>
      <c r="N1408">
        <v>1</v>
      </c>
      <c r="O1408">
        <v>0</v>
      </c>
      <c r="P1408">
        <v>1</v>
      </c>
      <c r="Q1408">
        <v>0</v>
      </c>
      <c r="R1408">
        <v>0</v>
      </c>
      <c r="S1408">
        <v>1</v>
      </c>
      <c r="T1408" t="str">
        <f>IF(mental_health[Sleep_Hours]&lt;5,"Low",IF(mental_health[Sleep_Hours]&lt;7,"Medium","Good"))</f>
        <v>Low</v>
      </c>
      <c r="U1408" t="str">
        <f>IF(mental_health[Stress_Level]&lt;=3,"Low",IF(mental_health[Stress_Level]&lt;=7,"Medium","High"))</f>
        <v>Medium</v>
      </c>
      <c r="V1408" t="str">
        <f>IF(mental_health[Daily_Screen_Time]&lt;=4,"Low",IF(mental_health[Daily_Screen_Time]&lt;=8,"Medium","High"))</f>
        <v>Medium</v>
      </c>
    </row>
    <row r="1409" spans="1:22" x14ac:dyDescent="0.3">
      <c r="A1409">
        <v>1408</v>
      </c>
      <c r="B1409">
        <v>48</v>
      </c>
      <c r="C1409" t="s">
        <v>18</v>
      </c>
      <c r="D1409" t="s">
        <v>19</v>
      </c>
      <c r="E1409">
        <v>2.6</v>
      </c>
      <c r="F1409">
        <v>7.8</v>
      </c>
      <c r="G1409">
        <v>0</v>
      </c>
      <c r="H1409" t="str">
        <f t="shared" si="21"/>
        <v>No Night Usage</v>
      </c>
      <c r="I1409">
        <v>6.3</v>
      </c>
      <c r="J1409" s="3">
        <v>6</v>
      </c>
      <c r="K1409">
        <v>2.1</v>
      </c>
      <c r="L1409" t="s">
        <v>25</v>
      </c>
      <c r="M1409">
        <v>2</v>
      </c>
      <c r="N1409">
        <v>0</v>
      </c>
      <c r="O1409">
        <v>0</v>
      </c>
      <c r="P1409">
        <v>1</v>
      </c>
      <c r="Q1409">
        <v>1</v>
      </c>
      <c r="R1409">
        <v>1</v>
      </c>
      <c r="S1409">
        <v>0</v>
      </c>
      <c r="T1409" t="str">
        <f>IF(mental_health[Sleep_Hours]&lt;5,"Low",IF(mental_health[Sleep_Hours]&lt;7,"Medium","Good"))</f>
        <v>Medium</v>
      </c>
      <c r="U1409" t="str">
        <f>IF(mental_health[Stress_Level]&lt;=3,"Low",IF(mental_health[Stress_Level]&lt;=7,"Medium","High"))</f>
        <v>Medium</v>
      </c>
      <c r="V1409" t="str">
        <f>IF(mental_health[Daily_Screen_Time]&lt;=4,"Low",IF(mental_health[Daily_Screen_Time]&lt;=8,"Medium","High"))</f>
        <v>Low</v>
      </c>
    </row>
    <row r="1410" spans="1:22" x14ac:dyDescent="0.3">
      <c r="A1410">
        <v>1409</v>
      </c>
      <c r="B1410">
        <v>31</v>
      </c>
      <c r="C1410" t="s">
        <v>18</v>
      </c>
      <c r="D1410" t="s">
        <v>24</v>
      </c>
      <c r="E1410">
        <v>7.8</v>
      </c>
      <c r="F1410">
        <v>7</v>
      </c>
      <c r="G1410">
        <v>0</v>
      </c>
      <c r="H1410" t="str">
        <f t="shared" ref="H1410:H1473" si="22">IF(G1410=1,"Night Usage","No Night Usage")</f>
        <v>No Night Usage</v>
      </c>
      <c r="I1410">
        <v>7.2</v>
      </c>
      <c r="J1410" s="3">
        <v>5</v>
      </c>
      <c r="K1410">
        <v>2.4</v>
      </c>
      <c r="L1410" t="s">
        <v>21</v>
      </c>
      <c r="M1410">
        <v>9</v>
      </c>
      <c r="N1410">
        <v>4</v>
      </c>
      <c r="O1410">
        <v>0</v>
      </c>
      <c r="P1410">
        <v>1</v>
      </c>
      <c r="Q1410">
        <v>1</v>
      </c>
      <c r="R1410">
        <v>0</v>
      </c>
      <c r="S1410">
        <v>1</v>
      </c>
      <c r="T1410" t="str">
        <f>IF(mental_health[Sleep_Hours]&lt;5,"Low",IF(mental_health[Sleep_Hours]&lt;7,"Medium","Good"))</f>
        <v>Good</v>
      </c>
      <c r="U1410" t="str">
        <f>IF(mental_health[Stress_Level]&lt;=3,"Low",IF(mental_health[Stress_Level]&lt;=7,"Medium","High"))</f>
        <v>Medium</v>
      </c>
      <c r="V1410" t="str">
        <f>IF(mental_health[Daily_Screen_Time]&lt;=4,"Low",IF(mental_health[Daily_Screen_Time]&lt;=8,"Medium","High"))</f>
        <v>Medium</v>
      </c>
    </row>
    <row r="1411" spans="1:22" x14ac:dyDescent="0.3">
      <c r="A1411">
        <v>1410</v>
      </c>
      <c r="B1411">
        <v>57</v>
      </c>
      <c r="C1411" t="s">
        <v>18</v>
      </c>
      <c r="D1411" t="s">
        <v>24</v>
      </c>
      <c r="E1411">
        <v>10.8</v>
      </c>
      <c r="F1411">
        <v>1.8</v>
      </c>
      <c r="G1411">
        <v>0</v>
      </c>
      <c r="H1411" t="str">
        <f t="shared" si="22"/>
        <v>No Night Usage</v>
      </c>
      <c r="I1411">
        <v>7.7</v>
      </c>
      <c r="J1411" s="3">
        <v>10</v>
      </c>
      <c r="K1411">
        <v>8</v>
      </c>
      <c r="L1411" t="s">
        <v>21</v>
      </c>
      <c r="M1411">
        <v>7</v>
      </c>
      <c r="N1411">
        <v>0</v>
      </c>
      <c r="O1411">
        <v>1</v>
      </c>
      <c r="P1411">
        <v>1</v>
      </c>
      <c r="Q1411">
        <v>1</v>
      </c>
      <c r="R1411">
        <v>0</v>
      </c>
      <c r="S1411">
        <v>1</v>
      </c>
      <c r="T1411" t="str">
        <f>IF(mental_health[Sleep_Hours]&lt;5,"Low",IF(mental_health[Sleep_Hours]&lt;7,"Medium","Good"))</f>
        <v>Good</v>
      </c>
      <c r="U1411" t="str">
        <f>IF(mental_health[Stress_Level]&lt;=3,"Low",IF(mental_health[Stress_Level]&lt;=7,"Medium","High"))</f>
        <v>High</v>
      </c>
      <c r="V1411" t="str">
        <f>IF(mental_health[Daily_Screen_Time]&lt;=4,"Low",IF(mental_health[Daily_Screen_Time]&lt;=8,"Medium","High"))</f>
        <v>High</v>
      </c>
    </row>
    <row r="1412" spans="1:22" x14ac:dyDescent="0.3">
      <c r="A1412">
        <v>1411</v>
      </c>
      <c r="B1412">
        <v>59</v>
      </c>
      <c r="C1412" t="s">
        <v>23</v>
      </c>
      <c r="D1412" t="s">
        <v>24</v>
      </c>
      <c r="E1412">
        <v>3.5</v>
      </c>
      <c r="F1412">
        <v>7.6</v>
      </c>
      <c r="G1412">
        <v>1</v>
      </c>
      <c r="H1412" t="str">
        <f t="shared" si="22"/>
        <v>Night Usage</v>
      </c>
      <c r="I1412">
        <v>4.2</v>
      </c>
      <c r="J1412" s="3">
        <v>4</v>
      </c>
      <c r="K1412">
        <v>5.9</v>
      </c>
      <c r="L1412" t="s">
        <v>21</v>
      </c>
      <c r="M1412">
        <v>9</v>
      </c>
      <c r="N1412">
        <v>3</v>
      </c>
      <c r="O1412">
        <v>1</v>
      </c>
      <c r="P1412">
        <v>0</v>
      </c>
      <c r="Q1412">
        <v>0</v>
      </c>
      <c r="R1412">
        <v>0</v>
      </c>
      <c r="S1412">
        <v>0</v>
      </c>
      <c r="T1412" t="str">
        <f>IF(mental_health[Sleep_Hours]&lt;5,"Low",IF(mental_health[Sleep_Hours]&lt;7,"Medium","Good"))</f>
        <v>Low</v>
      </c>
      <c r="U1412" t="str">
        <f>IF(mental_health[Stress_Level]&lt;=3,"Low",IF(mental_health[Stress_Level]&lt;=7,"Medium","High"))</f>
        <v>Medium</v>
      </c>
      <c r="V1412" t="str">
        <f>IF(mental_health[Daily_Screen_Time]&lt;=4,"Low",IF(mental_health[Daily_Screen_Time]&lt;=8,"Medium","High"))</f>
        <v>Low</v>
      </c>
    </row>
    <row r="1413" spans="1:22" x14ac:dyDescent="0.3">
      <c r="A1413">
        <v>1412</v>
      </c>
      <c r="B1413">
        <v>17</v>
      </c>
      <c r="C1413" t="s">
        <v>23</v>
      </c>
      <c r="D1413" t="s">
        <v>19</v>
      </c>
      <c r="E1413">
        <v>8</v>
      </c>
      <c r="F1413">
        <v>4</v>
      </c>
      <c r="G1413">
        <v>0</v>
      </c>
      <c r="H1413" t="str">
        <f t="shared" si="22"/>
        <v>No Night Usage</v>
      </c>
      <c r="I1413">
        <v>4.5999999999999996</v>
      </c>
      <c r="J1413" s="3">
        <v>2</v>
      </c>
      <c r="K1413">
        <v>10.9</v>
      </c>
      <c r="L1413" t="s">
        <v>25</v>
      </c>
      <c r="M1413">
        <v>3</v>
      </c>
      <c r="N1413">
        <v>1</v>
      </c>
      <c r="O1413">
        <v>0</v>
      </c>
      <c r="P1413">
        <v>1</v>
      </c>
      <c r="Q1413">
        <v>1</v>
      </c>
      <c r="R1413">
        <v>0</v>
      </c>
      <c r="S1413">
        <v>1</v>
      </c>
      <c r="T1413" t="str">
        <f>IF(mental_health[Sleep_Hours]&lt;5,"Low",IF(mental_health[Sleep_Hours]&lt;7,"Medium","Good"))</f>
        <v>Low</v>
      </c>
      <c r="U1413" t="str">
        <f>IF(mental_health[Stress_Level]&lt;=3,"Low",IF(mental_health[Stress_Level]&lt;=7,"Medium","High"))</f>
        <v>Low</v>
      </c>
      <c r="V1413" t="str">
        <f>IF(mental_health[Daily_Screen_Time]&lt;=4,"Low",IF(mental_health[Daily_Screen_Time]&lt;=8,"Medium","High"))</f>
        <v>Medium</v>
      </c>
    </row>
    <row r="1414" spans="1:22" x14ac:dyDescent="0.3">
      <c r="A1414">
        <v>1413</v>
      </c>
      <c r="B1414">
        <v>50</v>
      </c>
      <c r="C1414" t="s">
        <v>23</v>
      </c>
      <c r="D1414" t="s">
        <v>24</v>
      </c>
      <c r="E1414">
        <v>8.6</v>
      </c>
      <c r="F1414">
        <v>1.1000000000000001</v>
      </c>
      <c r="G1414">
        <v>1</v>
      </c>
      <c r="H1414" t="str">
        <f t="shared" si="22"/>
        <v>Night Usage</v>
      </c>
      <c r="I1414">
        <v>6.1</v>
      </c>
      <c r="J1414" s="3">
        <v>5</v>
      </c>
      <c r="K1414">
        <v>5</v>
      </c>
      <c r="L1414" t="s">
        <v>25</v>
      </c>
      <c r="M1414">
        <v>1</v>
      </c>
      <c r="N1414">
        <v>2</v>
      </c>
      <c r="O1414">
        <v>1</v>
      </c>
      <c r="P1414">
        <v>1</v>
      </c>
      <c r="Q1414">
        <v>1</v>
      </c>
      <c r="R1414">
        <v>1</v>
      </c>
      <c r="S1414">
        <v>0</v>
      </c>
      <c r="T1414" t="str">
        <f>IF(mental_health[Sleep_Hours]&lt;5,"Low",IF(mental_health[Sleep_Hours]&lt;7,"Medium","Good"))</f>
        <v>Medium</v>
      </c>
      <c r="U1414" t="str">
        <f>IF(mental_health[Stress_Level]&lt;=3,"Low",IF(mental_health[Stress_Level]&lt;=7,"Medium","High"))</f>
        <v>Medium</v>
      </c>
      <c r="V1414" t="str">
        <f>IF(mental_health[Daily_Screen_Time]&lt;=4,"Low",IF(mental_health[Daily_Screen_Time]&lt;=8,"Medium","High"))</f>
        <v>High</v>
      </c>
    </row>
    <row r="1415" spans="1:22" x14ac:dyDescent="0.3">
      <c r="A1415">
        <v>1414</v>
      </c>
      <c r="B1415">
        <v>57</v>
      </c>
      <c r="C1415" t="s">
        <v>23</v>
      </c>
      <c r="D1415" t="s">
        <v>22</v>
      </c>
      <c r="E1415">
        <v>6.2</v>
      </c>
      <c r="F1415">
        <v>4.0999999999999996</v>
      </c>
      <c r="G1415">
        <v>1</v>
      </c>
      <c r="H1415" t="str">
        <f t="shared" si="22"/>
        <v>Night Usage</v>
      </c>
      <c r="I1415">
        <v>5</v>
      </c>
      <c r="J1415" s="3">
        <v>5</v>
      </c>
      <c r="K1415">
        <v>6.3</v>
      </c>
      <c r="L1415" t="s">
        <v>20</v>
      </c>
      <c r="M1415">
        <v>1</v>
      </c>
      <c r="N1415">
        <v>0</v>
      </c>
      <c r="O1415">
        <v>1</v>
      </c>
      <c r="P1415">
        <v>0</v>
      </c>
      <c r="Q1415">
        <v>1</v>
      </c>
      <c r="R1415">
        <v>0</v>
      </c>
      <c r="S1415">
        <v>1</v>
      </c>
      <c r="T1415" t="str">
        <f>IF(mental_health[Sleep_Hours]&lt;5,"Low",IF(mental_health[Sleep_Hours]&lt;7,"Medium","Good"))</f>
        <v>Medium</v>
      </c>
      <c r="U1415" t="str">
        <f>IF(mental_health[Stress_Level]&lt;=3,"Low",IF(mental_health[Stress_Level]&lt;=7,"Medium","High"))</f>
        <v>Medium</v>
      </c>
      <c r="V1415" t="str">
        <f>IF(mental_health[Daily_Screen_Time]&lt;=4,"Low",IF(mental_health[Daily_Screen_Time]&lt;=8,"Medium","High"))</f>
        <v>Medium</v>
      </c>
    </row>
    <row r="1416" spans="1:22" x14ac:dyDescent="0.3">
      <c r="A1416">
        <v>1415</v>
      </c>
      <c r="B1416">
        <v>49</v>
      </c>
      <c r="C1416" t="s">
        <v>23</v>
      </c>
      <c r="D1416" t="s">
        <v>24</v>
      </c>
      <c r="E1416">
        <v>9</v>
      </c>
      <c r="F1416">
        <v>1.3</v>
      </c>
      <c r="G1416">
        <v>1</v>
      </c>
      <c r="H1416" t="str">
        <f t="shared" si="22"/>
        <v>Night Usage</v>
      </c>
      <c r="I1416">
        <v>8.1999999999999993</v>
      </c>
      <c r="J1416" s="3">
        <v>7</v>
      </c>
      <c r="K1416">
        <v>7.3</v>
      </c>
      <c r="L1416" t="s">
        <v>21</v>
      </c>
      <c r="M1416">
        <v>10</v>
      </c>
      <c r="N1416">
        <v>1</v>
      </c>
      <c r="O1416">
        <v>1</v>
      </c>
      <c r="P1416">
        <v>1</v>
      </c>
      <c r="Q1416">
        <v>1</v>
      </c>
      <c r="R1416">
        <v>1</v>
      </c>
      <c r="S1416">
        <v>0</v>
      </c>
      <c r="T1416" t="str">
        <f>IF(mental_health[Sleep_Hours]&lt;5,"Low",IF(mental_health[Sleep_Hours]&lt;7,"Medium","Good"))</f>
        <v>Good</v>
      </c>
      <c r="U1416" t="str">
        <f>IF(mental_health[Stress_Level]&lt;=3,"Low",IF(mental_health[Stress_Level]&lt;=7,"Medium","High"))</f>
        <v>Medium</v>
      </c>
      <c r="V1416" t="str">
        <f>IF(mental_health[Daily_Screen_Time]&lt;=4,"Low",IF(mental_health[Daily_Screen_Time]&lt;=8,"Medium","High"))</f>
        <v>High</v>
      </c>
    </row>
    <row r="1417" spans="1:22" x14ac:dyDescent="0.3">
      <c r="A1417">
        <v>1416</v>
      </c>
      <c r="B1417">
        <v>45</v>
      </c>
      <c r="C1417" t="s">
        <v>18</v>
      </c>
      <c r="D1417" t="s">
        <v>22</v>
      </c>
      <c r="E1417">
        <v>6.1</v>
      </c>
      <c r="F1417">
        <v>4.8</v>
      </c>
      <c r="G1417">
        <v>1</v>
      </c>
      <c r="H1417" t="str">
        <f t="shared" si="22"/>
        <v>Night Usage</v>
      </c>
      <c r="I1417">
        <v>5.8</v>
      </c>
      <c r="J1417" s="3">
        <v>1</v>
      </c>
      <c r="K1417">
        <v>4.7</v>
      </c>
      <c r="L1417" t="s">
        <v>21</v>
      </c>
      <c r="M1417">
        <v>6</v>
      </c>
      <c r="N1417">
        <v>3</v>
      </c>
      <c r="O1417">
        <v>0</v>
      </c>
      <c r="P1417">
        <v>0</v>
      </c>
      <c r="Q1417">
        <v>0</v>
      </c>
      <c r="R1417">
        <v>0</v>
      </c>
      <c r="S1417">
        <v>1</v>
      </c>
      <c r="T1417" t="str">
        <f>IF(mental_health[Sleep_Hours]&lt;5,"Low",IF(mental_health[Sleep_Hours]&lt;7,"Medium","Good"))</f>
        <v>Medium</v>
      </c>
      <c r="U1417" t="str">
        <f>IF(mental_health[Stress_Level]&lt;=3,"Low",IF(mental_health[Stress_Level]&lt;=7,"Medium","High"))</f>
        <v>Low</v>
      </c>
      <c r="V1417" t="str">
        <f>IF(mental_health[Daily_Screen_Time]&lt;=4,"Low",IF(mental_health[Daily_Screen_Time]&lt;=8,"Medium","High"))</f>
        <v>Medium</v>
      </c>
    </row>
    <row r="1418" spans="1:22" x14ac:dyDescent="0.3">
      <c r="A1418">
        <v>1417</v>
      </c>
      <c r="B1418">
        <v>28</v>
      </c>
      <c r="C1418" t="s">
        <v>18</v>
      </c>
      <c r="D1418" t="s">
        <v>24</v>
      </c>
      <c r="E1418">
        <v>7</v>
      </c>
      <c r="F1418">
        <v>3.4</v>
      </c>
      <c r="G1418">
        <v>0</v>
      </c>
      <c r="H1418" t="str">
        <f t="shared" si="22"/>
        <v>No Night Usage</v>
      </c>
      <c r="I1418">
        <v>7.8</v>
      </c>
      <c r="J1418" s="3">
        <v>4</v>
      </c>
      <c r="K1418">
        <v>11.1</v>
      </c>
      <c r="L1418" t="s">
        <v>21</v>
      </c>
      <c r="M1418">
        <v>7</v>
      </c>
      <c r="N1418">
        <v>0</v>
      </c>
      <c r="O1418">
        <v>0</v>
      </c>
      <c r="P1418">
        <v>0</v>
      </c>
      <c r="Q1418">
        <v>0</v>
      </c>
      <c r="R1418">
        <v>1</v>
      </c>
      <c r="S1418">
        <v>0</v>
      </c>
      <c r="T1418" t="str">
        <f>IF(mental_health[Sleep_Hours]&lt;5,"Low",IF(mental_health[Sleep_Hours]&lt;7,"Medium","Good"))</f>
        <v>Good</v>
      </c>
      <c r="U1418" t="str">
        <f>IF(mental_health[Stress_Level]&lt;=3,"Low",IF(mental_health[Stress_Level]&lt;=7,"Medium","High"))</f>
        <v>Medium</v>
      </c>
      <c r="V1418" t="str">
        <f>IF(mental_health[Daily_Screen_Time]&lt;=4,"Low",IF(mental_health[Daily_Screen_Time]&lt;=8,"Medium","High"))</f>
        <v>Medium</v>
      </c>
    </row>
    <row r="1419" spans="1:22" x14ac:dyDescent="0.3">
      <c r="A1419">
        <v>1418</v>
      </c>
      <c r="B1419">
        <v>28</v>
      </c>
      <c r="C1419" t="s">
        <v>18</v>
      </c>
      <c r="D1419" t="s">
        <v>19</v>
      </c>
      <c r="E1419">
        <v>2.1</v>
      </c>
      <c r="F1419">
        <v>4.3</v>
      </c>
      <c r="G1419">
        <v>0</v>
      </c>
      <c r="H1419" t="str">
        <f t="shared" si="22"/>
        <v>No Night Usage</v>
      </c>
      <c r="I1419">
        <v>6.5</v>
      </c>
      <c r="J1419" s="3">
        <v>5</v>
      </c>
      <c r="K1419">
        <v>6.6</v>
      </c>
      <c r="L1419" t="s">
        <v>25</v>
      </c>
      <c r="M1419">
        <v>9</v>
      </c>
      <c r="N1419">
        <v>3</v>
      </c>
      <c r="O1419">
        <v>1</v>
      </c>
      <c r="P1419">
        <v>0</v>
      </c>
      <c r="Q1419">
        <v>1</v>
      </c>
      <c r="R1419">
        <v>1</v>
      </c>
      <c r="S1419">
        <v>0</v>
      </c>
      <c r="T1419" t="str">
        <f>IF(mental_health[Sleep_Hours]&lt;5,"Low",IF(mental_health[Sleep_Hours]&lt;7,"Medium","Good"))</f>
        <v>Medium</v>
      </c>
      <c r="U1419" t="str">
        <f>IF(mental_health[Stress_Level]&lt;=3,"Low",IF(mental_health[Stress_Level]&lt;=7,"Medium","High"))</f>
        <v>Medium</v>
      </c>
      <c r="V1419" t="str">
        <f>IF(mental_health[Daily_Screen_Time]&lt;=4,"Low",IF(mental_health[Daily_Screen_Time]&lt;=8,"Medium","High"))</f>
        <v>Low</v>
      </c>
    </row>
    <row r="1420" spans="1:22" x14ac:dyDescent="0.3">
      <c r="A1420">
        <v>1419</v>
      </c>
      <c r="B1420">
        <v>33</v>
      </c>
      <c r="C1420" t="s">
        <v>18</v>
      </c>
      <c r="D1420" t="s">
        <v>24</v>
      </c>
      <c r="E1420">
        <v>8.9</v>
      </c>
      <c r="F1420">
        <v>5.3</v>
      </c>
      <c r="G1420">
        <v>1</v>
      </c>
      <c r="H1420" t="str">
        <f t="shared" si="22"/>
        <v>Night Usage</v>
      </c>
      <c r="I1420">
        <v>7.6</v>
      </c>
      <c r="J1420" s="3">
        <v>8</v>
      </c>
      <c r="K1420">
        <v>6.2</v>
      </c>
      <c r="L1420" t="s">
        <v>21</v>
      </c>
      <c r="M1420">
        <v>6</v>
      </c>
      <c r="N1420">
        <v>2</v>
      </c>
      <c r="O1420">
        <v>1</v>
      </c>
      <c r="P1420">
        <v>1</v>
      </c>
      <c r="Q1420">
        <v>1</v>
      </c>
      <c r="R1420">
        <v>1</v>
      </c>
      <c r="S1420">
        <v>0</v>
      </c>
      <c r="T1420" t="str">
        <f>IF(mental_health[Sleep_Hours]&lt;5,"Low",IF(mental_health[Sleep_Hours]&lt;7,"Medium","Good"))</f>
        <v>Good</v>
      </c>
      <c r="U1420" t="str">
        <f>IF(mental_health[Stress_Level]&lt;=3,"Low",IF(mental_health[Stress_Level]&lt;=7,"Medium","High"))</f>
        <v>High</v>
      </c>
      <c r="V1420" t="str">
        <f>IF(mental_health[Daily_Screen_Time]&lt;=4,"Low",IF(mental_health[Daily_Screen_Time]&lt;=8,"Medium","High"))</f>
        <v>High</v>
      </c>
    </row>
    <row r="1421" spans="1:22" x14ac:dyDescent="0.3">
      <c r="A1421">
        <v>1420</v>
      </c>
      <c r="B1421">
        <v>47</v>
      </c>
      <c r="C1421" t="s">
        <v>23</v>
      </c>
      <c r="D1421" t="s">
        <v>22</v>
      </c>
      <c r="E1421">
        <v>8.6</v>
      </c>
      <c r="F1421">
        <v>7.1</v>
      </c>
      <c r="G1421">
        <v>0</v>
      </c>
      <c r="H1421" t="str">
        <f t="shared" si="22"/>
        <v>No Night Usage</v>
      </c>
      <c r="I1421">
        <v>5</v>
      </c>
      <c r="J1421" s="3">
        <v>8</v>
      </c>
      <c r="K1421">
        <v>10.5</v>
      </c>
      <c r="L1421" t="s">
        <v>21</v>
      </c>
      <c r="M1421">
        <v>5</v>
      </c>
      <c r="N1421">
        <v>2</v>
      </c>
      <c r="O1421">
        <v>1</v>
      </c>
      <c r="P1421">
        <v>0</v>
      </c>
      <c r="Q1421">
        <v>1</v>
      </c>
      <c r="R1421">
        <v>0</v>
      </c>
      <c r="S1421">
        <v>1</v>
      </c>
      <c r="T1421" t="str">
        <f>IF(mental_health[Sleep_Hours]&lt;5,"Low",IF(mental_health[Sleep_Hours]&lt;7,"Medium","Good"))</f>
        <v>Medium</v>
      </c>
      <c r="U1421" t="str">
        <f>IF(mental_health[Stress_Level]&lt;=3,"Low",IF(mental_health[Stress_Level]&lt;=7,"Medium","High"))</f>
        <v>High</v>
      </c>
      <c r="V1421" t="str">
        <f>IF(mental_health[Daily_Screen_Time]&lt;=4,"Low",IF(mental_health[Daily_Screen_Time]&lt;=8,"Medium","High"))</f>
        <v>High</v>
      </c>
    </row>
    <row r="1422" spans="1:22" x14ac:dyDescent="0.3">
      <c r="A1422">
        <v>1421</v>
      </c>
      <c r="B1422">
        <v>47</v>
      </c>
      <c r="C1422" t="s">
        <v>18</v>
      </c>
      <c r="D1422" t="s">
        <v>22</v>
      </c>
      <c r="E1422">
        <v>2.4</v>
      </c>
      <c r="F1422">
        <v>5.6</v>
      </c>
      <c r="G1422">
        <v>0</v>
      </c>
      <c r="H1422" t="str">
        <f t="shared" si="22"/>
        <v>No Night Usage</v>
      </c>
      <c r="I1422">
        <v>8</v>
      </c>
      <c r="J1422" s="3">
        <v>1</v>
      </c>
      <c r="K1422">
        <v>5.0999999999999996</v>
      </c>
      <c r="L1422" t="s">
        <v>25</v>
      </c>
      <c r="M1422">
        <v>2</v>
      </c>
      <c r="N1422">
        <v>4</v>
      </c>
      <c r="O1422">
        <v>0</v>
      </c>
      <c r="P1422">
        <v>1</v>
      </c>
      <c r="Q1422">
        <v>0</v>
      </c>
      <c r="R1422">
        <v>1</v>
      </c>
      <c r="S1422">
        <v>0</v>
      </c>
      <c r="T1422" t="str">
        <f>IF(mental_health[Sleep_Hours]&lt;5,"Low",IF(mental_health[Sleep_Hours]&lt;7,"Medium","Good"))</f>
        <v>Good</v>
      </c>
      <c r="U1422" t="str">
        <f>IF(mental_health[Stress_Level]&lt;=3,"Low",IF(mental_health[Stress_Level]&lt;=7,"Medium","High"))</f>
        <v>Low</v>
      </c>
      <c r="V1422" t="str">
        <f>IF(mental_health[Daily_Screen_Time]&lt;=4,"Low",IF(mental_health[Daily_Screen_Time]&lt;=8,"Medium","High"))</f>
        <v>Low</v>
      </c>
    </row>
    <row r="1423" spans="1:22" x14ac:dyDescent="0.3">
      <c r="A1423">
        <v>1422</v>
      </c>
      <c r="B1423">
        <v>50</v>
      </c>
      <c r="C1423" t="s">
        <v>18</v>
      </c>
      <c r="D1423" t="s">
        <v>24</v>
      </c>
      <c r="E1423">
        <v>5.7</v>
      </c>
      <c r="F1423">
        <v>4</v>
      </c>
      <c r="G1423">
        <v>0</v>
      </c>
      <c r="H1423" t="str">
        <f t="shared" si="22"/>
        <v>No Night Usage</v>
      </c>
      <c r="I1423">
        <v>4.5999999999999996</v>
      </c>
      <c r="J1423" s="3">
        <v>5</v>
      </c>
      <c r="K1423">
        <v>10.199999999999999</v>
      </c>
      <c r="L1423" t="s">
        <v>21</v>
      </c>
      <c r="M1423">
        <v>2</v>
      </c>
      <c r="N1423">
        <v>4</v>
      </c>
      <c r="O1423">
        <v>1</v>
      </c>
      <c r="P1423">
        <v>1</v>
      </c>
      <c r="Q1423">
        <v>0</v>
      </c>
      <c r="R1423">
        <v>1</v>
      </c>
      <c r="S1423">
        <v>1</v>
      </c>
      <c r="T1423" t="str">
        <f>IF(mental_health[Sleep_Hours]&lt;5,"Low",IF(mental_health[Sleep_Hours]&lt;7,"Medium","Good"))</f>
        <v>Low</v>
      </c>
      <c r="U1423" t="str">
        <f>IF(mental_health[Stress_Level]&lt;=3,"Low",IF(mental_health[Stress_Level]&lt;=7,"Medium","High"))</f>
        <v>Medium</v>
      </c>
      <c r="V1423" t="str">
        <f>IF(mental_health[Daily_Screen_Time]&lt;=4,"Low",IF(mental_health[Daily_Screen_Time]&lt;=8,"Medium","High"))</f>
        <v>Medium</v>
      </c>
    </row>
    <row r="1424" spans="1:22" x14ac:dyDescent="0.3">
      <c r="A1424">
        <v>1423</v>
      </c>
      <c r="B1424">
        <v>54</v>
      </c>
      <c r="C1424" t="s">
        <v>23</v>
      </c>
      <c r="D1424" t="s">
        <v>22</v>
      </c>
      <c r="E1424">
        <v>11.8</v>
      </c>
      <c r="F1424">
        <v>6.7</v>
      </c>
      <c r="G1424">
        <v>1</v>
      </c>
      <c r="H1424" t="str">
        <f t="shared" si="22"/>
        <v>Night Usage</v>
      </c>
      <c r="I1424">
        <v>6.3</v>
      </c>
      <c r="J1424" s="3">
        <v>10</v>
      </c>
      <c r="K1424">
        <v>3.2</v>
      </c>
      <c r="L1424" t="s">
        <v>20</v>
      </c>
      <c r="M1424">
        <v>8</v>
      </c>
      <c r="N1424">
        <v>4</v>
      </c>
      <c r="O1424">
        <v>1</v>
      </c>
      <c r="P1424">
        <v>0</v>
      </c>
      <c r="Q1424">
        <v>1</v>
      </c>
      <c r="R1424">
        <v>1</v>
      </c>
      <c r="S1424">
        <v>0</v>
      </c>
      <c r="T1424" t="str">
        <f>IF(mental_health[Sleep_Hours]&lt;5,"Low",IF(mental_health[Sleep_Hours]&lt;7,"Medium","Good"))</f>
        <v>Medium</v>
      </c>
      <c r="U1424" t="str">
        <f>IF(mental_health[Stress_Level]&lt;=3,"Low",IF(mental_health[Stress_Level]&lt;=7,"Medium","High"))</f>
        <v>High</v>
      </c>
      <c r="V1424" t="str">
        <f>IF(mental_health[Daily_Screen_Time]&lt;=4,"Low",IF(mental_health[Daily_Screen_Time]&lt;=8,"Medium","High"))</f>
        <v>High</v>
      </c>
    </row>
    <row r="1425" spans="1:22" x14ac:dyDescent="0.3">
      <c r="A1425">
        <v>1424</v>
      </c>
      <c r="B1425">
        <v>44</v>
      </c>
      <c r="C1425" t="s">
        <v>18</v>
      </c>
      <c r="D1425" t="s">
        <v>22</v>
      </c>
      <c r="E1425">
        <v>6.2</v>
      </c>
      <c r="F1425">
        <v>7.3</v>
      </c>
      <c r="G1425">
        <v>0</v>
      </c>
      <c r="H1425" t="str">
        <f t="shared" si="22"/>
        <v>No Night Usage</v>
      </c>
      <c r="I1425">
        <v>4.3</v>
      </c>
      <c r="J1425" s="3">
        <v>1</v>
      </c>
      <c r="K1425">
        <v>3.8</v>
      </c>
      <c r="L1425" t="s">
        <v>25</v>
      </c>
      <c r="M1425">
        <v>1</v>
      </c>
      <c r="N1425">
        <v>3</v>
      </c>
      <c r="O1425">
        <v>0</v>
      </c>
      <c r="P1425">
        <v>0</v>
      </c>
      <c r="Q1425">
        <v>1</v>
      </c>
      <c r="R1425">
        <v>0</v>
      </c>
      <c r="S1425">
        <v>0</v>
      </c>
      <c r="T1425" t="str">
        <f>IF(mental_health[Sleep_Hours]&lt;5,"Low",IF(mental_health[Sleep_Hours]&lt;7,"Medium","Good"))</f>
        <v>Low</v>
      </c>
      <c r="U1425" t="str">
        <f>IF(mental_health[Stress_Level]&lt;=3,"Low",IF(mental_health[Stress_Level]&lt;=7,"Medium","High"))</f>
        <v>Low</v>
      </c>
      <c r="V1425" t="str">
        <f>IF(mental_health[Daily_Screen_Time]&lt;=4,"Low",IF(mental_health[Daily_Screen_Time]&lt;=8,"Medium","High"))</f>
        <v>Medium</v>
      </c>
    </row>
    <row r="1426" spans="1:22" x14ac:dyDescent="0.3">
      <c r="A1426">
        <v>1425</v>
      </c>
      <c r="B1426">
        <v>44</v>
      </c>
      <c r="C1426" t="s">
        <v>18</v>
      </c>
      <c r="D1426" t="s">
        <v>19</v>
      </c>
      <c r="E1426">
        <v>7</v>
      </c>
      <c r="F1426">
        <v>1.8</v>
      </c>
      <c r="G1426">
        <v>0</v>
      </c>
      <c r="H1426" t="str">
        <f t="shared" si="22"/>
        <v>No Night Usage</v>
      </c>
      <c r="I1426">
        <v>5.9</v>
      </c>
      <c r="J1426" s="3">
        <v>1</v>
      </c>
      <c r="K1426">
        <v>11.5</v>
      </c>
      <c r="L1426" t="s">
        <v>25</v>
      </c>
      <c r="M1426">
        <v>8</v>
      </c>
      <c r="N1426">
        <v>4</v>
      </c>
      <c r="O1426">
        <v>1</v>
      </c>
      <c r="P1426">
        <v>0</v>
      </c>
      <c r="Q1426">
        <v>0</v>
      </c>
      <c r="R1426">
        <v>0</v>
      </c>
      <c r="S1426">
        <v>0</v>
      </c>
      <c r="T1426" t="str">
        <f>IF(mental_health[Sleep_Hours]&lt;5,"Low",IF(mental_health[Sleep_Hours]&lt;7,"Medium","Good"))</f>
        <v>Medium</v>
      </c>
      <c r="U1426" t="str">
        <f>IF(mental_health[Stress_Level]&lt;=3,"Low",IF(mental_health[Stress_Level]&lt;=7,"Medium","High"))</f>
        <v>Low</v>
      </c>
      <c r="V1426" t="str">
        <f>IF(mental_health[Daily_Screen_Time]&lt;=4,"Low",IF(mental_health[Daily_Screen_Time]&lt;=8,"Medium","High"))</f>
        <v>Medium</v>
      </c>
    </row>
    <row r="1427" spans="1:22" x14ac:dyDescent="0.3">
      <c r="A1427">
        <v>1426</v>
      </c>
      <c r="B1427">
        <v>59</v>
      </c>
      <c r="C1427" t="s">
        <v>23</v>
      </c>
      <c r="D1427" t="s">
        <v>24</v>
      </c>
      <c r="E1427">
        <v>11.1</v>
      </c>
      <c r="F1427">
        <v>4.7</v>
      </c>
      <c r="G1427">
        <v>0</v>
      </c>
      <c r="H1427" t="str">
        <f t="shared" si="22"/>
        <v>No Night Usage</v>
      </c>
      <c r="I1427">
        <v>4.9000000000000004</v>
      </c>
      <c r="J1427" s="3">
        <v>2</v>
      </c>
      <c r="K1427">
        <v>10.4</v>
      </c>
      <c r="L1427" t="s">
        <v>25</v>
      </c>
      <c r="M1427">
        <v>10</v>
      </c>
      <c r="N1427">
        <v>1</v>
      </c>
      <c r="O1427">
        <v>1</v>
      </c>
      <c r="P1427">
        <v>1</v>
      </c>
      <c r="Q1427">
        <v>0</v>
      </c>
      <c r="R1427">
        <v>0</v>
      </c>
      <c r="S1427">
        <v>1</v>
      </c>
      <c r="T1427" t="str">
        <f>IF(mental_health[Sleep_Hours]&lt;5,"Low",IF(mental_health[Sleep_Hours]&lt;7,"Medium","Good"))</f>
        <v>Low</v>
      </c>
      <c r="U1427" t="str">
        <f>IF(mental_health[Stress_Level]&lt;=3,"Low",IF(mental_health[Stress_Level]&lt;=7,"Medium","High"))</f>
        <v>Low</v>
      </c>
      <c r="V1427" t="str">
        <f>IF(mental_health[Daily_Screen_Time]&lt;=4,"Low",IF(mental_health[Daily_Screen_Time]&lt;=8,"Medium","High"))</f>
        <v>High</v>
      </c>
    </row>
    <row r="1428" spans="1:22" x14ac:dyDescent="0.3">
      <c r="A1428">
        <v>1427</v>
      </c>
      <c r="B1428">
        <v>31</v>
      </c>
      <c r="C1428" t="s">
        <v>18</v>
      </c>
      <c r="D1428" t="s">
        <v>24</v>
      </c>
      <c r="E1428">
        <v>9.1999999999999993</v>
      </c>
      <c r="F1428">
        <v>3</v>
      </c>
      <c r="G1428">
        <v>0</v>
      </c>
      <c r="H1428" t="str">
        <f t="shared" si="22"/>
        <v>No Night Usage</v>
      </c>
      <c r="I1428">
        <v>4.5999999999999996</v>
      </c>
      <c r="J1428" s="3">
        <v>2</v>
      </c>
      <c r="K1428">
        <v>5.9</v>
      </c>
      <c r="L1428" t="s">
        <v>20</v>
      </c>
      <c r="M1428">
        <v>7</v>
      </c>
      <c r="N1428">
        <v>3</v>
      </c>
      <c r="O1428">
        <v>0</v>
      </c>
      <c r="P1428">
        <v>1</v>
      </c>
      <c r="Q1428">
        <v>0</v>
      </c>
      <c r="R1428">
        <v>1</v>
      </c>
      <c r="S1428">
        <v>0</v>
      </c>
      <c r="T1428" t="str">
        <f>IF(mental_health[Sleep_Hours]&lt;5,"Low",IF(mental_health[Sleep_Hours]&lt;7,"Medium","Good"))</f>
        <v>Low</v>
      </c>
      <c r="U1428" t="str">
        <f>IF(mental_health[Stress_Level]&lt;=3,"Low",IF(mental_health[Stress_Level]&lt;=7,"Medium","High"))</f>
        <v>Low</v>
      </c>
      <c r="V1428" t="str">
        <f>IF(mental_health[Daily_Screen_Time]&lt;=4,"Low",IF(mental_health[Daily_Screen_Time]&lt;=8,"Medium","High"))</f>
        <v>High</v>
      </c>
    </row>
    <row r="1429" spans="1:22" x14ac:dyDescent="0.3">
      <c r="A1429">
        <v>1428</v>
      </c>
      <c r="B1429">
        <v>59</v>
      </c>
      <c r="C1429" t="s">
        <v>18</v>
      </c>
      <c r="D1429" t="s">
        <v>24</v>
      </c>
      <c r="E1429">
        <v>7.8</v>
      </c>
      <c r="F1429">
        <v>1.3</v>
      </c>
      <c r="G1429">
        <v>0</v>
      </c>
      <c r="H1429" t="str">
        <f t="shared" si="22"/>
        <v>No Night Usage</v>
      </c>
      <c r="I1429">
        <v>8.8000000000000007</v>
      </c>
      <c r="J1429" s="3">
        <v>9</v>
      </c>
      <c r="K1429">
        <v>8.4</v>
      </c>
      <c r="L1429" t="s">
        <v>25</v>
      </c>
      <c r="M1429">
        <v>7</v>
      </c>
      <c r="N1429">
        <v>3</v>
      </c>
      <c r="O1429">
        <v>1</v>
      </c>
      <c r="P1429">
        <v>0</v>
      </c>
      <c r="Q1429">
        <v>1</v>
      </c>
      <c r="R1429">
        <v>0</v>
      </c>
      <c r="S1429">
        <v>1</v>
      </c>
      <c r="T1429" t="str">
        <f>IF(mental_health[Sleep_Hours]&lt;5,"Low",IF(mental_health[Sleep_Hours]&lt;7,"Medium","Good"))</f>
        <v>Good</v>
      </c>
      <c r="U1429" t="str">
        <f>IF(mental_health[Stress_Level]&lt;=3,"Low",IF(mental_health[Stress_Level]&lt;=7,"Medium","High"))</f>
        <v>High</v>
      </c>
      <c r="V1429" t="str">
        <f>IF(mental_health[Daily_Screen_Time]&lt;=4,"Low",IF(mental_health[Daily_Screen_Time]&lt;=8,"Medium","High"))</f>
        <v>Medium</v>
      </c>
    </row>
    <row r="1430" spans="1:22" x14ac:dyDescent="0.3">
      <c r="A1430">
        <v>1429</v>
      </c>
      <c r="B1430">
        <v>25</v>
      </c>
      <c r="C1430" t="s">
        <v>18</v>
      </c>
      <c r="D1430" t="s">
        <v>22</v>
      </c>
      <c r="E1430">
        <v>10</v>
      </c>
      <c r="F1430">
        <v>5.7</v>
      </c>
      <c r="G1430">
        <v>0</v>
      </c>
      <c r="H1430" t="str">
        <f t="shared" si="22"/>
        <v>No Night Usage</v>
      </c>
      <c r="I1430">
        <v>4</v>
      </c>
      <c r="J1430" s="3">
        <v>4</v>
      </c>
      <c r="K1430">
        <v>11.4</v>
      </c>
      <c r="L1430" t="s">
        <v>25</v>
      </c>
      <c r="M1430">
        <v>5</v>
      </c>
      <c r="N1430">
        <v>4</v>
      </c>
      <c r="O1430">
        <v>1</v>
      </c>
      <c r="P1430">
        <v>1</v>
      </c>
      <c r="Q1430">
        <v>1</v>
      </c>
      <c r="R1430">
        <v>1</v>
      </c>
      <c r="S1430">
        <v>1</v>
      </c>
      <c r="T1430" t="str">
        <f>IF(mental_health[Sleep_Hours]&lt;5,"Low",IF(mental_health[Sleep_Hours]&lt;7,"Medium","Good"))</f>
        <v>Low</v>
      </c>
      <c r="U1430" t="str">
        <f>IF(mental_health[Stress_Level]&lt;=3,"Low",IF(mental_health[Stress_Level]&lt;=7,"Medium","High"))</f>
        <v>Medium</v>
      </c>
      <c r="V1430" t="str">
        <f>IF(mental_health[Daily_Screen_Time]&lt;=4,"Low",IF(mental_health[Daily_Screen_Time]&lt;=8,"Medium","High"))</f>
        <v>High</v>
      </c>
    </row>
    <row r="1431" spans="1:22" x14ac:dyDescent="0.3">
      <c r="A1431">
        <v>1430</v>
      </c>
      <c r="B1431">
        <v>45</v>
      </c>
      <c r="C1431" t="s">
        <v>18</v>
      </c>
      <c r="D1431" t="s">
        <v>24</v>
      </c>
      <c r="E1431">
        <v>10.6</v>
      </c>
      <c r="F1431">
        <v>7</v>
      </c>
      <c r="G1431">
        <v>0</v>
      </c>
      <c r="H1431" t="str">
        <f t="shared" si="22"/>
        <v>No Night Usage</v>
      </c>
      <c r="I1431">
        <v>7.7</v>
      </c>
      <c r="J1431" s="3">
        <v>3</v>
      </c>
      <c r="K1431">
        <v>4.0999999999999996</v>
      </c>
      <c r="L1431" t="s">
        <v>25</v>
      </c>
      <c r="M1431">
        <v>3</v>
      </c>
      <c r="N1431">
        <v>4</v>
      </c>
      <c r="O1431">
        <v>1</v>
      </c>
      <c r="P1431">
        <v>0</v>
      </c>
      <c r="Q1431">
        <v>0</v>
      </c>
      <c r="R1431">
        <v>0</v>
      </c>
      <c r="S1431">
        <v>1</v>
      </c>
      <c r="T1431" t="str">
        <f>IF(mental_health[Sleep_Hours]&lt;5,"Low",IF(mental_health[Sleep_Hours]&lt;7,"Medium","Good"))</f>
        <v>Good</v>
      </c>
      <c r="U1431" t="str">
        <f>IF(mental_health[Stress_Level]&lt;=3,"Low",IF(mental_health[Stress_Level]&lt;=7,"Medium","High"))</f>
        <v>Low</v>
      </c>
      <c r="V1431" t="str">
        <f>IF(mental_health[Daily_Screen_Time]&lt;=4,"Low",IF(mental_health[Daily_Screen_Time]&lt;=8,"Medium","High"))</f>
        <v>High</v>
      </c>
    </row>
    <row r="1432" spans="1:22" x14ac:dyDescent="0.3">
      <c r="A1432">
        <v>1431</v>
      </c>
      <c r="B1432">
        <v>40</v>
      </c>
      <c r="C1432" t="s">
        <v>18</v>
      </c>
      <c r="D1432" t="s">
        <v>24</v>
      </c>
      <c r="E1432">
        <v>6.6</v>
      </c>
      <c r="F1432">
        <v>2.1</v>
      </c>
      <c r="G1432">
        <v>0</v>
      </c>
      <c r="H1432" t="str">
        <f t="shared" si="22"/>
        <v>No Night Usage</v>
      </c>
      <c r="I1432">
        <v>8.9</v>
      </c>
      <c r="J1432" s="3">
        <v>1</v>
      </c>
      <c r="K1432">
        <v>2.6</v>
      </c>
      <c r="L1432" t="s">
        <v>25</v>
      </c>
      <c r="M1432">
        <v>7</v>
      </c>
      <c r="N1432">
        <v>3</v>
      </c>
      <c r="O1432">
        <v>1</v>
      </c>
      <c r="P1432">
        <v>1</v>
      </c>
      <c r="Q1432">
        <v>0</v>
      </c>
      <c r="R1432">
        <v>1</v>
      </c>
      <c r="S1432">
        <v>0</v>
      </c>
      <c r="T1432" t="str">
        <f>IF(mental_health[Sleep_Hours]&lt;5,"Low",IF(mental_health[Sleep_Hours]&lt;7,"Medium","Good"))</f>
        <v>Good</v>
      </c>
      <c r="U1432" t="str">
        <f>IF(mental_health[Stress_Level]&lt;=3,"Low",IF(mental_health[Stress_Level]&lt;=7,"Medium","High"))</f>
        <v>Low</v>
      </c>
      <c r="V1432" t="str">
        <f>IF(mental_health[Daily_Screen_Time]&lt;=4,"Low",IF(mental_health[Daily_Screen_Time]&lt;=8,"Medium","High"))</f>
        <v>Medium</v>
      </c>
    </row>
    <row r="1433" spans="1:22" x14ac:dyDescent="0.3">
      <c r="A1433">
        <v>1432</v>
      </c>
      <c r="B1433">
        <v>54</v>
      </c>
      <c r="C1433" t="s">
        <v>23</v>
      </c>
      <c r="D1433" t="s">
        <v>19</v>
      </c>
      <c r="E1433">
        <v>6.8</v>
      </c>
      <c r="F1433">
        <v>6.7</v>
      </c>
      <c r="G1433">
        <v>0</v>
      </c>
      <c r="H1433" t="str">
        <f t="shared" si="22"/>
        <v>No Night Usage</v>
      </c>
      <c r="I1433">
        <v>3.1</v>
      </c>
      <c r="J1433" s="3">
        <v>2</v>
      </c>
      <c r="K1433">
        <v>7.4</v>
      </c>
      <c r="L1433" t="s">
        <v>20</v>
      </c>
      <c r="M1433">
        <v>7</v>
      </c>
      <c r="N1433">
        <v>2</v>
      </c>
      <c r="O1433">
        <v>0</v>
      </c>
      <c r="P1433">
        <v>1</v>
      </c>
      <c r="Q1433">
        <v>1</v>
      </c>
      <c r="R1433">
        <v>0</v>
      </c>
      <c r="S1433">
        <v>1</v>
      </c>
      <c r="T1433" t="str">
        <f>IF(mental_health[Sleep_Hours]&lt;5,"Low",IF(mental_health[Sleep_Hours]&lt;7,"Medium","Good"))</f>
        <v>Low</v>
      </c>
      <c r="U1433" t="str">
        <f>IF(mental_health[Stress_Level]&lt;=3,"Low",IF(mental_health[Stress_Level]&lt;=7,"Medium","High"))</f>
        <v>Low</v>
      </c>
      <c r="V1433" t="str">
        <f>IF(mental_health[Daily_Screen_Time]&lt;=4,"Low",IF(mental_health[Daily_Screen_Time]&lt;=8,"Medium","High"))</f>
        <v>Medium</v>
      </c>
    </row>
    <row r="1434" spans="1:22" x14ac:dyDescent="0.3">
      <c r="A1434">
        <v>1433</v>
      </c>
      <c r="B1434">
        <v>35</v>
      </c>
      <c r="C1434" t="s">
        <v>23</v>
      </c>
      <c r="D1434" t="s">
        <v>19</v>
      </c>
      <c r="E1434">
        <v>5.9</v>
      </c>
      <c r="F1434">
        <v>7</v>
      </c>
      <c r="G1434">
        <v>0</v>
      </c>
      <c r="H1434" t="str">
        <f t="shared" si="22"/>
        <v>No Night Usage</v>
      </c>
      <c r="I1434">
        <v>7.2</v>
      </c>
      <c r="J1434" s="3">
        <v>6</v>
      </c>
      <c r="K1434">
        <v>3.4</v>
      </c>
      <c r="L1434" t="s">
        <v>21</v>
      </c>
      <c r="M1434">
        <v>7</v>
      </c>
      <c r="N1434">
        <v>2</v>
      </c>
      <c r="O1434">
        <v>0</v>
      </c>
      <c r="P1434">
        <v>1</v>
      </c>
      <c r="Q1434">
        <v>1</v>
      </c>
      <c r="R1434">
        <v>1</v>
      </c>
      <c r="S1434">
        <v>0</v>
      </c>
      <c r="T1434" t="str">
        <f>IF(mental_health[Sleep_Hours]&lt;5,"Low",IF(mental_health[Sleep_Hours]&lt;7,"Medium","Good"))</f>
        <v>Good</v>
      </c>
      <c r="U1434" t="str">
        <f>IF(mental_health[Stress_Level]&lt;=3,"Low",IF(mental_health[Stress_Level]&lt;=7,"Medium","High"))</f>
        <v>Medium</v>
      </c>
      <c r="V1434" t="str">
        <f>IF(mental_health[Daily_Screen_Time]&lt;=4,"Low",IF(mental_health[Daily_Screen_Time]&lt;=8,"Medium","High"))</f>
        <v>Medium</v>
      </c>
    </row>
    <row r="1435" spans="1:22" x14ac:dyDescent="0.3">
      <c r="A1435">
        <v>1434</v>
      </c>
      <c r="B1435">
        <v>20</v>
      </c>
      <c r="C1435" t="s">
        <v>23</v>
      </c>
      <c r="D1435" t="s">
        <v>19</v>
      </c>
      <c r="E1435">
        <v>11.7</v>
      </c>
      <c r="F1435">
        <v>7.4</v>
      </c>
      <c r="G1435">
        <v>1</v>
      </c>
      <c r="H1435" t="str">
        <f t="shared" si="22"/>
        <v>Night Usage</v>
      </c>
      <c r="I1435">
        <v>4.5</v>
      </c>
      <c r="J1435" s="3">
        <v>9</v>
      </c>
      <c r="K1435">
        <v>3.9</v>
      </c>
      <c r="L1435" t="s">
        <v>21</v>
      </c>
      <c r="M1435">
        <v>2</v>
      </c>
      <c r="N1435">
        <v>4</v>
      </c>
      <c r="O1435">
        <v>0</v>
      </c>
      <c r="P1435">
        <v>1</v>
      </c>
      <c r="Q1435">
        <v>1</v>
      </c>
      <c r="R1435">
        <v>0</v>
      </c>
      <c r="S1435">
        <v>1</v>
      </c>
      <c r="T1435" t="str">
        <f>IF(mental_health[Sleep_Hours]&lt;5,"Low",IF(mental_health[Sleep_Hours]&lt;7,"Medium","Good"))</f>
        <v>Low</v>
      </c>
      <c r="U1435" t="str">
        <f>IF(mental_health[Stress_Level]&lt;=3,"Low",IF(mental_health[Stress_Level]&lt;=7,"Medium","High"))</f>
        <v>High</v>
      </c>
      <c r="V1435" t="str">
        <f>IF(mental_health[Daily_Screen_Time]&lt;=4,"Low",IF(mental_health[Daily_Screen_Time]&lt;=8,"Medium","High"))</f>
        <v>High</v>
      </c>
    </row>
    <row r="1436" spans="1:22" x14ac:dyDescent="0.3">
      <c r="A1436">
        <v>1435</v>
      </c>
      <c r="B1436">
        <v>16</v>
      </c>
      <c r="C1436" t="s">
        <v>23</v>
      </c>
      <c r="D1436" t="s">
        <v>22</v>
      </c>
      <c r="E1436">
        <v>9</v>
      </c>
      <c r="F1436">
        <v>2.9</v>
      </c>
      <c r="G1436">
        <v>0</v>
      </c>
      <c r="H1436" t="str">
        <f t="shared" si="22"/>
        <v>No Night Usage</v>
      </c>
      <c r="I1436">
        <v>3.2</v>
      </c>
      <c r="J1436" s="3">
        <v>5</v>
      </c>
      <c r="K1436">
        <v>10.9</v>
      </c>
      <c r="L1436" t="s">
        <v>25</v>
      </c>
      <c r="M1436">
        <v>3</v>
      </c>
      <c r="N1436">
        <v>2</v>
      </c>
      <c r="O1436">
        <v>1</v>
      </c>
      <c r="P1436">
        <v>0</v>
      </c>
      <c r="Q1436">
        <v>1</v>
      </c>
      <c r="R1436">
        <v>1</v>
      </c>
      <c r="S1436">
        <v>0</v>
      </c>
      <c r="T1436" t="str">
        <f>IF(mental_health[Sleep_Hours]&lt;5,"Low",IF(mental_health[Sleep_Hours]&lt;7,"Medium","Good"))</f>
        <v>Low</v>
      </c>
      <c r="U1436" t="str">
        <f>IF(mental_health[Stress_Level]&lt;=3,"Low",IF(mental_health[Stress_Level]&lt;=7,"Medium","High"))</f>
        <v>Medium</v>
      </c>
      <c r="V1436" t="str">
        <f>IF(mental_health[Daily_Screen_Time]&lt;=4,"Low",IF(mental_health[Daily_Screen_Time]&lt;=8,"Medium","High"))</f>
        <v>High</v>
      </c>
    </row>
    <row r="1437" spans="1:22" x14ac:dyDescent="0.3">
      <c r="A1437">
        <v>1436</v>
      </c>
      <c r="B1437">
        <v>45</v>
      </c>
      <c r="C1437" t="s">
        <v>23</v>
      </c>
      <c r="D1437" t="s">
        <v>24</v>
      </c>
      <c r="E1437">
        <v>2.8</v>
      </c>
      <c r="F1437">
        <v>7.3</v>
      </c>
      <c r="G1437">
        <v>1</v>
      </c>
      <c r="H1437" t="str">
        <f t="shared" si="22"/>
        <v>Night Usage</v>
      </c>
      <c r="I1437">
        <v>5.4</v>
      </c>
      <c r="J1437" s="3">
        <v>4</v>
      </c>
      <c r="K1437">
        <v>2.1</v>
      </c>
      <c r="L1437" t="s">
        <v>20</v>
      </c>
      <c r="M1437">
        <v>3</v>
      </c>
      <c r="N1437">
        <v>1</v>
      </c>
      <c r="O1437">
        <v>0</v>
      </c>
      <c r="P1437">
        <v>0</v>
      </c>
      <c r="Q1437">
        <v>0</v>
      </c>
      <c r="R1437">
        <v>1</v>
      </c>
      <c r="S1437">
        <v>0</v>
      </c>
      <c r="T1437" t="str">
        <f>IF(mental_health[Sleep_Hours]&lt;5,"Low",IF(mental_health[Sleep_Hours]&lt;7,"Medium","Good"))</f>
        <v>Medium</v>
      </c>
      <c r="U1437" t="str">
        <f>IF(mental_health[Stress_Level]&lt;=3,"Low",IF(mental_health[Stress_Level]&lt;=7,"Medium","High"))</f>
        <v>Medium</v>
      </c>
      <c r="V1437" t="str">
        <f>IF(mental_health[Daily_Screen_Time]&lt;=4,"Low",IF(mental_health[Daily_Screen_Time]&lt;=8,"Medium","High"))</f>
        <v>Low</v>
      </c>
    </row>
    <row r="1438" spans="1:22" x14ac:dyDescent="0.3">
      <c r="A1438">
        <v>1437</v>
      </c>
      <c r="B1438">
        <v>18</v>
      </c>
      <c r="C1438" t="s">
        <v>23</v>
      </c>
      <c r="D1438" t="s">
        <v>19</v>
      </c>
      <c r="E1438">
        <v>10.6</v>
      </c>
      <c r="F1438">
        <v>3.2</v>
      </c>
      <c r="G1438">
        <v>0</v>
      </c>
      <c r="H1438" t="str">
        <f t="shared" si="22"/>
        <v>No Night Usage</v>
      </c>
      <c r="I1438">
        <v>8.6</v>
      </c>
      <c r="J1438" s="3">
        <v>5</v>
      </c>
      <c r="K1438">
        <v>10.199999999999999</v>
      </c>
      <c r="L1438" t="s">
        <v>25</v>
      </c>
      <c r="M1438">
        <v>4</v>
      </c>
      <c r="N1438">
        <v>1</v>
      </c>
      <c r="O1438">
        <v>0</v>
      </c>
      <c r="P1438">
        <v>0</v>
      </c>
      <c r="Q1438">
        <v>1</v>
      </c>
      <c r="R1438">
        <v>0</v>
      </c>
      <c r="S1438">
        <v>0</v>
      </c>
      <c r="T1438" t="str">
        <f>IF(mental_health[Sleep_Hours]&lt;5,"Low",IF(mental_health[Sleep_Hours]&lt;7,"Medium","Good"))</f>
        <v>Good</v>
      </c>
      <c r="U1438" t="str">
        <f>IF(mental_health[Stress_Level]&lt;=3,"Low",IF(mental_health[Stress_Level]&lt;=7,"Medium","High"))</f>
        <v>Medium</v>
      </c>
      <c r="V1438" t="str">
        <f>IF(mental_health[Daily_Screen_Time]&lt;=4,"Low",IF(mental_health[Daily_Screen_Time]&lt;=8,"Medium","High"))</f>
        <v>High</v>
      </c>
    </row>
    <row r="1439" spans="1:22" x14ac:dyDescent="0.3">
      <c r="A1439">
        <v>1438</v>
      </c>
      <c r="B1439">
        <v>29</v>
      </c>
      <c r="C1439" t="s">
        <v>18</v>
      </c>
      <c r="D1439" t="s">
        <v>19</v>
      </c>
      <c r="E1439">
        <v>6.8</v>
      </c>
      <c r="F1439">
        <v>4.9000000000000004</v>
      </c>
      <c r="G1439">
        <v>1</v>
      </c>
      <c r="H1439" t="str">
        <f t="shared" si="22"/>
        <v>Night Usage</v>
      </c>
      <c r="I1439">
        <v>3.1</v>
      </c>
      <c r="J1439" s="3">
        <v>9</v>
      </c>
      <c r="K1439">
        <v>7.2</v>
      </c>
      <c r="L1439" t="s">
        <v>21</v>
      </c>
      <c r="M1439">
        <v>9</v>
      </c>
      <c r="N1439">
        <v>1</v>
      </c>
      <c r="O1439">
        <v>1</v>
      </c>
      <c r="P1439">
        <v>1</v>
      </c>
      <c r="Q1439">
        <v>0</v>
      </c>
      <c r="R1439">
        <v>1</v>
      </c>
      <c r="S1439">
        <v>1</v>
      </c>
      <c r="T1439" t="str">
        <f>IF(mental_health[Sleep_Hours]&lt;5,"Low",IF(mental_health[Sleep_Hours]&lt;7,"Medium","Good"))</f>
        <v>Low</v>
      </c>
      <c r="U1439" t="str">
        <f>IF(mental_health[Stress_Level]&lt;=3,"Low",IF(mental_health[Stress_Level]&lt;=7,"Medium","High"))</f>
        <v>High</v>
      </c>
      <c r="V1439" t="str">
        <f>IF(mental_health[Daily_Screen_Time]&lt;=4,"Low",IF(mental_health[Daily_Screen_Time]&lt;=8,"Medium","High"))</f>
        <v>Medium</v>
      </c>
    </row>
    <row r="1440" spans="1:22" x14ac:dyDescent="0.3">
      <c r="A1440">
        <v>1439</v>
      </c>
      <c r="B1440">
        <v>45</v>
      </c>
      <c r="C1440" t="s">
        <v>23</v>
      </c>
      <c r="D1440" t="s">
        <v>19</v>
      </c>
      <c r="E1440">
        <v>2.7</v>
      </c>
      <c r="F1440">
        <v>1.4</v>
      </c>
      <c r="G1440">
        <v>1</v>
      </c>
      <c r="H1440" t="str">
        <f t="shared" si="22"/>
        <v>Night Usage</v>
      </c>
      <c r="I1440">
        <v>6.5</v>
      </c>
      <c r="J1440" s="3">
        <v>7</v>
      </c>
      <c r="K1440">
        <v>7.6</v>
      </c>
      <c r="L1440" t="s">
        <v>21</v>
      </c>
      <c r="M1440">
        <v>10</v>
      </c>
      <c r="N1440">
        <v>3</v>
      </c>
      <c r="O1440">
        <v>0</v>
      </c>
      <c r="P1440">
        <v>1</v>
      </c>
      <c r="Q1440">
        <v>1</v>
      </c>
      <c r="R1440">
        <v>0</v>
      </c>
      <c r="S1440">
        <v>1</v>
      </c>
      <c r="T1440" t="str">
        <f>IF(mental_health[Sleep_Hours]&lt;5,"Low",IF(mental_health[Sleep_Hours]&lt;7,"Medium","Good"))</f>
        <v>Medium</v>
      </c>
      <c r="U1440" t="str">
        <f>IF(mental_health[Stress_Level]&lt;=3,"Low",IF(mental_health[Stress_Level]&lt;=7,"Medium","High"))</f>
        <v>Medium</v>
      </c>
      <c r="V1440" t="str">
        <f>IF(mental_health[Daily_Screen_Time]&lt;=4,"Low",IF(mental_health[Daily_Screen_Time]&lt;=8,"Medium","High"))</f>
        <v>Low</v>
      </c>
    </row>
    <row r="1441" spans="1:22" x14ac:dyDescent="0.3">
      <c r="A1441">
        <v>1440</v>
      </c>
      <c r="B1441">
        <v>19</v>
      </c>
      <c r="C1441" t="s">
        <v>23</v>
      </c>
      <c r="D1441" t="s">
        <v>24</v>
      </c>
      <c r="E1441">
        <v>7.5</v>
      </c>
      <c r="F1441">
        <v>1.3</v>
      </c>
      <c r="G1441">
        <v>0</v>
      </c>
      <c r="H1441" t="str">
        <f t="shared" si="22"/>
        <v>No Night Usage</v>
      </c>
      <c r="I1441">
        <v>6</v>
      </c>
      <c r="J1441" s="3">
        <v>8</v>
      </c>
      <c r="K1441">
        <v>8.6999999999999993</v>
      </c>
      <c r="L1441" t="s">
        <v>20</v>
      </c>
      <c r="M1441">
        <v>1</v>
      </c>
      <c r="N1441">
        <v>3</v>
      </c>
      <c r="O1441">
        <v>1</v>
      </c>
      <c r="P1441">
        <v>0</v>
      </c>
      <c r="Q1441">
        <v>0</v>
      </c>
      <c r="R1441">
        <v>0</v>
      </c>
      <c r="S1441">
        <v>1</v>
      </c>
      <c r="T1441" t="str">
        <f>IF(mental_health[Sleep_Hours]&lt;5,"Low",IF(mental_health[Sleep_Hours]&lt;7,"Medium","Good"))</f>
        <v>Medium</v>
      </c>
      <c r="U1441" t="str">
        <f>IF(mental_health[Stress_Level]&lt;=3,"Low",IF(mental_health[Stress_Level]&lt;=7,"Medium","High"))</f>
        <v>High</v>
      </c>
      <c r="V1441" t="str">
        <f>IF(mental_health[Daily_Screen_Time]&lt;=4,"Low",IF(mental_health[Daily_Screen_Time]&lt;=8,"Medium","High"))</f>
        <v>Medium</v>
      </c>
    </row>
    <row r="1442" spans="1:22" x14ac:dyDescent="0.3">
      <c r="A1442">
        <v>1441</v>
      </c>
      <c r="B1442">
        <v>33</v>
      </c>
      <c r="C1442" t="s">
        <v>18</v>
      </c>
      <c r="D1442" t="s">
        <v>24</v>
      </c>
      <c r="E1442">
        <v>6.2</v>
      </c>
      <c r="F1442">
        <v>6</v>
      </c>
      <c r="G1442">
        <v>1</v>
      </c>
      <c r="H1442" t="str">
        <f t="shared" si="22"/>
        <v>Night Usage</v>
      </c>
      <c r="I1442">
        <v>8.1999999999999993</v>
      </c>
      <c r="J1442" s="3">
        <v>4</v>
      </c>
      <c r="K1442">
        <v>6.3</v>
      </c>
      <c r="L1442" t="s">
        <v>21</v>
      </c>
      <c r="M1442">
        <v>7</v>
      </c>
      <c r="N1442">
        <v>3</v>
      </c>
      <c r="O1442">
        <v>1</v>
      </c>
      <c r="P1442">
        <v>0</v>
      </c>
      <c r="Q1442">
        <v>1</v>
      </c>
      <c r="R1442">
        <v>0</v>
      </c>
      <c r="S1442">
        <v>0</v>
      </c>
      <c r="T1442" t="str">
        <f>IF(mental_health[Sleep_Hours]&lt;5,"Low",IF(mental_health[Sleep_Hours]&lt;7,"Medium","Good"))</f>
        <v>Good</v>
      </c>
      <c r="U1442" t="str">
        <f>IF(mental_health[Stress_Level]&lt;=3,"Low",IF(mental_health[Stress_Level]&lt;=7,"Medium","High"))</f>
        <v>Medium</v>
      </c>
      <c r="V1442" t="str">
        <f>IF(mental_health[Daily_Screen_Time]&lt;=4,"Low",IF(mental_health[Daily_Screen_Time]&lt;=8,"Medium","High"))</f>
        <v>Medium</v>
      </c>
    </row>
    <row r="1443" spans="1:22" x14ac:dyDescent="0.3">
      <c r="A1443">
        <v>1442</v>
      </c>
      <c r="B1443">
        <v>52</v>
      </c>
      <c r="C1443" t="s">
        <v>18</v>
      </c>
      <c r="D1443" t="s">
        <v>24</v>
      </c>
      <c r="E1443">
        <v>10.8</v>
      </c>
      <c r="F1443">
        <v>4.0999999999999996</v>
      </c>
      <c r="G1443">
        <v>1</v>
      </c>
      <c r="H1443" t="str">
        <f t="shared" si="22"/>
        <v>Night Usage</v>
      </c>
      <c r="I1443">
        <v>3.5</v>
      </c>
      <c r="J1443" s="3">
        <v>8</v>
      </c>
      <c r="K1443">
        <v>3.2</v>
      </c>
      <c r="L1443" t="s">
        <v>25</v>
      </c>
      <c r="M1443">
        <v>7</v>
      </c>
      <c r="N1443">
        <v>3</v>
      </c>
      <c r="O1443">
        <v>1</v>
      </c>
      <c r="P1443">
        <v>0</v>
      </c>
      <c r="Q1443">
        <v>1</v>
      </c>
      <c r="R1443">
        <v>1</v>
      </c>
      <c r="S1443">
        <v>1</v>
      </c>
      <c r="T1443" t="str">
        <f>IF(mental_health[Sleep_Hours]&lt;5,"Low",IF(mental_health[Sleep_Hours]&lt;7,"Medium","Good"))</f>
        <v>Low</v>
      </c>
      <c r="U1443" t="str">
        <f>IF(mental_health[Stress_Level]&lt;=3,"Low",IF(mental_health[Stress_Level]&lt;=7,"Medium","High"))</f>
        <v>High</v>
      </c>
      <c r="V1443" t="str">
        <f>IF(mental_health[Daily_Screen_Time]&lt;=4,"Low",IF(mental_health[Daily_Screen_Time]&lt;=8,"Medium","High"))</f>
        <v>High</v>
      </c>
    </row>
    <row r="1444" spans="1:22" x14ac:dyDescent="0.3">
      <c r="A1444">
        <v>1443</v>
      </c>
      <c r="B1444">
        <v>40</v>
      </c>
      <c r="C1444" t="s">
        <v>23</v>
      </c>
      <c r="D1444" t="s">
        <v>22</v>
      </c>
      <c r="E1444">
        <v>4</v>
      </c>
      <c r="F1444">
        <v>2.8</v>
      </c>
      <c r="G1444">
        <v>1</v>
      </c>
      <c r="H1444" t="str">
        <f t="shared" si="22"/>
        <v>Night Usage</v>
      </c>
      <c r="I1444">
        <v>7.1</v>
      </c>
      <c r="J1444" s="3">
        <v>6</v>
      </c>
      <c r="K1444">
        <v>3</v>
      </c>
      <c r="L1444" t="s">
        <v>20</v>
      </c>
      <c r="M1444">
        <v>4</v>
      </c>
      <c r="N1444">
        <v>3</v>
      </c>
      <c r="O1444">
        <v>0</v>
      </c>
      <c r="P1444">
        <v>1</v>
      </c>
      <c r="Q1444">
        <v>0</v>
      </c>
      <c r="R1444">
        <v>0</v>
      </c>
      <c r="S1444">
        <v>0</v>
      </c>
      <c r="T1444" t="str">
        <f>IF(mental_health[Sleep_Hours]&lt;5,"Low",IF(mental_health[Sleep_Hours]&lt;7,"Medium","Good"))</f>
        <v>Good</v>
      </c>
      <c r="U1444" t="str">
        <f>IF(mental_health[Stress_Level]&lt;=3,"Low",IF(mental_health[Stress_Level]&lt;=7,"Medium","High"))</f>
        <v>Medium</v>
      </c>
      <c r="V1444" t="str">
        <f>IF(mental_health[Daily_Screen_Time]&lt;=4,"Low",IF(mental_health[Daily_Screen_Time]&lt;=8,"Medium","High"))</f>
        <v>Low</v>
      </c>
    </row>
    <row r="1445" spans="1:22" x14ac:dyDescent="0.3">
      <c r="A1445">
        <v>1444</v>
      </c>
      <c r="B1445">
        <v>16</v>
      </c>
      <c r="C1445" t="s">
        <v>18</v>
      </c>
      <c r="D1445" t="s">
        <v>22</v>
      </c>
      <c r="E1445">
        <v>10.3</v>
      </c>
      <c r="F1445">
        <v>2.2999999999999998</v>
      </c>
      <c r="G1445">
        <v>0</v>
      </c>
      <c r="H1445" t="str">
        <f t="shared" si="22"/>
        <v>No Night Usage</v>
      </c>
      <c r="I1445">
        <v>7.1</v>
      </c>
      <c r="J1445" s="3">
        <v>5</v>
      </c>
      <c r="K1445">
        <v>9.5</v>
      </c>
      <c r="L1445" t="s">
        <v>21</v>
      </c>
      <c r="M1445">
        <v>1</v>
      </c>
      <c r="N1445">
        <v>4</v>
      </c>
      <c r="O1445">
        <v>0</v>
      </c>
      <c r="P1445">
        <v>0</v>
      </c>
      <c r="Q1445">
        <v>0</v>
      </c>
      <c r="R1445">
        <v>0</v>
      </c>
      <c r="S1445">
        <v>0</v>
      </c>
      <c r="T1445" t="str">
        <f>IF(mental_health[Sleep_Hours]&lt;5,"Low",IF(mental_health[Sleep_Hours]&lt;7,"Medium","Good"))</f>
        <v>Good</v>
      </c>
      <c r="U1445" t="str">
        <f>IF(mental_health[Stress_Level]&lt;=3,"Low",IF(mental_health[Stress_Level]&lt;=7,"Medium","High"))</f>
        <v>Medium</v>
      </c>
      <c r="V1445" t="str">
        <f>IF(mental_health[Daily_Screen_Time]&lt;=4,"Low",IF(mental_health[Daily_Screen_Time]&lt;=8,"Medium","High"))</f>
        <v>High</v>
      </c>
    </row>
    <row r="1446" spans="1:22" x14ac:dyDescent="0.3">
      <c r="A1446">
        <v>1445</v>
      </c>
      <c r="B1446">
        <v>30</v>
      </c>
      <c r="C1446" t="s">
        <v>23</v>
      </c>
      <c r="D1446" t="s">
        <v>19</v>
      </c>
      <c r="E1446">
        <v>7.6</v>
      </c>
      <c r="F1446">
        <v>5.7</v>
      </c>
      <c r="G1446">
        <v>1</v>
      </c>
      <c r="H1446" t="str">
        <f t="shared" si="22"/>
        <v>Night Usage</v>
      </c>
      <c r="I1446">
        <v>7</v>
      </c>
      <c r="J1446" s="3">
        <v>7</v>
      </c>
      <c r="K1446">
        <v>4.2</v>
      </c>
      <c r="L1446" t="s">
        <v>25</v>
      </c>
      <c r="M1446">
        <v>3</v>
      </c>
      <c r="N1446">
        <v>2</v>
      </c>
      <c r="O1446">
        <v>1</v>
      </c>
      <c r="P1446">
        <v>0</v>
      </c>
      <c r="Q1446">
        <v>1</v>
      </c>
      <c r="R1446">
        <v>1</v>
      </c>
      <c r="S1446">
        <v>1</v>
      </c>
      <c r="T1446" t="str">
        <f>IF(mental_health[Sleep_Hours]&lt;5,"Low",IF(mental_health[Sleep_Hours]&lt;7,"Medium","Good"))</f>
        <v>Good</v>
      </c>
      <c r="U1446" t="str">
        <f>IF(mental_health[Stress_Level]&lt;=3,"Low",IF(mental_health[Stress_Level]&lt;=7,"Medium","High"))</f>
        <v>Medium</v>
      </c>
      <c r="V1446" t="str">
        <f>IF(mental_health[Daily_Screen_Time]&lt;=4,"Low",IF(mental_health[Daily_Screen_Time]&lt;=8,"Medium","High"))</f>
        <v>Medium</v>
      </c>
    </row>
    <row r="1447" spans="1:22" x14ac:dyDescent="0.3">
      <c r="A1447">
        <v>1446</v>
      </c>
      <c r="B1447">
        <v>24</v>
      </c>
      <c r="C1447" t="s">
        <v>18</v>
      </c>
      <c r="D1447" t="s">
        <v>24</v>
      </c>
      <c r="E1447">
        <v>2.5</v>
      </c>
      <c r="F1447">
        <v>1</v>
      </c>
      <c r="G1447">
        <v>1</v>
      </c>
      <c r="H1447" t="str">
        <f t="shared" si="22"/>
        <v>Night Usage</v>
      </c>
      <c r="I1447">
        <v>8.6999999999999993</v>
      </c>
      <c r="J1447" s="3">
        <v>6</v>
      </c>
      <c r="K1447">
        <v>2.2999999999999998</v>
      </c>
      <c r="L1447" t="s">
        <v>20</v>
      </c>
      <c r="M1447">
        <v>5</v>
      </c>
      <c r="N1447">
        <v>4</v>
      </c>
      <c r="O1447">
        <v>0</v>
      </c>
      <c r="P1447">
        <v>0</v>
      </c>
      <c r="Q1447">
        <v>0</v>
      </c>
      <c r="R1447">
        <v>1</v>
      </c>
      <c r="S1447">
        <v>0</v>
      </c>
      <c r="T1447" t="str">
        <f>IF(mental_health[Sleep_Hours]&lt;5,"Low",IF(mental_health[Sleep_Hours]&lt;7,"Medium","Good"))</f>
        <v>Good</v>
      </c>
      <c r="U1447" t="str">
        <f>IF(mental_health[Stress_Level]&lt;=3,"Low",IF(mental_health[Stress_Level]&lt;=7,"Medium","High"))</f>
        <v>Medium</v>
      </c>
      <c r="V1447" t="str">
        <f>IF(mental_health[Daily_Screen_Time]&lt;=4,"Low",IF(mental_health[Daily_Screen_Time]&lt;=8,"Medium","High"))</f>
        <v>Low</v>
      </c>
    </row>
    <row r="1448" spans="1:22" x14ac:dyDescent="0.3">
      <c r="A1448">
        <v>1447</v>
      </c>
      <c r="B1448">
        <v>30</v>
      </c>
      <c r="C1448" t="s">
        <v>23</v>
      </c>
      <c r="D1448" t="s">
        <v>19</v>
      </c>
      <c r="E1448">
        <v>11.7</v>
      </c>
      <c r="F1448">
        <v>6.6</v>
      </c>
      <c r="G1448">
        <v>0</v>
      </c>
      <c r="H1448" t="str">
        <f t="shared" si="22"/>
        <v>No Night Usage</v>
      </c>
      <c r="I1448">
        <v>7.9</v>
      </c>
      <c r="J1448" s="3">
        <v>3</v>
      </c>
      <c r="K1448">
        <v>11.8</v>
      </c>
      <c r="L1448" t="s">
        <v>25</v>
      </c>
      <c r="M1448">
        <v>2</v>
      </c>
      <c r="N1448">
        <v>2</v>
      </c>
      <c r="O1448">
        <v>1</v>
      </c>
      <c r="P1448">
        <v>0</v>
      </c>
      <c r="Q1448">
        <v>1</v>
      </c>
      <c r="R1448">
        <v>1</v>
      </c>
      <c r="S1448">
        <v>0</v>
      </c>
      <c r="T1448" t="str">
        <f>IF(mental_health[Sleep_Hours]&lt;5,"Low",IF(mental_health[Sleep_Hours]&lt;7,"Medium","Good"))</f>
        <v>Good</v>
      </c>
      <c r="U1448" t="str">
        <f>IF(mental_health[Stress_Level]&lt;=3,"Low",IF(mental_health[Stress_Level]&lt;=7,"Medium","High"))</f>
        <v>Low</v>
      </c>
      <c r="V1448" t="str">
        <f>IF(mental_health[Daily_Screen_Time]&lt;=4,"Low",IF(mental_health[Daily_Screen_Time]&lt;=8,"Medium","High"))</f>
        <v>High</v>
      </c>
    </row>
    <row r="1449" spans="1:22" x14ac:dyDescent="0.3">
      <c r="A1449">
        <v>1448</v>
      </c>
      <c r="B1449">
        <v>39</v>
      </c>
      <c r="C1449" t="s">
        <v>18</v>
      </c>
      <c r="D1449" t="s">
        <v>24</v>
      </c>
      <c r="E1449">
        <v>7.1</v>
      </c>
      <c r="F1449">
        <v>1.6</v>
      </c>
      <c r="G1449">
        <v>1</v>
      </c>
      <c r="H1449" t="str">
        <f t="shared" si="22"/>
        <v>Night Usage</v>
      </c>
      <c r="I1449">
        <v>3.3</v>
      </c>
      <c r="J1449" s="3">
        <v>5</v>
      </c>
      <c r="K1449">
        <v>11.8</v>
      </c>
      <c r="L1449" t="s">
        <v>21</v>
      </c>
      <c r="M1449">
        <v>7</v>
      </c>
      <c r="N1449">
        <v>4</v>
      </c>
      <c r="O1449">
        <v>0</v>
      </c>
      <c r="P1449">
        <v>0</v>
      </c>
      <c r="Q1449">
        <v>0</v>
      </c>
      <c r="R1449">
        <v>1</v>
      </c>
      <c r="S1449">
        <v>1</v>
      </c>
      <c r="T1449" t="str">
        <f>IF(mental_health[Sleep_Hours]&lt;5,"Low",IF(mental_health[Sleep_Hours]&lt;7,"Medium","Good"))</f>
        <v>Low</v>
      </c>
      <c r="U1449" t="str">
        <f>IF(mental_health[Stress_Level]&lt;=3,"Low",IF(mental_health[Stress_Level]&lt;=7,"Medium","High"))</f>
        <v>Medium</v>
      </c>
      <c r="V1449" t="str">
        <f>IF(mental_health[Daily_Screen_Time]&lt;=4,"Low",IF(mental_health[Daily_Screen_Time]&lt;=8,"Medium","High"))</f>
        <v>Medium</v>
      </c>
    </row>
    <row r="1450" spans="1:22" x14ac:dyDescent="0.3">
      <c r="A1450">
        <v>1449</v>
      </c>
      <c r="B1450">
        <v>19</v>
      </c>
      <c r="C1450" t="s">
        <v>18</v>
      </c>
      <c r="D1450" t="s">
        <v>24</v>
      </c>
      <c r="E1450">
        <v>4.9000000000000004</v>
      </c>
      <c r="F1450">
        <v>2.2999999999999998</v>
      </c>
      <c r="G1450">
        <v>1</v>
      </c>
      <c r="H1450" t="str">
        <f t="shared" si="22"/>
        <v>Night Usage</v>
      </c>
      <c r="I1450">
        <v>5.8</v>
      </c>
      <c r="J1450" s="3">
        <v>9</v>
      </c>
      <c r="K1450">
        <v>5.8</v>
      </c>
      <c r="L1450" t="s">
        <v>25</v>
      </c>
      <c r="M1450">
        <v>10</v>
      </c>
      <c r="N1450">
        <v>1</v>
      </c>
      <c r="O1450">
        <v>0</v>
      </c>
      <c r="P1450">
        <v>0</v>
      </c>
      <c r="Q1450">
        <v>1</v>
      </c>
      <c r="R1450">
        <v>1</v>
      </c>
      <c r="S1450">
        <v>1</v>
      </c>
      <c r="T1450" t="str">
        <f>IF(mental_health[Sleep_Hours]&lt;5,"Low",IF(mental_health[Sleep_Hours]&lt;7,"Medium","Good"))</f>
        <v>Medium</v>
      </c>
      <c r="U1450" t="str">
        <f>IF(mental_health[Stress_Level]&lt;=3,"Low",IF(mental_health[Stress_Level]&lt;=7,"Medium","High"))</f>
        <v>High</v>
      </c>
      <c r="V1450" t="str">
        <f>IF(mental_health[Daily_Screen_Time]&lt;=4,"Low",IF(mental_health[Daily_Screen_Time]&lt;=8,"Medium","High"))</f>
        <v>Medium</v>
      </c>
    </row>
    <row r="1451" spans="1:22" x14ac:dyDescent="0.3">
      <c r="A1451">
        <v>1450</v>
      </c>
      <c r="B1451">
        <v>27</v>
      </c>
      <c r="C1451" t="s">
        <v>23</v>
      </c>
      <c r="D1451" t="s">
        <v>24</v>
      </c>
      <c r="E1451">
        <v>6.7</v>
      </c>
      <c r="F1451">
        <v>3.7</v>
      </c>
      <c r="G1451">
        <v>1</v>
      </c>
      <c r="H1451" t="str">
        <f t="shared" si="22"/>
        <v>Night Usage</v>
      </c>
      <c r="I1451">
        <v>5.4</v>
      </c>
      <c r="J1451" s="3">
        <v>7</v>
      </c>
      <c r="K1451">
        <v>2.2999999999999998</v>
      </c>
      <c r="L1451" t="s">
        <v>20</v>
      </c>
      <c r="M1451">
        <v>10</v>
      </c>
      <c r="N1451">
        <v>0</v>
      </c>
      <c r="O1451">
        <v>0</v>
      </c>
      <c r="P1451">
        <v>0</v>
      </c>
      <c r="Q1451">
        <v>1</v>
      </c>
      <c r="R1451">
        <v>0</v>
      </c>
      <c r="S1451">
        <v>0</v>
      </c>
      <c r="T1451" t="str">
        <f>IF(mental_health[Sleep_Hours]&lt;5,"Low",IF(mental_health[Sleep_Hours]&lt;7,"Medium","Good"))</f>
        <v>Medium</v>
      </c>
      <c r="U1451" t="str">
        <f>IF(mental_health[Stress_Level]&lt;=3,"Low",IF(mental_health[Stress_Level]&lt;=7,"Medium","High"))</f>
        <v>Medium</v>
      </c>
      <c r="V1451" t="str">
        <f>IF(mental_health[Daily_Screen_Time]&lt;=4,"Low",IF(mental_health[Daily_Screen_Time]&lt;=8,"Medium","High"))</f>
        <v>Medium</v>
      </c>
    </row>
    <row r="1452" spans="1:22" x14ac:dyDescent="0.3">
      <c r="A1452">
        <v>1451</v>
      </c>
      <c r="B1452">
        <v>52</v>
      </c>
      <c r="C1452" t="s">
        <v>23</v>
      </c>
      <c r="D1452" t="s">
        <v>22</v>
      </c>
      <c r="E1452">
        <v>10.6</v>
      </c>
      <c r="F1452">
        <v>4.4000000000000004</v>
      </c>
      <c r="G1452">
        <v>0</v>
      </c>
      <c r="H1452" t="str">
        <f t="shared" si="22"/>
        <v>No Night Usage</v>
      </c>
      <c r="I1452">
        <v>4.9000000000000004</v>
      </c>
      <c r="J1452" s="3">
        <v>4</v>
      </c>
      <c r="K1452">
        <v>9.3000000000000007</v>
      </c>
      <c r="L1452" t="s">
        <v>25</v>
      </c>
      <c r="M1452">
        <v>7</v>
      </c>
      <c r="N1452">
        <v>3</v>
      </c>
      <c r="O1452">
        <v>0</v>
      </c>
      <c r="P1452">
        <v>0</v>
      </c>
      <c r="Q1452">
        <v>1</v>
      </c>
      <c r="R1452">
        <v>0</v>
      </c>
      <c r="S1452">
        <v>0</v>
      </c>
      <c r="T1452" t="str">
        <f>IF(mental_health[Sleep_Hours]&lt;5,"Low",IF(mental_health[Sleep_Hours]&lt;7,"Medium","Good"))</f>
        <v>Low</v>
      </c>
      <c r="U1452" t="str">
        <f>IF(mental_health[Stress_Level]&lt;=3,"Low",IF(mental_health[Stress_Level]&lt;=7,"Medium","High"))</f>
        <v>Medium</v>
      </c>
      <c r="V1452" t="str">
        <f>IF(mental_health[Daily_Screen_Time]&lt;=4,"Low",IF(mental_health[Daily_Screen_Time]&lt;=8,"Medium","High"))</f>
        <v>High</v>
      </c>
    </row>
    <row r="1453" spans="1:22" x14ac:dyDescent="0.3">
      <c r="A1453">
        <v>1452</v>
      </c>
      <c r="B1453">
        <v>52</v>
      </c>
      <c r="C1453" t="s">
        <v>23</v>
      </c>
      <c r="D1453" t="s">
        <v>22</v>
      </c>
      <c r="E1453">
        <v>5</v>
      </c>
      <c r="F1453">
        <v>3.5</v>
      </c>
      <c r="G1453">
        <v>1</v>
      </c>
      <c r="H1453" t="str">
        <f t="shared" si="22"/>
        <v>Night Usage</v>
      </c>
      <c r="I1453">
        <v>5.7</v>
      </c>
      <c r="J1453" s="3">
        <v>7</v>
      </c>
      <c r="K1453">
        <v>10.3</v>
      </c>
      <c r="L1453" t="s">
        <v>21</v>
      </c>
      <c r="M1453">
        <v>10</v>
      </c>
      <c r="N1453">
        <v>0</v>
      </c>
      <c r="O1453">
        <v>0</v>
      </c>
      <c r="P1453">
        <v>0</v>
      </c>
      <c r="Q1453">
        <v>0</v>
      </c>
      <c r="R1453">
        <v>0</v>
      </c>
      <c r="S1453">
        <v>0</v>
      </c>
      <c r="T1453" t="str">
        <f>IF(mental_health[Sleep_Hours]&lt;5,"Low",IF(mental_health[Sleep_Hours]&lt;7,"Medium","Good"))</f>
        <v>Medium</v>
      </c>
      <c r="U1453" t="str">
        <f>IF(mental_health[Stress_Level]&lt;=3,"Low",IF(mental_health[Stress_Level]&lt;=7,"Medium","High"))</f>
        <v>Medium</v>
      </c>
      <c r="V1453" t="str">
        <f>IF(mental_health[Daily_Screen_Time]&lt;=4,"Low",IF(mental_health[Daily_Screen_Time]&lt;=8,"Medium","High"))</f>
        <v>Medium</v>
      </c>
    </row>
    <row r="1454" spans="1:22" x14ac:dyDescent="0.3">
      <c r="A1454">
        <v>1453</v>
      </c>
      <c r="B1454">
        <v>58</v>
      </c>
      <c r="C1454" t="s">
        <v>23</v>
      </c>
      <c r="D1454" t="s">
        <v>24</v>
      </c>
      <c r="E1454">
        <v>3.9</v>
      </c>
      <c r="F1454">
        <v>3.2</v>
      </c>
      <c r="G1454">
        <v>0</v>
      </c>
      <c r="H1454" t="str">
        <f t="shared" si="22"/>
        <v>No Night Usage</v>
      </c>
      <c r="I1454">
        <v>5.3</v>
      </c>
      <c r="J1454" s="3">
        <v>5</v>
      </c>
      <c r="K1454">
        <v>3.3</v>
      </c>
      <c r="L1454" t="s">
        <v>20</v>
      </c>
      <c r="M1454">
        <v>5</v>
      </c>
      <c r="N1454">
        <v>0</v>
      </c>
      <c r="O1454">
        <v>1</v>
      </c>
      <c r="P1454">
        <v>1</v>
      </c>
      <c r="Q1454">
        <v>0</v>
      </c>
      <c r="R1454">
        <v>0</v>
      </c>
      <c r="S1454">
        <v>1</v>
      </c>
      <c r="T1454" t="str">
        <f>IF(mental_health[Sleep_Hours]&lt;5,"Low",IF(mental_health[Sleep_Hours]&lt;7,"Medium","Good"))</f>
        <v>Medium</v>
      </c>
      <c r="U1454" t="str">
        <f>IF(mental_health[Stress_Level]&lt;=3,"Low",IF(mental_health[Stress_Level]&lt;=7,"Medium","High"))</f>
        <v>Medium</v>
      </c>
      <c r="V1454" t="str">
        <f>IF(mental_health[Daily_Screen_Time]&lt;=4,"Low",IF(mental_health[Daily_Screen_Time]&lt;=8,"Medium","High"))</f>
        <v>Low</v>
      </c>
    </row>
    <row r="1455" spans="1:22" x14ac:dyDescent="0.3">
      <c r="A1455">
        <v>1454</v>
      </c>
      <c r="B1455">
        <v>21</v>
      </c>
      <c r="C1455" t="s">
        <v>23</v>
      </c>
      <c r="D1455" t="s">
        <v>19</v>
      </c>
      <c r="E1455">
        <v>3.3</v>
      </c>
      <c r="F1455">
        <v>7.7</v>
      </c>
      <c r="G1455">
        <v>1</v>
      </c>
      <c r="H1455" t="str">
        <f t="shared" si="22"/>
        <v>Night Usage</v>
      </c>
      <c r="I1455">
        <v>5.6</v>
      </c>
      <c r="J1455" s="3">
        <v>2</v>
      </c>
      <c r="K1455">
        <v>3.4</v>
      </c>
      <c r="L1455" t="s">
        <v>20</v>
      </c>
      <c r="M1455">
        <v>10</v>
      </c>
      <c r="N1455">
        <v>1</v>
      </c>
      <c r="O1455">
        <v>0</v>
      </c>
      <c r="P1455">
        <v>0</v>
      </c>
      <c r="Q1455">
        <v>0</v>
      </c>
      <c r="R1455">
        <v>0</v>
      </c>
      <c r="S1455">
        <v>0</v>
      </c>
      <c r="T1455" t="str">
        <f>IF(mental_health[Sleep_Hours]&lt;5,"Low",IF(mental_health[Sleep_Hours]&lt;7,"Medium","Good"))</f>
        <v>Medium</v>
      </c>
      <c r="U1455" t="str">
        <f>IF(mental_health[Stress_Level]&lt;=3,"Low",IF(mental_health[Stress_Level]&lt;=7,"Medium","High"))</f>
        <v>Low</v>
      </c>
      <c r="V1455" t="str">
        <f>IF(mental_health[Daily_Screen_Time]&lt;=4,"Low",IF(mental_health[Daily_Screen_Time]&lt;=8,"Medium","High"))</f>
        <v>Low</v>
      </c>
    </row>
    <row r="1456" spans="1:22" x14ac:dyDescent="0.3">
      <c r="A1456">
        <v>1455</v>
      </c>
      <c r="B1456">
        <v>54</v>
      </c>
      <c r="C1456" t="s">
        <v>18</v>
      </c>
      <c r="D1456" t="s">
        <v>24</v>
      </c>
      <c r="E1456">
        <v>5</v>
      </c>
      <c r="F1456">
        <v>5.5</v>
      </c>
      <c r="G1456">
        <v>1</v>
      </c>
      <c r="H1456" t="str">
        <f t="shared" si="22"/>
        <v>Night Usage</v>
      </c>
      <c r="I1456">
        <v>8.9</v>
      </c>
      <c r="J1456" s="3">
        <v>6</v>
      </c>
      <c r="K1456">
        <v>10.199999999999999</v>
      </c>
      <c r="L1456" t="s">
        <v>21</v>
      </c>
      <c r="M1456">
        <v>6</v>
      </c>
      <c r="N1456">
        <v>0</v>
      </c>
      <c r="O1456">
        <v>0</v>
      </c>
      <c r="P1456">
        <v>0</v>
      </c>
      <c r="Q1456">
        <v>0</v>
      </c>
      <c r="R1456">
        <v>0</v>
      </c>
      <c r="S1456">
        <v>0</v>
      </c>
      <c r="T1456" t="str">
        <f>IF(mental_health[Sleep_Hours]&lt;5,"Low",IF(mental_health[Sleep_Hours]&lt;7,"Medium","Good"))</f>
        <v>Good</v>
      </c>
      <c r="U1456" t="str">
        <f>IF(mental_health[Stress_Level]&lt;=3,"Low",IF(mental_health[Stress_Level]&lt;=7,"Medium","High"))</f>
        <v>Medium</v>
      </c>
      <c r="V1456" t="str">
        <f>IF(mental_health[Daily_Screen_Time]&lt;=4,"Low",IF(mental_health[Daily_Screen_Time]&lt;=8,"Medium","High"))</f>
        <v>Medium</v>
      </c>
    </row>
    <row r="1457" spans="1:22" x14ac:dyDescent="0.3">
      <c r="A1457">
        <v>1456</v>
      </c>
      <c r="B1457">
        <v>39</v>
      </c>
      <c r="C1457" t="s">
        <v>23</v>
      </c>
      <c r="D1457" t="s">
        <v>24</v>
      </c>
      <c r="E1457">
        <v>9.8000000000000007</v>
      </c>
      <c r="F1457">
        <v>1.2</v>
      </c>
      <c r="G1457">
        <v>1</v>
      </c>
      <c r="H1457" t="str">
        <f t="shared" si="22"/>
        <v>Night Usage</v>
      </c>
      <c r="I1457">
        <v>3.5</v>
      </c>
      <c r="J1457" s="3">
        <v>7</v>
      </c>
      <c r="K1457">
        <v>11.2</v>
      </c>
      <c r="L1457" t="s">
        <v>25</v>
      </c>
      <c r="M1457">
        <v>1</v>
      </c>
      <c r="N1457">
        <v>0</v>
      </c>
      <c r="O1457">
        <v>0</v>
      </c>
      <c r="P1457">
        <v>0</v>
      </c>
      <c r="Q1457">
        <v>1</v>
      </c>
      <c r="R1457">
        <v>0</v>
      </c>
      <c r="S1457">
        <v>1</v>
      </c>
      <c r="T1457" t="str">
        <f>IF(mental_health[Sleep_Hours]&lt;5,"Low",IF(mental_health[Sleep_Hours]&lt;7,"Medium","Good"))</f>
        <v>Low</v>
      </c>
      <c r="U1457" t="str">
        <f>IF(mental_health[Stress_Level]&lt;=3,"Low",IF(mental_health[Stress_Level]&lt;=7,"Medium","High"))</f>
        <v>Medium</v>
      </c>
      <c r="V1457" t="str">
        <f>IF(mental_health[Daily_Screen_Time]&lt;=4,"Low",IF(mental_health[Daily_Screen_Time]&lt;=8,"Medium","High"))</f>
        <v>High</v>
      </c>
    </row>
    <row r="1458" spans="1:22" x14ac:dyDescent="0.3">
      <c r="A1458">
        <v>1457</v>
      </c>
      <c r="B1458">
        <v>26</v>
      </c>
      <c r="C1458" t="s">
        <v>23</v>
      </c>
      <c r="D1458" t="s">
        <v>19</v>
      </c>
      <c r="E1458">
        <v>6.7</v>
      </c>
      <c r="F1458">
        <v>4</v>
      </c>
      <c r="G1458">
        <v>1</v>
      </c>
      <c r="H1458" t="str">
        <f t="shared" si="22"/>
        <v>Night Usage</v>
      </c>
      <c r="I1458">
        <v>8.5</v>
      </c>
      <c r="J1458" s="3">
        <v>8</v>
      </c>
      <c r="K1458">
        <v>9.9</v>
      </c>
      <c r="L1458" t="s">
        <v>25</v>
      </c>
      <c r="M1458">
        <v>4</v>
      </c>
      <c r="N1458">
        <v>1</v>
      </c>
      <c r="O1458">
        <v>0</v>
      </c>
      <c r="P1458">
        <v>1</v>
      </c>
      <c r="Q1458">
        <v>1</v>
      </c>
      <c r="R1458">
        <v>0</v>
      </c>
      <c r="S1458">
        <v>1</v>
      </c>
      <c r="T1458" t="str">
        <f>IF(mental_health[Sleep_Hours]&lt;5,"Low",IF(mental_health[Sleep_Hours]&lt;7,"Medium","Good"))</f>
        <v>Good</v>
      </c>
      <c r="U1458" t="str">
        <f>IF(mental_health[Stress_Level]&lt;=3,"Low",IF(mental_health[Stress_Level]&lt;=7,"Medium","High"))</f>
        <v>High</v>
      </c>
      <c r="V1458" t="str">
        <f>IF(mental_health[Daily_Screen_Time]&lt;=4,"Low",IF(mental_health[Daily_Screen_Time]&lt;=8,"Medium","High"))</f>
        <v>Medium</v>
      </c>
    </row>
    <row r="1459" spans="1:22" x14ac:dyDescent="0.3">
      <c r="A1459">
        <v>1458</v>
      </c>
      <c r="B1459">
        <v>28</v>
      </c>
      <c r="C1459" t="s">
        <v>18</v>
      </c>
      <c r="D1459" t="s">
        <v>24</v>
      </c>
      <c r="E1459">
        <v>4.3</v>
      </c>
      <c r="F1459">
        <v>7.1</v>
      </c>
      <c r="G1459">
        <v>0</v>
      </c>
      <c r="H1459" t="str">
        <f t="shared" si="22"/>
        <v>No Night Usage</v>
      </c>
      <c r="I1459">
        <v>5.9</v>
      </c>
      <c r="J1459" s="3">
        <v>6</v>
      </c>
      <c r="K1459">
        <v>4</v>
      </c>
      <c r="L1459" t="s">
        <v>21</v>
      </c>
      <c r="M1459">
        <v>4</v>
      </c>
      <c r="N1459">
        <v>2</v>
      </c>
      <c r="O1459">
        <v>0</v>
      </c>
      <c r="P1459">
        <v>1</v>
      </c>
      <c r="Q1459">
        <v>0</v>
      </c>
      <c r="R1459">
        <v>1</v>
      </c>
      <c r="S1459">
        <v>1</v>
      </c>
      <c r="T1459" t="str">
        <f>IF(mental_health[Sleep_Hours]&lt;5,"Low",IF(mental_health[Sleep_Hours]&lt;7,"Medium","Good"))</f>
        <v>Medium</v>
      </c>
      <c r="U1459" t="str">
        <f>IF(mental_health[Stress_Level]&lt;=3,"Low",IF(mental_health[Stress_Level]&lt;=7,"Medium","High"))</f>
        <v>Medium</v>
      </c>
      <c r="V1459" t="str">
        <f>IF(mental_health[Daily_Screen_Time]&lt;=4,"Low",IF(mental_health[Daily_Screen_Time]&lt;=8,"Medium","High"))</f>
        <v>Medium</v>
      </c>
    </row>
    <row r="1460" spans="1:22" x14ac:dyDescent="0.3">
      <c r="A1460">
        <v>1459</v>
      </c>
      <c r="B1460">
        <v>49</v>
      </c>
      <c r="C1460" t="s">
        <v>18</v>
      </c>
      <c r="D1460" t="s">
        <v>19</v>
      </c>
      <c r="E1460">
        <v>3.7</v>
      </c>
      <c r="F1460">
        <v>3.1</v>
      </c>
      <c r="G1460">
        <v>1</v>
      </c>
      <c r="H1460" t="str">
        <f t="shared" si="22"/>
        <v>Night Usage</v>
      </c>
      <c r="I1460">
        <v>6.7</v>
      </c>
      <c r="J1460" s="3">
        <v>8</v>
      </c>
      <c r="K1460">
        <v>6.1</v>
      </c>
      <c r="L1460" t="s">
        <v>20</v>
      </c>
      <c r="M1460">
        <v>8</v>
      </c>
      <c r="N1460">
        <v>4</v>
      </c>
      <c r="O1460">
        <v>1</v>
      </c>
      <c r="P1460">
        <v>0</v>
      </c>
      <c r="Q1460">
        <v>1</v>
      </c>
      <c r="R1460">
        <v>1</v>
      </c>
      <c r="S1460">
        <v>1</v>
      </c>
      <c r="T1460" t="str">
        <f>IF(mental_health[Sleep_Hours]&lt;5,"Low",IF(mental_health[Sleep_Hours]&lt;7,"Medium","Good"))</f>
        <v>Medium</v>
      </c>
      <c r="U1460" t="str">
        <f>IF(mental_health[Stress_Level]&lt;=3,"Low",IF(mental_health[Stress_Level]&lt;=7,"Medium","High"))</f>
        <v>High</v>
      </c>
      <c r="V1460" t="str">
        <f>IF(mental_health[Daily_Screen_Time]&lt;=4,"Low",IF(mental_health[Daily_Screen_Time]&lt;=8,"Medium","High"))</f>
        <v>Low</v>
      </c>
    </row>
    <row r="1461" spans="1:22" x14ac:dyDescent="0.3">
      <c r="A1461">
        <v>1460</v>
      </c>
      <c r="B1461">
        <v>40</v>
      </c>
      <c r="C1461" t="s">
        <v>23</v>
      </c>
      <c r="D1461" t="s">
        <v>22</v>
      </c>
      <c r="E1461">
        <v>5.3</v>
      </c>
      <c r="F1461">
        <v>1.7</v>
      </c>
      <c r="G1461">
        <v>0</v>
      </c>
      <c r="H1461" t="str">
        <f t="shared" si="22"/>
        <v>No Night Usage</v>
      </c>
      <c r="I1461">
        <v>8</v>
      </c>
      <c r="J1461" s="3">
        <v>7</v>
      </c>
      <c r="K1461">
        <v>8</v>
      </c>
      <c r="L1461" t="s">
        <v>21</v>
      </c>
      <c r="M1461">
        <v>2</v>
      </c>
      <c r="N1461">
        <v>0</v>
      </c>
      <c r="O1461">
        <v>1</v>
      </c>
      <c r="P1461">
        <v>1</v>
      </c>
      <c r="Q1461">
        <v>1</v>
      </c>
      <c r="R1461">
        <v>1</v>
      </c>
      <c r="S1461">
        <v>1</v>
      </c>
      <c r="T1461" t="str">
        <f>IF(mental_health[Sleep_Hours]&lt;5,"Low",IF(mental_health[Sleep_Hours]&lt;7,"Medium","Good"))</f>
        <v>Good</v>
      </c>
      <c r="U1461" t="str">
        <f>IF(mental_health[Stress_Level]&lt;=3,"Low",IF(mental_health[Stress_Level]&lt;=7,"Medium","High"))</f>
        <v>Medium</v>
      </c>
      <c r="V1461" t="str">
        <f>IF(mental_health[Daily_Screen_Time]&lt;=4,"Low",IF(mental_health[Daily_Screen_Time]&lt;=8,"Medium","High"))</f>
        <v>Medium</v>
      </c>
    </row>
    <row r="1462" spans="1:22" x14ac:dyDescent="0.3">
      <c r="A1462">
        <v>1461</v>
      </c>
      <c r="B1462">
        <v>22</v>
      </c>
      <c r="C1462" t="s">
        <v>18</v>
      </c>
      <c r="D1462" t="s">
        <v>22</v>
      </c>
      <c r="E1462">
        <v>11.4</v>
      </c>
      <c r="F1462">
        <v>6.3</v>
      </c>
      <c r="G1462">
        <v>1</v>
      </c>
      <c r="H1462" t="str">
        <f t="shared" si="22"/>
        <v>Night Usage</v>
      </c>
      <c r="I1462">
        <v>5.2</v>
      </c>
      <c r="J1462" s="3">
        <v>2</v>
      </c>
      <c r="K1462">
        <v>3.6</v>
      </c>
      <c r="L1462" t="s">
        <v>20</v>
      </c>
      <c r="M1462">
        <v>1</v>
      </c>
      <c r="N1462">
        <v>3</v>
      </c>
      <c r="O1462">
        <v>1</v>
      </c>
      <c r="P1462">
        <v>1</v>
      </c>
      <c r="Q1462">
        <v>1</v>
      </c>
      <c r="R1462">
        <v>1</v>
      </c>
      <c r="S1462">
        <v>0</v>
      </c>
      <c r="T1462" t="str">
        <f>IF(mental_health[Sleep_Hours]&lt;5,"Low",IF(mental_health[Sleep_Hours]&lt;7,"Medium","Good"))</f>
        <v>Medium</v>
      </c>
      <c r="U1462" t="str">
        <f>IF(mental_health[Stress_Level]&lt;=3,"Low",IF(mental_health[Stress_Level]&lt;=7,"Medium","High"))</f>
        <v>Low</v>
      </c>
      <c r="V1462" t="str">
        <f>IF(mental_health[Daily_Screen_Time]&lt;=4,"Low",IF(mental_health[Daily_Screen_Time]&lt;=8,"Medium","High"))</f>
        <v>High</v>
      </c>
    </row>
    <row r="1463" spans="1:22" x14ac:dyDescent="0.3">
      <c r="A1463">
        <v>1462</v>
      </c>
      <c r="B1463">
        <v>19</v>
      </c>
      <c r="C1463" t="s">
        <v>18</v>
      </c>
      <c r="D1463" t="s">
        <v>19</v>
      </c>
      <c r="E1463">
        <v>5.4</v>
      </c>
      <c r="F1463">
        <v>5.2</v>
      </c>
      <c r="G1463">
        <v>0</v>
      </c>
      <c r="H1463" t="str">
        <f t="shared" si="22"/>
        <v>No Night Usage</v>
      </c>
      <c r="I1463">
        <v>5.6</v>
      </c>
      <c r="J1463" s="3">
        <v>6</v>
      </c>
      <c r="K1463">
        <v>4.0999999999999996</v>
      </c>
      <c r="L1463" t="s">
        <v>20</v>
      </c>
      <c r="M1463">
        <v>7</v>
      </c>
      <c r="N1463">
        <v>1</v>
      </c>
      <c r="O1463">
        <v>0</v>
      </c>
      <c r="P1463">
        <v>0</v>
      </c>
      <c r="Q1463">
        <v>1</v>
      </c>
      <c r="R1463">
        <v>0</v>
      </c>
      <c r="S1463">
        <v>1</v>
      </c>
      <c r="T1463" t="str">
        <f>IF(mental_health[Sleep_Hours]&lt;5,"Low",IF(mental_health[Sleep_Hours]&lt;7,"Medium","Good"))</f>
        <v>Medium</v>
      </c>
      <c r="U1463" t="str">
        <f>IF(mental_health[Stress_Level]&lt;=3,"Low",IF(mental_health[Stress_Level]&lt;=7,"Medium","High"))</f>
        <v>Medium</v>
      </c>
      <c r="V1463" t="str">
        <f>IF(mental_health[Daily_Screen_Time]&lt;=4,"Low",IF(mental_health[Daily_Screen_Time]&lt;=8,"Medium","High"))</f>
        <v>Medium</v>
      </c>
    </row>
    <row r="1464" spans="1:22" x14ac:dyDescent="0.3">
      <c r="A1464">
        <v>1463</v>
      </c>
      <c r="B1464">
        <v>23</v>
      </c>
      <c r="C1464" t="s">
        <v>23</v>
      </c>
      <c r="D1464" t="s">
        <v>22</v>
      </c>
      <c r="E1464">
        <v>11.9</v>
      </c>
      <c r="F1464">
        <v>5</v>
      </c>
      <c r="G1464">
        <v>1</v>
      </c>
      <c r="H1464" t="str">
        <f t="shared" si="22"/>
        <v>Night Usage</v>
      </c>
      <c r="I1464">
        <v>5.5</v>
      </c>
      <c r="J1464" s="3">
        <v>9</v>
      </c>
      <c r="K1464">
        <v>4.8</v>
      </c>
      <c r="L1464" t="s">
        <v>25</v>
      </c>
      <c r="M1464">
        <v>6</v>
      </c>
      <c r="N1464">
        <v>0</v>
      </c>
      <c r="O1464">
        <v>0</v>
      </c>
      <c r="P1464">
        <v>1</v>
      </c>
      <c r="Q1464">
        <v>0</v>
      </c>
      <c r="R1464">
        <v>1</v>
      </c>
      <c r="S1464">
        <v>1</v>
      </c>
      <c r="T1464" t="str">
        <f>IF(mental_health[Sleep_Hours]&lt;5,"Low",IF(mental_health[Sleep_Hours]&lt;7,"Medium","Good"))</f>
        <v>Medium</v>
      </c>
      <c r="U1464" t="str">
        <f>IF(mental_health[Stress_Level]&lt;=3,"Low",IF(mental_health[Stress_Level]&lt;=7,"Medium","High"))</f>
        <v>High</v>
      </c>
      <c r="V1464" t="str">
        <f>IF(mental_health[Daily_Screen_Time]&lt;=4,"Low",IF(mental_health[Daily_Screen_Time]&lt;=8,"Medium","High"))</f>
        <v>High</v>
      </c>
    </row>
    <row r="1465" spans="1:22" x14ac:dyDescent="0.3">
      <c r="A1465">
        <v>1464</v>
      </c>
      <c r="B1465">
        <v>35</v>
      </c>
      <c r="C1465" t="s">
        <v>18</v>
      </c>
      <c r="D1465" t="s">
        <v>22</v>
      </c>
      <c r="E1465">
        <v>6.9</v>
      </c>
      <c r="F1465">
        <v>1.4</v>
      </c>
      <c r="G1465">
        <v>1</v>
      </c>
      <c r="H1465" t="str">
        <f t="shared" si="22"/>
        <v>Night Usage</v>
      </c>
      <c r="I1465">
        <v>5.2</v>
      </c>
      <c r="J1465" s="3">
        <v>6</v>
      </c>
      <c r="K1465">
        <v>7.1</v>
      </c>
      <c r="L1465" t="s">
        <v>21</v>
      </c>
      <c r="M1465">
        <v>5</v>
      </c>
      <c r="N1465">
        <v>2</v>
      </c>
      <c r="O1465">
        <v>1</v>
      </c>
      <c r="P1465">
        <v>1</v>
      </c>
      <c r="Q1465">
        <v>1</v>
      </c>
      <c r="R1465">
        <v>0</v>
      </c>
      <c r="S1465">
        <v>1</v>
      </c>
      <c r="T1465" t="str">
        <f>IF(mental_health[Sleep_Hours]&lt;5,"Low",IF(mental_health[Sleep_Hours]&lt;7,"Medium","Good"))</f>
        <v>Medium</v>
      </c>
      <c r="U1465" t="str">
        <f>IF(mental_health[Stress_Level]&lt;=3,"Low",IF(mental_health[Stress_Level]&lt;=7,"Medium","High"))</f>
        <v>Medium</v>
      </c>
      <c r="V1465" t="str">
        <f>IF(mental_health[Daily_Screen_Time]&lt;=4,"Low",IF(mental_health[Daily_Screen_Time]&lt;=8,"Medium","High"))</f>
        <v>Medium</v>
      </c>
    </row>
    <row r="1466" spans="1:22" x14ac:dyDescent="0.3">
      <c r="A1466">
        <v>1465</v>
      </c>
      <c r="B1466">
        <v>44</v>
      </c>
      <c r="C1466" t="s">
        <v>18</v>
      </c>
      <c r="D1466" t="s">
        <v>19</v>
      </c>
      <c r="E1466">
        <v>3.8</v>
      </c>
      <c r="F1466">
        <v>2</v>
      </c>
      <c r="G1466">
        <v>0</v>
      </c>
      <c r="H1466" t="str">
        <f t="shared" si="22"/>
        <v>No Night Usage</v>
      </c>
      <c r="I1466">
        <v>8.6</v>
      </c>
      <c r="J1466" s="3">
        <v>4</v>
      </c>
      <c r="K1466">
        <v>7.1</v>
      </c>
      <c r="L1466" t="s">
        <v>20</v>
      </c>
      <c r="M1466">
        <v>8</v>
      </c>
      <c r="N1466">
        <v>2</v>
      </c>
      <c r="O1466">
        <v>1</v>
      </c>
      <c r="P1466">
        <v>0</v>
      </c>
      <c r="Q1466">
        <v>0</v>
      </c>
      <c r="R1466">
        <v>1</v>
      </c>
      <c r="S1466">
        <v>0</v>
      </c>
      <c r="T1466" t="str">
        <f>IF(mental_health[Sleep_Hours]&lt;5,"Low",IF(mental_health[Sleep_Hours]&lt;7,"Medium","Good"))</f>
        <v>Good</v>
      </c>
      <c r="U1466" t="str">
        <f>IF(mental_health[Stress_Level]&lt;=3,"Low",IF(mental_health[Stress_Level]&lt;=7,"Medium","High"))</f>
        <v>Medium</v>
      </c>
      <c r="V1466" t="str">
        <f>IF(mental_health[Daily_Screen_Time]&lt;=4,"Low",IF(mental_health[Daily_Screen_Time]&lt;=8,"Medium","High"))</f>
        <v>Low</v>
      </c>
    </row>
    <row r="1467" spans="1:22" x14ac:dyDescent="0.3">
      <c r="A1467">
        <v>1466</v>
      </c>
      <c r="B1467">
        <v>25</v>
      </c>
      <c r="C1467" t="s">
        <v>23</v>
      </c>
      <c r="D1467" t="s">
        <v>22</v>
      </c>
      <c r="E1467">
        <v>10.9</v>
      </c>
      <c r="F1467">
        <v>5.4</v>
      </c>
      <c r="G1467">
        <v>0</v>
      </c>
      <c r="H1467" t="str">
        <f t="shared" si="22"/>
        <v>No Night Usage</v>
      </c>
      <c r="I1467">
        <v>8</v>
      </c>
      <c r="J1467" s="3">
        <v>7</v>
      </c>
      <c r="K1467">
        <v>10.1</v>
      </c>
      <c r="L1467" t="s">
        <v>25</v>
      </c>
      <c r="M1467">
        <v>2</v>
      </c>
      <c r="N1467">
        <v>3</v>
      </c>
      <c r="O1467">
        <v>1</v>
      </c>
      <c r="P1467">
        <v>0</v>
      </c>
      <c r="Q1467">
        <v>1</v>
      </c>
      <c r="R1467">
        <v>1</v>
      </c>
      <c r="S1467">
        <v>0</v>
      </c>
      <c r="T1467" t="str">
        <f>IF(mental_health[Sleep_Hours]&lt;5,"Low",IF(mental_health[Sleep_Hours]&lt;7,"Medium","Good"))</f>
        <v>Good</v>
      </c>
      <c r="U1467" t="str">
        <f>IF(mental_health[Stress_Level]&lt;=3,"Low",IF(mental_health[Stress_Level]&lt;=7,"Medium","High"))</f>
        <v>Medium</v>
      </c>
      <c r="V1467" t="str">
        <f>IF(mental_health[Daily_Screen_Time]&lt;=4,"Low",IF(mental_health[Daily_Screen_Time]&lt;=8,"Medium","High"))</f>
        <v>High</v>
      </c>
    </row>
    <row r="1468" spans="1:22" x14ac:dyDescent="0.3">
      <c r="A1468">
        <v>1467</v>
      </c>
      <c r="B1468">
        <v>58</v>
      </c>
      <c r="C1468" t="s">
        <v>23</v>
      </c>
      <c r="D1468" t="s">
        <v>24</v>
      </c>
      <c r="E1468">
        <v>6.6</v>
      </c>
      <c r="F1468">
        <v>2.5</v>
      </c>
      <c r="G1468">
        <v>0</v>
      </c>
      <c r="H1468" t="str">
        <f t="shared" si="22"/>
        <v>No Night Usage</v>
      </c>
      <c r="I1468">
        <v>3.7</v>
      </c>
      <c r="J1468" s="3">
        <v>3</v>
      </c>
      <c r="K1468">
        <v>9.5</v>
      </c>
      <c r="L1468" t="s">
        <v>21</v>
      </c>
      <c r="M1468">
        <v>2</v>
      </c>
      <c r="N1468">
        <v>0</v>
      </c>
      <c r="O1468">
        <v>1</v>
      </c>
      <c r="P1468">
        <v>1</v>
      </c>
      <c r="Q1468">
        <v>1</v>
      </c>
      <c r="R1468">
        <v>0</v>
      </c>
      <c r="S1468">
        <v>1</v>
      </c>
      <c r="T1468" t="str">
        <f>IF(mental_health[Sleep_Hours]&lt;5,"Low",IF(mental_health[Sleep_Hours]&lt;7,"Medium","Good"))</f>
        <v>Low</v>
      </c>
      <c r="U1468" t="str">
        <f>IF(mental_health[Stress_Level]&lt;=3,"Low",IF(mental_health[Stress_Level]&lt;=7,"Medium","High"))</f>
        <v>Low</v>
      </c>
      <c r="V1468" t="str">
        <f>IF(mental_health[Daily_Screen_Time]&lt;=4,"Low",IF(mental_health[Daily_Screen_Time]&lt;=8,"Medium","High"))</f>
        <v>Medium</v>
      </c>
    </row>
    <row r="1469" spans="1:22" x14ac:dyDescent="0.3">
      <c r="A1469">
        <v>1468</v>
      </c>
      <c r="B1469">
        <v>49</v>
      </c>
      <c r="C1469" t="s">
        <v>18</v>
      </c>
      <c r="D1469" t="s">
        <v>24</v>
      </c>
      <c r="E1469">
        <v>9.1</v>
      </c>
      <c r="F1469">
        <v>4.5</v>
      </c>
      <c r="G1469">
        <v>0</v>
      </c>
      <c r="H1469" t="str">
        <f t="shared" si="22"/>
        <v>No Night Usage</v>
      </c>
      <c r="I1469">
        <v>3.6</v>
      </c>
      <c r="J1469" s="3">
        <v>5</v>
      </c>
      <c r="K1469">
        <v>11.1</v>
      </c>
      <c r="L1469" t="s">
        <v>21</v>
      </c>
      <c r="M1469">
        <v>9</v>
      </c>
      <c r="N1469">
        <v>3</v>
      </c>
      <c r="O1469">
        <v>0</v>
      </c>
      <c r="P1469">
        <v>0</v>
      </c>
      <c r="Q1469">
        <v>1</v>
      </c>
      <c r="R1469">
        <v>1</v>
      </c>
      <c r="S1469">
        <v>0</v>
      </c>
      <c r="T1469" t="str">
        <f>IF(mental_health[Sleep_Hours]&lt;5,"Low",IF(mental_health[Sleep_Hours]&lt;7,"Medium","Good"))</f>
        <v>Low</v>
      </c>
      <c r="U1469" t="str">
        <f>IF(mental_health[Stress_Level]&lt;=3,"Low",IF(mental_health[Stress_Level]&lt;=7,"Medium","High"))</f>
        <v>Medium</v>
      </c>
      <c r="V1469" t="str">
        <f>IF(mental_health[Daily_Screen_Time]&lt;=4,"Low",IF(mental_health[Daily_Screen_Time]&lt;=8,"Medium","High"))</f>
        <v>High</v>
      </c>
    </row>
    <row r="1470" spans="1:22" x14ac:dyDescent="0.3">
      <c r="A1470">
        <v>1469</v>
      </c>
      <c r="B1470">
        <v>41</v>
      </c>
      <c r="C1470" t="s">
        <v>18</v>
      </c>
      <c r="D1470" t="s">
        <v>19</v>
      </c>
      <c r="E1470">
        <v>11.8</v>
      </c>
      <c r="F1470">
        <v>4.8</v>
      </c>
      <c r="G1470">
        <v>1</v>
      </c>
      <c r="H1470" t="str">
        <f t="shared" si="22"/>
        <v>Night Usage</v>
      </c>
      <c r="I1470">
        <v>5.6</v>
      </c>
      <c r="J1470" s="3">
        <v>1</v>
      </c>
      <c r="K1470">
        <v>10.3</v>
      </c>
      <c r="L1470" t="s">
        <v>20</v>
      </c>
      <c r="M1470">
        <v>1</v>
      </c>
      <c r="N1470">
        <v>2</v>
      </c>
      <c r="O1470">
        <v>1</v>
      </c>
      <c r="P1470">
        <v>0</v>
      </c>
      <c r="Q1470">
        <v>0</v>
      </c>
      <c r="R1470">
        <v>0</v>
      </c>
      <c r="S1470">
        <v>1</v>
      </c>
      <c r="T1470" t="str">
        <f>IF(mental_health[Sleep_Hours]&lt;5,"Low",IF(mental_health[Sleep_Hours]&lt;7,"Medium","Good"))</f>
        <v>Medium</v>
      </c>
      <c r="U1470" t="str">
        <f>IF(mental_health[Stress_Level]&lt;=3,"Low",IF(mental_health[Stress_Level]&lt;=7,"Medium","High"))</f>
        <v>Low</v>
      </c>
      <c r="V1470" t="str">
        <f>IF(mental_health[Daily_Screen_Time]&lt;=4,"Low",IF(mental_health[Daily_Screen_Time]&lt;=8,"Medium","High"))</f>
        <v>High</v>
      </c>
    </row>
    <row r="1471" spans="1:22" x14ac:dyDescent="0.3">
      <c r="A1471">
        <v>1470</v>
      </c>
      <c r="B1471">
        <v>56</v>
      </c>
      <c r="C1471" t="s">
        <v>23</v>
      </c>
      <c r="D1471" t="s">
        <v>22</v>
      </c>
      <c r="E1471">
        <v>2.5</v>
      </c>
      <c r="F1471">
        <v>3</v>
      </c>
      <c r="G1471">
        <v>0</v>
      </c>
      <c r="H1471" t="str">
        <f t="shared" si="22"/>
        <v>No Night Usage</v>
      </c>
      <c r="I1471">
        <v>3.6</v>
      </c>
      <c r="J1471" s="3">
        <v>10</v>
      </c>
      <c r="K1471">
        <v>4.5</v>
      </c>
      <c r="L1471" t="s">
        <v>20</v>
      </c>
      <c r="M1471">
        <v>6</v>
      </c>
      <c r="N1471">
        <v>2</v>
      </c>
      <c r="O1471">
        <v>0</v>
      </c>
      <c r="P1471">
        <v>0</v>
      </c>
      <c r="Q1471">
        <v>0</v>
      </c>
      <c r="R1471">
        <v>0</v>
      </c>
      <c r="S1471">
        <v>1</v>
      </c>
      <c r="T1471" t="str">
        <f>IF(mental_health[Sleep_Hours]&lt;5,"Low",IF(mental_health[Sleep_Hours]&lt;7,"Medium","Good"))</f>
        <v>Low</v>
      </c>
      <c r="U1471" t="str">
        <f>IF(mental_health[Stress_Level]&lt;=3,"Low",IF(mental_health[Stress_Level]&lt;=7,"Medium","High"))</f>
        <v>High</v>
      </c>
      <c r="V1471" t="str">
        <f>IF(mental_health[Daily_Screen_Time]&lt;=4,"Low",IF(mental_health[Daily_Screen_Time]&lt;=8,"Medium","High"))</f>
        <v>Low</v>
      </c>
    </row>
    <row r="1472" spans="1:22" x14ac:dyDescent="0.3">
      <c r="A1472">
        <v>1471</v>
      </c>
      <c r="B1472">
        <v>18</v>
      </c>
      <c r="C1472" t="s">
        <v>18</v>
      </c>
      <c r="D1472" t="s">
        <v>24</v>
      </c>
      <c r="E1472">
        <v>3</v>
      </c>
      <c r="F1472">
        <v>7.6</v>
      </c>
      <c r="G1472">
        <v>0</v>
      </c>
      <c r="H1472" t="str">
        <f t="shared" si="22"/>
        <v>No Night Usage</v>
      </c>
      <c r="I1472">
        <v>6.7</v>
      </c>
      <c r="J1472" s="3">
        <v>3</v>
      </c>
      <c r="K1472">
        <v>5.3</v>
      </c>
      <c r="L1472" t="s">
        <v>20</v>
      </c>
      <c r="M1472">
        <v>3</v>
      </c>
      <c r="N1472">
        <v>4</v>
      </c>
      <c r="O1472">
        <v>1</v>
      </c>
      <c r="P1472">
        <v>1</v>
      </c>
      <c r="Q1472">
        <v>0</v>
      </c>
      <c r="R1472">
        <v>0</v>
      </c>
      <c r="S1472">
        <v>0</v>
      </c>
      <c r="T1472" t="str">
        <f>IF(mental_health[Sleep_Hours]&lt;5,"Low",IF(mental_health[Sleep_Hours]&lt;7,"Medium","Good"))</f>
        <v>Medium</v>
      </c>
      <c r="U1472" t="str">
        <f>IF(mental_health[Stress_Level]&lt;=3,"Low",IF(mental_health[Stress_Level]&lt;=7,"Medium","High"))</f>
        <v>Low</v>
      </c>
      <c r="V1472" t="str">
        <f>IF(mental_health[Daily_Screen_Time]&lt;=4,"Low",IF(mental_health[Daily_Screen_Time]&lt;=8,"Medium","High"))</f>
        <v>Low</v>
      </c>
    </row>
    <row r="1473" spans="1:22" x14ac:dyDescent="0.3">
      <c r="A1473">
        <v>1472</v>
      </c>
      <c r="B1473">
        <v>21</v>
      </c>
      <c r="C1473" t="s">
        <v>18</v>
      </c>
      <c r="D1473" t="s">
        <v>24</v>
      </c>
      <c r="E1473">
        <v>9.1999999999999993</v>
      </c>
      <c r="F1473">
        <v>6.9</v>
      </c>
      <c r="G1473">
        <v>0</v>
      </c>
      <c r="H1473" t="str">
        <f t="shared" si="22"/>
        <v>No Night Usage</v>
      </c>
      <c r="I1473">
        <v>3.9</v>
      </c>
      <c r="J1473" s="3">
        <v>8</v>
      </c>
      <c r="K1473">
        <v>7</v>
      </c>
      <c r="L1473" t="s">
        <v>21</v>
      </c>
      <c r="M1473">
        <v>5</v>
      </c>
      <c r="N1473">
        <v>2</v>
      </c>
      <c r="O1473">
        <v>0</v>
      </c>
      <c r="P1473">
        <v>0</v>
      </c>
      <c r="Q1473">
        <v>1</v>
      </c>
      <c r="R1473">
        <v>1</v>
      </c>
      <c r="S1473">
        <v>1</v>
      </c>
      <c r="T1473" t="str">
        <f>IF(mental_health[Sleep_Hours]&lt;5,"Low",IF(mental_health[Sleep_Hours]&lt;7,"Medium","Good"))</f>
        <v>Low</v>
      </c>
      <c r="U1473" t="str">
        <f>IF(mental_health[Stress_Level]&lt;=3,"Low",IF(mental_health[Stress_Level]&lt;=7,"Medium","High"))</f>
        <v>High</v>
      </c>
      <c r="V1473" t="str">
        <f>IF(mental_health[Daily_Screen_Time]&lt;=4,"Low",IF(mental_health[Daily_Screen_Time]&lt;=8,"Medium","High"))</f>
        <v>High</v>
      </c>
    </row>
    <row r="1474" spans="1:22" x14ac:dyDescent="0.3">
      <c r="A1474">
        <v>1473</v>
      </c>
      <c r="B1474">
        <v>20</v>
      </c>
      <c r="C1474" t="s">
        <v>18</v>
      </c>
      <c r="D1474" t="s">
        <v>22</v>
      </c>
      <c r="E1474">
        <v>4.8</v>
      </c>
      <c r="F1474">
        <v>6.1</v>
      </c>
      <c r="G1474">
        <v>1</v>
      </c>
      <c r="H1474" t="str">
        <f t="shared" ref="H1474:H1537" si="23">IF(G1474=1,"Night Usage","No Night Usage")</f>
        <v>Night Usage</v>
      </c>
      <c r="I1474">
        <v>6.1</v>
      </c>
      <c r="J1474" s="3">
        <v>9</v>
      </c>
      <c r="K1474">
        <v>2.1</v>
      </c>
      <c r="L1474" t="s">
        <v>20</v>
      </c>
      <c r="M1474">
        <v>8</v>
      </c>
      <c r="N1474">
        <v>1</v>
      </c>
      <c r="O1474">
        <v>0</v>
      </c>
      <c r="P1474">
        <v>1</v>
      </c>
      <c r="Q1474">
        <v>1</v>
      </c>
      <c r="R1474">
        <v>1</v>
      </c>
      <c r="S1474">
        <v>1</v>
      </c>
      <c r="T1474" t="str">
        <f>IF(mental_health[Sleep_Hours]&lt;5,"Low",IF(mental_health[Sleep_Hours]&lt;7,"Medium","Good"))</f>
        <v>Medium</v>
      </c>
      <c r="U1474" t="str">
        <f>IF(mental_health[Stress_Level]&lt;=3,"Low",IF(mental_health[Stress_Level]&lt;=7,"Medium","High"))</f>
        <v>High</v>
      </c>
      <c r="V1474" t="str">
        <f>IF(mental_health[Daily_Screen_Time]&lt;=4,"Low",IF(mental_health[Daily_Screen_Time]&lt;=8,"Medium","High"))</f>
        <v>Medium</v>
      </c>
    </row>
    <row r="1475" spans="1:22" x14ac:dyDescent="0.3">
      <c r="A1475">
        <v>1474</v>
      </c>
      <c r="B1475">
        <v>20</v>
      </c>
      <c r="C1475" t="s">
        <v>23</v>
      </c>
      <c r="D1475" t="s">
        <v>22</v>
      </c>
      <c r="E1475">
        <v>3.8</v>
      </c>
      <c r="F1475">
        <v>1.5</v>
      </c>
      <c r="G1475">
        <v>1</v>
      </c>
      <c r="H1475" t="str">
        <f t="shared" si="23"/>
        <v>Night Usage</v>
      </c>
      <c r="I1475">
        <v>3</v>
      </c>
      <c r="J1475" s="3">
        <v>9</v>
      </c>
      <c r="K1475">
        <v>11</v>
      </c>
      <c r="L1475" t="s">
        <v>21</v>
      </c>
      <c r="M1475">
        <v>7</v>
      </c>
      <c r="N1475">
        <v>4</v>
      </c>
      <c r="O1475">
        <v>0</v>
      </c>
      <c r="P1475">
        <v>1</v>
      </c>
      <c r="Q1475">
        <v>0</v>
      </c>
      <c r="R1475">
        <v>1</v>
      </c>
      <c r="S1475">
        <v>1</v>
      </c>
      <c r="T1475" t="str">
        <f>IF(mental_health[Sleep_Hours]&lt;5,"Low",IF(mental_health[Sleep_Hours]&lt;7,"Medium","Good"))</f>
        <v>Low</v>
      </c>
      <c r="U1475" t="str">
        <f>IF(mental_health[Stress_Level]&lt;=3,"Low",IF(mental_health[Stress_Level]&lt;=7,"Medium","High"))</f>
        <v>High</v>
      </c>
      <c r="V1475" t="str">
        <f>IF(mental_health[Daily_Screen_Time]&lt;=4,"Low",IF(mental_health[Daily_Screen_Time]&lt;=8,"Medium","High"))</f>
        <v>Low</v>
      </c>
    </row>
    <row r="1476" spans="1:22" x14ac:dyDescent="0.3">
      <c r="A1476">
        <v>1475</v>
      </c>
      <c r="B1476">
        <v>38</v>
      </c>
      <c r="C1476" t="s">
        <v>18</v>
      </c>
      <c r="D1476" t="s">
        <v>24</v>
      </c>
      <c r="E1476">
        <v>2.4</v>
      </c>
      <c r="F1476">
        <v>1.7</v>
      </c>
      <c r="G1476">
        <v>1</v>
      </c>
      <c r="H1476" t="str">
        <f t="shared" si="23"/>
        <v>Night Usage</v>
      </c>
      <c r="I1476">
        <v>4.9000000000000004</v>
      </c>
      <c r="J1476" s="3">
        <v>10</v>
      </c>
      <c r="K1476">
        <v>2.4</v>
      </c>
      <c r="L1476" t="s">
        <v>25</v>
      </c>
      <c r="M1476">
        <v>4</v>
      </c>
      <c r="N1476">
        <v>3</v>
      </c>
      <c r="O1476">
        <v>1</v>
      </c>
      <c r="P1476">
        <v>0</v>
      </c>
      <c r="Q1476">
        <v>1</v>
      </c>
      <c r="R1476">
        <v>0</v>
      </c>
      <c r="S1476">
        <v>1</v>
      </c>
      <c r="T1476" t="str">
        <f>IF(mental_health[Sleep_Hours]&lt;5,"Low",IF(mental_health[Sleep_Hours]&lt;7,"Medium","Good"))</f>
        <v>Low</v>
      </c>
      <c r="U1476" t="str">
        <f>IF(mental_health[Stress_Level]&lt;=3,"Low",IF(mental_health[Stress_Level]&lt;=7,"Medium","High"))</f>
        <v>High</v>
      </c>
      <c r="V1476" t="str">
        <f>IF(mental_health[Daily_Screen_Time]&lt;=4,"Low",IF(mental_health[Daily_Screen_Time]&lt;=8,"Medium","High"))</f>
        <v>Low</v>
      </c>
    </row>
    <row r="1477" spans="1:22" x14ac:dyDescent="0.3">
      <c r="A1477">
        <v>1476</v>
      </c>
      <c r="B1477">
        <v>24</v>
      </c>
      <c r="C1477" t="s">
        <v>18</v>
      </c>
      <c r="D1477" t="s">
        <v>24</v>
      </c>
      <c r="E1477">
        <v>2.2000000000000002</v>
      </c>
      <c r="F1477">
        <v>4.4000000000000004</v>
      </c>
      <c r="G1477">
        <v>1</v>
      </c>
      <c r="H1477" t="str">
        <f t="shared" si="23"/>
        <v>Night Usage</v>
      </c>
      <c r="I1477">
        <v>7.1</v>
      </c>
      <c r="J1477" s="3">
        <v>2</v>
      </c>
      <c r="K1477">
        <v>5.2</v>
      </c>
      <c r="L1477" t="s">
        <v>21</v>
      </c>
      <c r="M1477">
        <v>8</v>
      </c>
      <c r="N1477">
        <v>2</v>
      </c>
      <c r="O1477">
        <v>0</v>
      </c>
      <c r="P1477">
        <v>1</v>
      </c>
      <c r="Q1477">
        <v>0</v>
      </c>
      <c r="R1477">
        <v>0</v>
      </c>
      <c r="S1477">
        <v>1</v>
      </c>
      <c r="T1477" t="str">
        <f>IF(mental_health[Sleep_Hours]&lt;5,"Low",IF(mental_health[Sleep_Hours]&lt;7,"Medium","Good"))</f>
        <v>Good</v>
      </c>
      <c r="U1477" t="str">
        <f>IF(mental_health[Stress_Level]&lt;=3,"Low",IF(mental_health[Stress_Level]&lt;=7,"Medium","High"))</f>
        <v>Low</v>
      </c>
      <c r="V1477" t="str">
        <f>IF(mental_health[Daily_Screen_Time]&lt;=4,"Low",IF(mental_health[Daily_Screen_Time]&lt;=8,"Medium","High"))</f>
        <v>Low</v>
      </c>
    </row>
    <row r="1478" spans="1:22" x14ac:dyDescent="0.3">
      <c r="A1478">
        <v>1477</v>
      </c>
      <c r="B1478">
        <v>50</v>
      </c>
      <c r="C1478" t="s">
        <v>23</v>
      </c>
      <c r="D1478" t="s">
        <v>19</v>
      </c>
      <c r="E1478">
        <v>9.6999999999999993</v>
      </c>
      <c r="F1478">
        <v>2.1</v>
      </c>
      <c r="G1478">
        <v>0</v>
      </c>
      <c r="H1478" t="str">
        <f t="shared" si="23"/>
        <v>No Night Usage</v>
      </c>
      <c r="I1478">
        <v>5.9</v>
      </c>
      <c r="J1478" s="3">
        <v>4</v>
      </c>
      <c r="K1478">
        <v>7.7</v>
      </c>
      <c r="L1478" t="s">
        <v>20</v>
      </c>
      <c r="M1478">
        <v>10</v>
      </c>
      <c r="N1478">
        <v>1</v>
      </c>
      <c r="O1478">
        <v>0</v>
      </c>
      <c r="P1478">
        <v>0</v>
      </c>
      <c r="Q1478">
        <v>0</v>
      </c>
      <c r="R1478">
        <v>1</v>
      </c>
      <c r="S1478">
        <v>0</v>
      </c>
      <c r="T1478" t="str">
        <f>IF(mental_health[Sleep_Hours]&lt;5,"Low",IF(mental_health[Sleep_Hours]&lt;7,"Medium","Good"))</f>
        <v>Medium</v>
      </c>
      <c r="U1478" t="str">
        <f>IF(mental_health[Stress_Level]&lt;=3,"Low",IF(mental_health[Stress_Level]&lt;=7,"Medium","High"))</f>
        <v>Medium</v>
      </c>
      <c r="V1478" t="str">
        <f>IF(mental_health[Daily_Screen_Time]&lt;=4,"Low",IF(mental_health[Daily_Screen_Time]&lt;=8,"Medium","High"))</f>
        <v>High</v>
      </c>
    </row>
    <row r="1479" spans="1:22" x14ac:dyDescent="0.3">
      <c r="A1479">
        <v>1478</v>
      </c>
      <c r="B1479">
        <v>35</v>
      </c>
      <c r="C1479" t="s">
        <v>18</v>
      </c>
      <c r="D1479" t="s">
        <v>19</v>
      </c>
      <c r="E1479">
        <v>3.3</v>
      </c>
      <c r="F1479">
        <v>7.8</v>
      </c>
      <c r="G1479">
        <v>1</v>
      </c>
      <c r="H1479" t="str">
        <f t="shared" si="23"/>
        <v>Night Usage</v>
      </c>
      <c r="I1479">
        <v>8.9</v>
      </c>
      <c r="J1479" s="3">
        <v>5</v>
      </c>
      <c r="K1479">
        <v>7.2</v>
      </c>
      <c r="L1479" t="s">
        <v>21</v>
      </c>
      <c r="M1479">
        <v>2</v>
      </c>
      <c r="N1479">
        <v>4</v>
      </c>
      <c r="O1479">
        <v>1</v>
      </c>
      <c r="P1479">
        <v>0</v>
      </c>
      <c r="Q1479">
        <v>0</v>
      </c>
      <c r="R1479">
        <v>1</v>
      </c>
      <c r="S1479">
        <v>1</v>
      </c>
      <c r="T1479" t="str">
        <f>IF(mental_health[Sleep_Hours]&lt;5,"Low",IF(mental_health[Sleep_Hours]&lt;7,"Medium","Good"))</f>
        <v>Good</v>
      </c>
      <c r="U1479" t="str">
        <f>IF(mental_health[Stress_Level]&lt;=3,"Low",IF(mental_health[Stress_Level]&lt;=7,"Medium","High"))</f>
        <v>Medium</v>
      </c>
      <c r="V1479" t="str">
        <f>IF(mental_health[Daily_Screen_Time]&lt;=4,"Low",IF(mental_health[Daily_Screen_Time]&lt;=8,"Medium","High"))</f>
        <v>Low</v>
      </c>
    </row>
    <row r="1480" spans="1:22" x14ac:dyDescent="0.3">
      <c r="A1480">
        <v>1479</v>
      </c>
      <c r="B1480">
        <v>57</v>
      </c>
      <c r="C1480" t="s">
        <v>18</v>
      </c>
      <c r="D1480" t="s">
        <v>24</v>
      </c>
      <c r="E1480">
        <v>6.7</v>
      </c>
      <c r="F1480">
        <v>2.1</v>
      </c>
      <c r="G1480">
        <v>0</v>
      </c>
      <c r="H1480" t="str">
        <f t="shared" si="23"/>
        <v>No Night Usage</v>
      </c>
      <c r="I1480">
        <v>8.1999999999999993</v>
      </c>
      <c r="J1480" s="3">
        <v>3</v>
      </c>
      <c r="K1480">
        <v>8.5</v>
      </c>
      <c r="L1480" t="s">
        <v>20</v>
      </c>
      <c r="M1480">
        <v>7</v>
      </c>
      <c r="N1480">
        <v>1</v>
      </c>
      <c r="O1480">
        <v>1</v>
      </c>
      <c r="P1480">
        <v>0</v>
      </c>
      <c r="Q1480">
        <v>0</v>
      </c>
      <c r="R1480">
        <v>0</v>
      </c>
      <c r="S1480">
        <v>0</v>
      </c>
      <c r="T1480" t="str">
        <f>IF(mental_health[Sleep_Hours]&lt;5,"Low",IF(mental_health[Sleep_Hours]&lt;7,"Medium","Good"))</f>
        <v>Good</v>
      </c>
      <c r="U1480" t="str">
        <f>IF(mental_health[Stress_Level]&lt;=3,"Low",IF(mental_health[Stress_Level]&lt;=7,"Medium","High"))</f>
        <v>Low</v>
      </c>
      <c r="V1480" t="str">
        <f>IF(mental_health[Daily_Screen_Time]&lt;=4,"Low",IF(mental_health[Daily_Screen_Time]&lt;=8,"Medium","High"))</f>
        <v>Medium</v>
      </c>
    </row>
    <row r="1481" spans="1:22" x14ac:dyDescent="0.3">
      <c r="A1481">
        <v>1480</v>
      </c>
      <c r="B1481">
        <v>50</v>
      </c>
      <c r="C1481" t="s">
        <v>23</v>
      </c>
      <c r="D1481" t="s">
        <v>19</v>
      </c>
      <c r="E1481">
        <v>8.1</v>
      </c>
      <c r="F1481">
        <v>4.4000000000000004</v>
      </c>
      <c r="G1481">
        <v>1</v>
      </c>
      <c r="H1481" t="str">
        <f t="shared" si="23"/>
        <v>Night Usage</v>
      </c>
      <c r="I1481">
        <v>5.2</v>
      </c>
      <c r="J1481" s="3">
        <v>1</v>
      </c>
      <c r="K1481">
        <v>7.3</v>
      </c>
      <c r="L1481" t="s">
        <v>25</v>
      </c>
      <c r="M1481">
        <v>5</v>
      </c>
      <c r="N1481">
        <v>4</v>
      </c>
      <c r="O1481">
        <v>1</v>
      </c>
      <c r="P1481">
        <v>0</v>
      </c>
      <c r="Q1481">
        <v>1</v>
      </c>
      <c r="R1481">
        <v>0</v>
      </c>
      <c r="S1481">
        <v>0</v>
      </c>
      <c r="T1481" t="str">
        <f>IF(mental_health[Sleep_Hours]&lt;5,"Low",IF(mental_health[Sleep_Hours]&lt;7,"Medium","Good"))</f>
        <v>Medium</v>
      </c>
      <c r="U1481" t="str">
        <f>IF(mental_health[Stress_Level]&lt;=3,"Low",IF(mental_health[Stress_Level]&lt;=7,"Medium","High"))</f>
        <v>Low</v>
      </c>
      <c r="V1481" t="str">
        <f>IF(mental_health[Daily_Screen_Time]&lt;=4,"Low",IF(mental_health[Daily_Screen_Time]&lt;=8,"Medium","High"))</f>
        <v>High</v>
      </c>
    </row>
    <row r="1482" spans="1:22" x14ac:dyDescent="0.3">
      <c r="A1482">
        <v>1481</v>
      </c>
      <c r="B1482">
        <v>33</v>
      </c>
      <c r="C1482" t="s">
        <v>23</v>
      </c>
      <c r="D1482" t="s">
        <v>24</v>
      </c>
      <c r="E1482">
        <v>6.3</v>
      </c>
      <c r="F1482">
        <v>3.5</v>
      </c>
      <c r="G1482">
        <v>0</v>
      </c>
      <c r="H1482" t="str">
        <f t="shared" si="23"/>
        <v>No Night Usage</v>
      </c>
      <c r="I1482">
        <v>3.3</v>
      </c>
      <c r="J1482" s="3">
        <v>6</v>
      </c>
      <c r="K1482">
        <v>4.3</v>
      </c>
      <c r="L1482" t="s">
        <v>20</v>
      </c>
      <c r="M1482">
        <v>6</v>
      </c>
      <c r="N1482">
        <v>4</v>
      </c>
      <c r="O1482">
        <v>1</v>
      </c>
      <c r="P1482">
        <v>0</v>
      </c>
      <c r="Q1482">
        <v>0</v>
      </c>
      <c r="R1482">
        <v>1</v>
      </c>
      <c r="S1482">
        <v>1</v>
      </c>
      <c r="T1482" t="str">
        <f>IF(mental_health[Sleep_Hours]&lt;5,"Low",IF(mental_health[Sleep_Hours]&lt;7,"Medium","Good"))</f>
        <v>Low</v>
      </c>
      <c r="U1482" t="str">
        <f>IF(mental_health[Stress_Level]&lt;=3,"Low",IF(mental_health[Stress_Level]&lt;=7,"Medium","High"))</f>
        <v>Medium</v>
      </c>
      <c r="V1482" t="str">
        <f>IF(mental_health[Daily_Screen_Time]&lt;=4,"Low",IF(mental_health[Daily_Screen_Time]&lt;=8,"Medium","High"))</f>
        <v>Medium</v>
      </c>
    </row>
    <row r="1483" spans="1:22" x14ac:dyDescent="0.3">
      <c r="A1483">
        <v>1482</v>
      </c>
      <c r="B1483">
        <v>32</v>
      </c>
      <c r="C1483" t="s">
        <v>23</v>
      </c>
      <c r="D1483" t="s">
        <v>24</v>
      </c>
      <c r="E1483">
        <v>2.2999999999999998</v>
      </c>
      <c r="F1483">
        <v>5.5</v>
      </c>
      <c r="G1483">
        <v>0</v>
      </c>
      <c r="H1483" t="str">
        <f t="shared" si="23"/>
        <v>No Night Usage</v>
      </c>
      <c r="I1483">
        <v>8.1</v>
      </c>
      <c r="J1483" s="3">
        <v>10</v>
      </c>
      <c r="K1483">
        <v>4</v>
      </c>
      <c r="L1483" t="s">
        <v>20</v>
      </c>
      <c r="M1483">
        <v>3</v>
      </c>
      <c r="N1483">
        <v>4</v>
      </c>
      <c r="O1483">
        <v>1</v>
      </c>
      <c r="P1483">
        <v>1</v>
      </c>
      <c r="Q1483">
        <v>0</v>
      </c>
      <c r="R1483">
        <v>1</v>
      </c>
      <c r="S1483">
        <v>1</v>
      </c>
      <c r="T1483" t="str">
        <f>IF(mental_health[Sleep_Hours]&lt;5,"Low",IF(mental_health[Sleep_Hours]&lt;7,"Medium","Good"))</f>
        <v>Good</v>
      </c>
      <c r="U1483" t="str">
        <f>IF(mental_health[Stress_Level]&lt;=3,"Low",IF(mental_health[Stress_Level]&lt;=7,"Medium","High"))</f>
        <v>High</v>
      </c>
      <c r="V1483" t="str">
        <f>IF(mental_health[Daily_Screen_Time]&lt;=4,"Low",IF(mental_health[Daily_Screen_Time]&lt;=8,"Medium","High"))</f>
        <v>Low</v>
      </c>
    </row>
    <row r="1484" spans="1:22" x14ac:dyDescent="0.3">
      <c r="A1484">
        <v>1483</v>
      </c>
      <c r="B1484">
        <v>39</v>
      </c>
      <c r="C1484" t="s">
        <v>23</v>
      </c>
      <c r="D1484" t="s">
        <v>19</v>
      </c>
      <c r="E1484">
        <v>9.8000000000000007</v>
      </c>
      <c r="F1484">
        <v>1.9</v>
      </c>
      <c r="G1484">
        <v>0</v>
      </c>
      <c r="H1484" t="str">
        <f t="shared" si="23"/>
        <v>No Night Usage</v>
      </c>
      <c r="I1484">
        <v>8.5</v>
      </c>
      <c r="J1484" s="3">
        <v>2</v>
      </c>
      <c r="K1484">
        <v>11.1</v>
      </c>
      <c r="L1484" t="s">
        <v>20</v>
      </c>
      <c r="M1484">
        <v>10</v>
      </c>
      <c r="N1484">
        <v>3</v>
      </c>
      <c r="O1484">
        <v>1</v>
      </c>
      <c r="P1484">
        <v>1</v>
      </c>
      <c r="Q1484">
        <v>1</v>
      </c>
      <c r="R1484">
        <v>1</v>
      </c>
      <c r="S1484">
        <v>0</v>
      </c>
      <c r="T1484" t="str">
        <f>IF(mental_health[Sleep_Hours]&lt;5,"Low",IF(mental_health[Sleep_Hours]&lt;7,"Medium","Good"))</f>
        <v>Good</v>
      </c>
      <c r="U1484" t="str">
        <f>IF(mental_health[Stress_Level]&lt;=3,"Low",IF(mental_health[Stress_Level]&lt;=7,"Medium","High"))</f>
        <v>Low</v>
      </c>
      <c r="V1484" t="str">
        <f>IF(mental_health[Daily_Screen_Time]&lt;=4,"Low",IF(mental_health[Daily_Screen_Time]&lt;=8,"Medium","High"))</f>
        <v>High</v>
      </c>
    </row>
    <row r="1485" spans="1:22" x14ac:dyDescent="0.3">
      <c r="A1485">
        <v>1484</v>
      </c>
      <c r="B1485">
        <v>18</v>
      </c>
      <c r="C1485" t="s">
        <v>18</v>
      </c>
      <c r="D1485" t="s">
        <v>19</v>
      </c>
      <c r="E1485">
        <v>2.1</v>
      </c>
      <c r="F1485">
        <v>4</v>
      </c>
      <c r="G1485">
        <v>0</v>
      </c>
      <c r="H1485" t="str">
        <f t="shared" si="23"/>
        <v>No Night Usage</v>
      </c>
      <c r="I1485">
        <v>7.9</v>
      </c>
      <c r="J1485" s="3">
        <v>9</v>
      </c>
      <c r="K1485">
        <v>4.5999999999999996</v>
      </c>
      <c r="L1485" t="s">
        <v>20</v>
      </c>
      <c r="M1485">
        <v>7</v>
      </c>
      <c r="N1485">
        <v>4</v>
      </c>
      <c r="O1485">
        <v>0</v>
      </c>
      <c r="P1485">
        <v>0</v>
      </c>
      <c r="Q1485">
        <v>0</v>
      </c>
      <c r="R1485">
        <v>0</v>
      </c>
      <c r="S1485">
        <v>1</v>
      </c>
      <c r="T1485" t="str">
        <f>IF(mental_health[Sleep_Hours]&lt;5,"Low",IF(mental_health[Sleep_Hours]&lt;7,"Medium","Good"))</f>
        <v>Good</v>
      </c>
      <c r="U1485" t="str">
        <f>IF(mental_health[Stress_Level]&lt;=3,"Low",IF(mental_health[Stress_Level]&lt;=7,"Medium","High"))</f>
        <v>High</v>
      </c>
      <c r="V1485" t="str">
        <f>IF(mental_health[Daily_Screen_Time]&lt;=4,"Low",IF(mental_health[Daily_Screen_Time]&lt;=8,"Medium","High"))</f>
        <v>Low</v>
      </c>
    </row>
    <row r="1486" spans="1:22" x14ac:dyDescent="0.3">
      <c r="A1486">
        <v>1485</v>
      </c>
      <c r="B1486">
        <v>47</v>
      </c>
      <c r="C1486" t="s">
        <v>18</v>
      </c>
      <c r="D1486" t="s">
        <v>22</v>
      </c>
      <c r="E1486">
        <v>9.6</v>
      </c>
      <c r="F1486">
        <v>2.9</v>
      </c>
      <c r="G1486">
        <v>0</v>
      </c>
      <c r="H1486" t="str">
        <f t="shared" si="23"/>
        <v>No Night Usage</v>
      </c>
      <c r="I1486">
        <v>3.8</v>
      </c>
      <c r="J1486" s="3">
        <v>1</v>
      </c>
      <c r="K1486">
        <v>4.8</v>
      </c>
      <c r="L1486" t="s">
        <v>20</v>
      </c>
      <c r="M1486">
        <v>7</v>
      </c>
      <c r="N1486">
        <v>4</v>
      </c>
      <c r="O1486">
        <v>0</v>
      </c>
      <c r="P1486">
        <v>1</v>
      </c>
      <c r="Q1486">
        <v>1</v>
      </c>
      <c r="R1486">
        <v>0</v>
      </c>
      <c r="S1486">
        <v>1</v>
      </c>
      <c r="T1486" t="str">
        <f>IF(mental_health[Sleep_Hours]&lt;5,"Low",IF(mental_health[Sleep_Hours]&lt;7,"Medium","Good"))</f>
        <v>Low</v>
      </c>
      <c r="U1486" t="str">
        <f>IF(mental_health[Stress_Level]&lt;=3,"Low",IF(mental_health[Stress_Level]&lt;=7,"Medium","High"))</f>
        <v>Low</v>
      </c>
      <c r="V1486" t="str">
        <f>IF(mental_health[Daily_Screen_Time]&lt;=4,"Low",IF(mental_health[Daily_Screen_Time]&lt;=8,"Medium","High"))</f>
        <v>High</v>
      </c>
    </row>
    <row r="1487" spans="1:22" x14ac:dyDescent="0.3">
      <c r="A1487">
        <v>1486</v>
      </c>
      <c r="B1487">
        <v>50</v>
      </c>
      <c r="C1487" t="s">
        <v>23</v>
      </c>
      <c r="D1487" t="s">
        <v>22</v>
      </c>
      <c r="E1487">
        <v>10.9</v>
      </c>
      <c r="F1487">
        <v>7.2</v>
      </c>
      <c r="G1487">
        <v>1</v>
      </c>
      <c r="H1487" t="str">
        <f t="shared" si="23"/>
        <v>Night Usage</v>
      </c>
      <c r="I1487">
        <v>9</v>
      </c>
      <c r="J1487" s="3">
        <v>9</v>
      </c>
      <c r="K1487">
        <v>6.1</v>
      </c>
      <c r="L1487" t="s">
        <v>20</v>
      </c>
      <c r="M1487">
        <v>2</v>
      </c>
      <c r="N1487">
        <v>1</v>
      </c>
      <c r="O1487">
        <v>1</v>
      </c>
      <c r="P1487">
        <v>1</v>
      </c>
      <c r="Q1487">
        <v>1</v>
      </c>
      <c r="R1487">
        <v>1</v>
      </c>
      <c r="S1487">
        <v>0</v>
      </c>
      <c r="T1487" t="str">
        <f>IF(mental_health[Sleep_Hours]&lt;5,"Low",IF(mental_health[Sleep_Hours]&lt;7,"Medium","Good"))</f>
        <v>Good</v>
      </c>
      <c r="U1487" t="str">
        <f>IF(mental_health[Stress_Level]&lt;=3,"Low",IF(mental_health[Stress_Level]&lt;=7,"Medium","High"))</f>
        <v>High</v>
      </c>
      <c r="V1487" t="str">
        <f>IF(mental_health[Daily_Screen_Time]&lt;=4,"Low",IF(mental_health[Daily_Screen_Time]&lt;=8,"Medium","High"))</f>
        <v>High</v>
      </c>
    </row>
    <row r="1488" spans="1:22" x14ac:dyDescent="0.3">
      <c r="A1488">
        <v>1487</v>
      </c>
      <c r="B1488">
        <v>53</v>
      </c>
      <c r="C1488" t="s">
        <v>23</v>
      </c>
      <c r="D1488" t="s">
        <v>22</v>
      </c>
      <c r="E1488">
        <v>6.3</v>
      </c>
      <c r="F1488">
        <v>1.3</v>
      </c>
      <c r="G1488">
        <v>0</v>
      </c>
      <c r="H1488" t="str">
        <f t="shared" si="23"/>
        <v>No Night Usage</v>
      </c>
      <c r="I1488">
        <v>4.5999999999999996</v>
      </c>
      <c r="J1488" s="3">
        <v>7</v>
      </c>
      <c r="K1488">
        <v>3.4</v>
      </c>
      <c r="L1488" t="s">
        <v>25</v>
      </c>
      <c r="M1488">
        <v>1</v>
      </c>
      <c r="N1488">
        <v>4</v>
      </c>
      <c r="O1488">
        <v>1</v>
      </c>
      <c r="P1488">
        <v>1</v>
      </c>
      <c r="Q1488">
        <v>0</v>
      </c>
      <c r="R1488">
        <v>1</v>
      </c>
      <c r="S1488">
        <v>0</v>
      </c>
      <c r="T1488" t="str">
        <f>IF(mental_health[Sleep_Hours]&lt;5,"Low",IF(mental_health[Sleep_Hours]&lt;7,"Medium","Good"))</f>
        <v>Low</v>
      </c>
      <c r="U1488" t="str">
        <f>IF(mental_health[Stress_Level]&lt;=3,"Low",IF(mental_health[Stress_Level]&lt;=7,"Medium","High"))</f>
        <v>Medium</v>
      </c>
      <c r="V1488" t="str">
        <f>IF(mental_health[Daily_Screen_Time]&lt;=4,"Low",IF(mental_health[Daily_Screen_Time]&lt;=8,"Medium","High"))</f>
        <v>Medium</v>
      </c>
    </row>
    <row r="1489" spans="1:22" x14ac:dyDescent="0.3">
      <c r="A1489">
        <v>1488</v>
      </c>
      <c r="B1489">
        <v>28</v>
      </c>
      <c r="C1489" t="s">
        <v>18</v>
      </c>
      <c r="D1489" t="s">
        <v>24</v>
      </c>
      <c r="E1489">
        <v>7.4</v>
      </c>
      <c r="F1489">
        <v>7.4</v>
      </c>
      <c r="G1489">
        <v>0</v>
      </c>
      <c r="H1489" t="str">
        <f t="shared" si="23"/>
        <v>No Night Usage</v>
      </c>
      <c r="I1489">
        <v>7.3</v>
      </c>
      <c r="J1489" s="3">
        <v>10</v>
      </c>
      <c r="K1489">
        <v>7.1</v>
      </c>
      <c r="L1489" t="s">
        <v>25</v>
      </c>
      <c r="M1489">
        <v>10</v>
      </c>
      <c r="N1489">
        <v>3</v>
      </c>
      <c r="O1489">
        <v>0</v>
      </c>
      <c r="P1489">
        <v>1</v>
      </c>
      <c r="Q1489">
        <v>1</v>
      </c>
      <c r="R1489">
        <v>1</v>
      </c>
      <c r="S1489">
        <v>1</v>
      </c>
      <c r="T1489" t="str">
        <f>IF(mental_health[Sleep_Hours]&lt;5,"Low",IF(mental_health[Sleep_Hours]&lt;7,"Medium","Good"))</f>
        <v>Good</v>
      </c>
      <c r="U1489" t="str">
        <f>IF(mental_health[Stress_Level]&lt;=3,"Low",IF(mental_health[Stress_Level]&lt;=7,"Medium","High"))</f>
        <v>High</v>
      </c>
      <c r="V1489" t="str">
        <f>IF(mental_health[Daily_Screen_Time]&lt;=4,"Low",IF(mental_health[Daily_Screen_Time]&lt;=8,"Medium","High"))</f>
        <v>Medium</v>
      </c>
    </row>
    <row r="1490" spans="1:22" x14ac:dyDescent="0.3">
      <c r="A1490">
        <v>1489</v>
      </c>
      <c r="B1490">
        <v>40</v>
      </c>
      <c r="C1490" t="s">
        <v>23</v>
      </c>
      <c r="D1490" t="s">
        <v>19</v>
      </c>
      <c r="E1490">
        <v>6.8</v>
      </c>
      <c r="F1490">
        <v>6.8</v>
      </c>
      <c r="G1490">
        <v>0</v>
      </c>
      <c r="H1490" t="str">
        <f t="shared" si="23"/>
        <v>No Night Usage</v>
      </c>
      <c r="I1490">
        <v>8.4</v>
      </c>
      <c r="J1490" s="3">
        <v>2</v>
      </c>
      <c r="K1490">
        <v>8.6999999999999993</v>
      </c>
      <c r="L1490" t="s">
        <v>21</v>
      </c>
      <c r="M1490">
        <v>2</v>
      </c>
      <c r="N1490">
        <v>1</v>
      </c>
      <c r="O1490">
        <v>0</v>
      </c>
      <c r="P1490">
        <v>0</v>
      </c>
      <c r="Q1490">
        <v>1</v>
      </c>
      <c r="R1490">
        <v>0</v>
      </c>
      <c r="S1490">
        <v>0</v>
      </c>
      <c r="T1490" t="str">
        <f>IF(mental_health[Sleep_Hours]&lt;5,"Low",IF(mental_health[Sleep_Hours]&lt;7,"Medium","Good"))</f>
        <v>Good</v>
      </c>
      <c r="U1490" t="str">
        <f>IF(mental_health[Stress_Level]&lt;=3,"Low",IF(mental_health[Stress_Level]&lt;=7,"Medium","High"))</f>
        <v>Low</v>
      </c>
      <c r="V1490" t="str">
        <f>IF(mental_health[Daily_Screen_Time]&lt;=4,"Low",IF(mental_health[Daily_Screen_Time]&lt;=8,"Medium","High"))</f>
        <v>Medium</v>
      </c>
    </row>
    <row r="1491" spans="1:22" x14ac:dyDescent="0.3">
      <c r="A1491">
        <v>1490</v>
      </c>
      <c r="B1491">
        <v>24</v>
      </c>
      <c r="C1491" t="s">
        <v>18</v>
      </c>
      <c r="D1491" t="s">
        <v>24</v>
      </c>
      <c r="E1491">
        <v>5.9</v>
      </c>
      <c r="F1491">
        <v>3.1</v>
      </c>
      <c r="G1491">
        <v>0</v>
      </c>
      <c r="H1491" t="str">
        <f t="shared" si="23"/>
        <v>No Night Usage</v>
      </c>
      <c r="I1491">
        <v>4.4000000000000004</v>
      </c>
      <c r="J1491" s="3">
        <v>6</v>
      </c>
      <c r="K1491">
        <v>9.9</v>
      </c>
      <c r="L1491" t="s">
        <v>20</v>
      </c>
      <c r="M1491">
        <v>8</v>
      </c>
      <c r="N1491">
        <v>4</v>
      </c>
      <c r="O1491">
        <v>0</v>
      </c>
      <c r="P1491">
        <v>0</v>
      </c>
      <c r="Q1491">
        <v>1</v>
      </c>
      <c r="R1491">
        <v>0</v>
      </c>
      <c r="S1491">
        <v>1</v>
      </c>
      <c r="T1491" t="str">
        <f>IF(mental_health[Sleep_Hours]&lt;5,"Low",IF(mental_health[Sleep_Hours]&lt;7,"Medium","Good"))</f>
        <v>Low</v>
      </c>
      <c r="U1491" t="str">
        <f>IF(mental_health[Stress_Level]&lt;=3,"Low",IF(mental_health[Stress_Level]&lt;=7,"Medium","High"))</f>
        <v>Medium</v>
      </c>
      <c r="V1491" t="str">
        <f>IF(mental_health[Daily_Screen_Time]&lt;=4,"Low",IF(mental_health[Daily_Screen_Time]&lt;=8,"Medium","High"))</f>
        <v>Medium</v>
      </c>
    </row>
    <row r="1492" spans="1:22" x14ac:dyDescent="0.3">
      <c r="A1492">
        <v>1491</v>
      </c>
      <c r="B1492">
        <v>19</v>
      </c>
      <c r="C1492" t="s">
        <v>23</v>
      </c>
      <c r="D1492" t="s">
        <v>19</v>
      </c>
      <c r="E1492">
        <v>10.9</v>
      </c>
      <c r="F1492">
        <v>6.5</v>
      </c>
      <c r="G1492">
        <v>1</v>
      </c>
      <c r="H1492" t="str">
        <f t="shared" si="23"/>
        <v>Night Usage</v>
      </c>
      <c r="I1492">
        <v>8.4</v>
      </c>
      <c r="J1492" s="3">
        <v>8</v>
      </c>
      <c r="K1492">
        <v>9.1</v>
      </c>
      <c r="L1492" t="s">
        <v>21</v>
      </c>
      <c r="M1492">
        <v>10</v>
      </c>
      <c r="N1492">
        <v>1</v>
      </c>
      <c r="O1492">
        <v>1</v>
      </c>
      <c r="P1492">
        <v>0</v>
      </c>
      <c r="Q1492">
        <v>1</v>
      </c>
      <c r="R1492">
        <v>1</v>
      </c>
      <c r="S1492">
        <v>1</v>
      </c>
      <c r="T1492" t="str">
        <f>IF(mental_health[Sleep_Hours]&lt;5,"Low",IF(mental_health[Sleep_Hours]&lt;7,"Medium","Good"))</f>
        <v>Good</v>
      </c>
      <c r="U1492" t="str">
        <f>IF(mental_health[Stress_Level]&lt;=3,"Low",IF(mental_health[Stress_Level]&lt;=7,"Medium","High"))</f>
        <v>High</v>
      </c>
      <c r="V1492" t="str">
        <f>IF(mental_health[Daily_Screen_Time]&lt;=4,"Low",IF(mental_health[Daily_Screen_Time]&lt;=8,"Medium","High"))</f>
        <v>High</v>
      </c>
    </row>
    <row r="1493" spans="1:22" x14ac:dyDescent="0.3">
      <c r="A1493">
        <v>1492</v>
      </c>
      <c r="B1493">
        <v>29</v>
      </c>
      <c r="C1493" t="s">
        <v>18</v>
      </c>
      <c r="D1493" t="s">
        <v>24</v>
      </c>
      <c r="E1493">
        <v>10.9</v>
      </c>
      <c r="F1493">
        <v>1.2</v>
      </c>
      <c r="G1493">
        <v>1</v>
      </c>
      <c r="H1493" t="str">
        <f t="shared" si="23"/>
        <v>Night Usage</v>
      </c>
      <c r="I1493">
        <v>4.9000000000000004</v>
      </c>
      <c r="J1493" s="3">
        <v>2</v>
      </c>
      <c r="K1493">
        <v>3.5</v>
      </c>
      <c r="L1493" t="s">
        <v>25</v>
      </c>
      <c r="M1493">
        <v>3</v>
      </c>
      <c r="N1493">
        <v>3</v>
      </c>
      <c r="O1493">
        <v>0</v>
      </c>
      <c r="P1493">
        <v>1</v>
      </c>
      <c r="Q1493">
        <v>1</v>
      </c>
      <c r="R1493">
        <v>0</v>
      </c>
      <c r="S1493">
        <v>0</v>
      </c>
      <c r="T1493" t="str">
        <f>IF(mental_health[Sleep_Hours]&lt;5,"Low",IF(mental_health[Sleep_Hours]&lt;7,"Medium","Good"))</f>
        <v>Low</v>
      </c>
      <c r="U1493" t="str">
        <f>IF(mental_health[Stress_Level]&lt;=3,"Low",IF(mental_health[Stress_Level]&lt;=7,"Medium","High"))</f>
        <v>Low</v>
      </c>
      <c r="V1493" t="str">
        <f>IF(mental_health[Daily_Screen_Time]&lt;=4,"Low",IF(mental_health[Daily_Screen_Time]&lt;=8,"Medium","High"))</f>
        <v>High</v>
      </c>
    </row>
    <row r="1494" spans="1:22" x14ac:dyDescent="0.3">
      <c r="A1494">
        <v>1493</v>
      </c>
      <c r="B1494">
        <v>52</v>
      </c>
      <c r="C1494" t="s">
        <v>23</v>
      </c>
      <c r="D1494" t="s">
        <v>22</v>
      </c>
      <c r="E1494">
        <v>5.4</v>
      </c>
      <c r="F1494">
        <v>7.8</v>
      </c>
      <c r="G1494">
        <v>0</v>
      </c>
      <c r="H1494" t="str">
        <f t="shared" si="23"/>
        <v>No Night Usage</v>
      </c>
      <c r="I1494">
        <v>8.9</v>
      </c>
      <c r="J1494" s="3">
        <v>5</v>
      </c>
      <c r="K1494">
        <v>6.6</v>
      </c>
      <c r="L1494" t="s">
        <v>25</v>
      </c>
      <c r="M1494">
        <v>4</v>
      </c>
      <c r="N1494">
        <v>1</v>
      </c>
      <c r="O1494">
        <v>0</v>
      </c>
      <c r="P1494">
        <v>1</v>
      </c>
      <c r="Q1494">
        <v>1</v>
      </c>
      <c r="R1494">
        <v>0</v>
      </c>
      <c r="S1494">
        <v>0</v>
      </c>
      <c r="T1494" t="str">
        <f>IF(mental_health[Sleep_Hours]&lt;5,"Low",IF(mental_health[Sleep_Hours]&lt;7,"Medium","Good"))</f>
        <v>Good</v>
      </c>
      <c r="U1494" t="str">
        <f>IF(mental_health[Stress_Level]&lt;=3,"Low",IF(mental_health[Stress_Level]&lt;=7,"Medium","High"))</f>
        <v>Medium</v>
      </c>
      <c r="V1494" t="str">
        <f>IF(mental_health[Daily_Screen_Time]&lt;=4,"Low",IF(mental_health[Daily_Screen_Time]&lt;=8,"Medium","High"))</f>
        <v>Medium</v>
      </c>
    </row>
    <row r="1495" spans="1:22" x14ac:dyDescent="0.3">
      <c r="A1495">
        <v>1494</v>
      </c>
      <c r="B1495">
        <v>49</v>
      </c>
      <c r="C1495" t="s">
        <v>23</v>
      </c>
      <c r="D1495" t="s">
        <v>22</v>
      </c>
      <c r="E1495">
        <v>8.1999999999999993</v>
      </c>
      <c r="F1495">
        <v>4.7</v>
      </c>
      <c r="G1495">
        <v>0</v>
      </c>
      <c r="H1495" t="str">
        <f t="shared" si="23"/>
        <v>No Night Usage</v>
      </c>
      <c r="I1495">
        <v>4.7</v>
      </c>
      <c r="J1495" s="3">
        <v>6</v>
      </c>
      <c r="K1495">
        <v>2.4</v>
      </c>
      <c r="L1495" t="s">
        <v>20</v>
      </c>
      <c r="M1495">
        <v>8</v>
      </c>
      <c r="N1495">
        <v>3</v>
      </c>
      <c r="O1495">
        <v>1</v>
      </c>
      <c r="P1495">
        <v>0</v>
      </c>
      <c r="Q1495">
        <v>1</v>
      </c>
      <c r="R1495">
        <v>1</v>
      </c>
      <c r="S1495">
        <v>1</v>
      </c>
      <c r="T1495" t="str">
        <f>IF(mental_health[Sleep_Hours]&lt;5,"Low",IF(mental_health[Sleep_Hours]&lt;7,"Medium","Good"))</f>
        <v>Low</v>
      </c>
      <c r="U1495" t="str">
        <f>IF(mental_health[Stress_Level]&lt;=3,"Low",IF(mental_health[Stress_Level]&lt;=7,"Medium","High"))</f>
        <v>Medium</v>
      </c>
      <c r="V1495" t="str">
        <f>IF(mental_health[Daily_Screen_Time]&lt;=4,"Low",IF(mental_health[Daily_Screen_Time]&lt;=8,"Medium","High"))</f>
        <v>High</v>
      </c>
    </row>
    <row r="1496" spans="1:22" x14ac:dyDescent="0.3">
      <c r="A1496">
        <v>1495</v>
      </c>
      <c r="B1496">
        <v>26</v>
      </c>
      <c r="C1496" t="s">
        <v>18</v>
      </c>
      <c r="D1496" t="s">
        <v>22</v>
      </c>
      <c r="E1496">
        <v>11.3</v>
      </c>
      <c r="F1496">
        <v>3.1</v>
      </c>
      <c r="G1496">
        <v>0</v>
      </c>
      <c r="H1496" t="str">
        <f t="shared" si="23"/>
        <v>No Night Usage</v>
      </c>
      <c r="I1496">
        <v>8.6999999999999993</v>
      </c>
      <c r="J1496" s="3">
        <v>3</v>
      </c>
      <c r="K1496">
        <v>2.2000000000000002</v>
      </c>
      <c r="L1496" t="s">
        <v>20</v>
      </c>
      <c r="M1496">
        <v>3</v>
      </c>
      <c r="N1496">
        <v>2</v>
      </c>
      <c r="O1496">
        <v>1</v>
      </c>
      <c r="P1496">
        <v>0</v>
      </c>
      <c r="Q1496">
        <v>0</v>
      </c>
      <c r="R1496">
        <v>1</v>
      </c>
      <c r="S1496">
        <v>0</v>
      </c>
      <c r="T1496" t="str">
        <f>IF(mental_health[Sleep_Hours]&lt;5,"Low",IF(mental_health[Sleep_Hours]&lt;7,"Medium","Good"))</f>
        <v>Good</v>
      </c>
      <c r="U1496" t="str">
        <f>IF(mental_health[Stress_Level]&lt;=3,"Low",IF(mental_health[Stress_Level]&lt;=7,"Medium","High"))</f>
        <v>Low</v>
      </c>
      <c r="V1496" t="str">
        <f>IF(mental_health[Daily_Screen_Time]&lt;=4,"Low",IF(mental_health[Daily_Screen_Time]&lt;=8,"Medium","High"))</f>
        <v>High</v>
      </c>
    </row>
    <row r="1497" spans="1:22" x14ac:dyDescent="0.3">
      <c r="A1497">
        <v>1496</v>
      </c>
      <c r="B1497">
        <v>56</v>
      </c>
      <c r="C1497" t="s">
        <v>23</v>
      </c>
      <c r="D1497" t="s">
        <v>24</v>
      </c>
      <c r="E1497">
        <v>11.6</v>
      </c>
      <c r="F1497">
        <v>3.5</v>
      </c>
      <c r="G1497">
        <v>0</v>
      </c>
      <c r="H1497" t="str">
        <f t="shared" si="23"/>
        <v>No Night Usage</v>
      </c>
      <c r="I1497">
        <v>3.3</v>
      </c>
      <c r="J1497" s="3">
        <v>2</v>
      </c>
      <c r="K1497">
        <v>6.4</v>
      </c>
      <c r="L1497" t="s">
        <v>21</v>
      </c>
      <c r="M1497">
        <v>6</v>
      </c>
      <c r="N1497">
        <v>4</v>
      </c>
      <c r="O1497">
        <v>1</v>
      </c>
      <c r="P1497">
        <v>1</v>
      </c>
      <c r="Q1497">
        <v>0</v>
      </c>
      <c r="R1497">
        <v>1</v>
      </c>
      <c r="S1497">
        <v>1</v>
      </c>
      <c r="T1497" t="str">
        <f>IF(mental_health[Sleep_Hours]&lt;5,"Low",IF(mental_health[Sleep_Hours]&lt;7,"Medium","Good"))</f>
        <v>Low</v>
      </c>
      <c r="U1497" t="str">
        <f>IF(mental_health[Stress_Level]&lt;=3,"Low",IF(mental_health[Stress_Level]&lt;=7,"Medium","High"))</f>
        <v>Low</v>
      </c>
      <c r="V1497" t="str">
        <f>IF(mental_health[Daily_Screen_Time]&lt;=4,"Low",IF(mental_health[Daily_Screen_Time]&lt;=8,"Medium","High"))</f>
        <v>High</v>
      </c>
    </row>
    <row r="1498" spans="1:22" x14ac:dyDescent="0.3">
      <c r="A1498">
        <v>1497</v>
      </c>
      <c r="B1498">
        <v>18</v>
      </c>
      <c r="C1498" t="s">
        <v>18</v>
      </c>
      <c r="D1498" t="s">
        <v>19</v>
      </c>
      <c r="E1498">
        <v>7.1</v>
      </c>
      <c r="F1498">
        <v>1.5</v>
      </c>
      <c r="G1498">
        <v>1</v>
      </c>
      <c r="H1498" t="str">
        <f t="shared" si="23"/>
        <v>Night Usage</v>
      </c>
      <c r="I1498">
        <v>7.3</v>
      </c>
      <c r="J1498" s="3">
        <v>6</v>
      </c>
      <c r="K1498">
        <v>4.5</v>
      </c>
      <c r="L1498" t="s">
        <v>25</v>
      </c>
      <c r="M1498">
        <v>2</v>
      </c>
      <c r="N1498">
        <v>3</v>
      </c>
      <c r="O1498">
        <v>0</v>
      </c>
      <c r="P1498">
        <v>0</v>
      </c>
      <c r="Q1498">
        <v>1</v>
      </c>
      <c r="R1498">
        <v>1</v>
      </c>
      <c r="S1498">
        <v>1</v>
      </c>
      <c r="T1498" t="str">
        <f>IF(mental_health[Sleep_Hours]&lt;5,"Low",IF(mental_health[Sleep_Hours]&lt;7,"Medium","Good"))</f>
        <v>Good</v>
      </c>
      <c r="U1498" t="str">
        <f>IF(mental_health[Stress_Level]&lt;=3,"Low",IF(mental_health[Stress_Level]&lt;=7,"Medium","High"))</f>
        <v>Medium</v>
      </c>
      <c r="V1498" t="str">
        <f>IF(mental_health[Daily_Screen_Time]&lt;=4,"Low",IF(mental_health[Daily_Screen_Time]&lt;=8,"Medium","High"))</f>
        <v>Medium</v>
      </c>
    </row>
    <row r="1499" spans="1:22" x14ac:dyDescent="0.3">
      <c r="A1499">
        <v>1498</v>
      </c>
      <c r="B1499">
        <v>43</v>
      </c>
      <c r="C1499" t="s">
        <v>18</v>
      </c>
      <c r="D1499" t="s">
        <v>19</v>
      </c>
      <c r="E1499">
        <v>6.5</v>
      </c>
      <c r="F1499">
        <v>7.9</v>
      </c>
      <c r="G1499">
        <v>1</v>
      </c>
      <c r="H1499" t="str">
        <f t="shared" si="23"/>
        <v>Night Usage</v>
      </c>
      <c r="I1499">
        <v>6.2</v>
      </c>
      <c r="J1499" s="3">
        <v>3</v>
      </c>
      <c r="K1499">
        <v>8.8000000000000007</v>
      </c>
      <c r="L1499" t="s">
        <v>21</v>
      </c>
      <c r="M1499">
        <v>3</v>
      </c>
      <c r="N1499">
        <v>4</v>
      </c>
      <c r="O1499">
        <v>1</v>
      </c>
      <c r="P1499">
        <v>1</v>
      </c>
      <c r="Q1499">
        <v>1</v>
      </c>
      <c r="R1499">
        <v>0</v>
      </c>
      <c r="S1499">
        <v>1</v>
      </c>
      <c r="T1499" t="str">
        <f>IF(mental_health[Sleep_Hours]&lt;5,"Low",IF(mental_health[Sleep_Hours]&lt;7,"Medium","Good"))</f>
        <v>Medium</v>
      </c>
      <c r="U1499" t="str">
        <f>IF(mental_health[Stress_Level]&lt;=3,"Low",IF(mental_health[Stress_Level]&lt;=7,"Medium","High"))</f>
        <v>Low</v>
      </c>
      <c r="V1499" t="str">
        <f>IF(mental_health[Daily_Screen_Time]&lt;=4,"Low",IF(mental_health[Daily_Screen_Time]&lt;=8,"Medium","High"))</f>
        <v>Medium</v>
      </c>
    </row>
    <row r="1500" spans="1:22" x14ac:dyDescent="0.3">
      <c r="A1500">
        <v>1499</v>
      </c>
      <c r="B1500">
        <v>44</v>
      </c>
      <c r="C1500" t="s">
        <v>18</v>
      </c>
      <c r="D1500" t="s">
        <v>22</v>
      </c>
      <c r="E1500">
        <v>4.8</v>
      </c>
      <c r="F1500">
        <v>1.3</v>
      </c>
      <c r="G1500">
        <v>0</v>
      </c>
      <c r="H1500" t="str">
        <f t="shared" si="23"/>
        <v>No Night Usage</v>
      </c>
      <c r="I1500">
        <v>5.9</v>
      </c>
      <c r="J1500" s="3">
        <v>2</v>
      </c>
      <c r="K1500">
        <v>9.1999999999999993</v>
      </c>
      <c r="L1500" t="s">
        <v>21</v>
      </c>
      <c r="M1500">
        <v>1</v>
      </c>
      <c r="N1500">
        <v>3</v>
      </c>
      <c r="O1500">
        <v>0</v>
      </c>
      <c r="P1500">
        <v>0</v>
      </c>
      <c r="Q1500">
        <v>1</v>
      </c>
      <c r="R1500">
        <v>0</v>
      </c>
      <c r="S1500">
        <v>1</v>
      </c>
      <c r="T1500" t="str">
        <f>IF(mental_health[Sleep_Hours]&lt;5,"Low",IF(mental_health[Sleep_Hours]&lt;7,"Medium","Good"))</f>
        <v>Medium</v>
      </c>
      <c r="U1500" t="str">
        <f>IF(mental_health[Stress_Level]&lt;=3,"Low",IF(mental_health[Stress_Level]&lt;=7,"Medium","High"))</f>
        <v>Low</v>
      </c>
      <c r="V1500" t="str">
        <f>IF(mental_health[Daily_Screen_Time]&lt;=4,"Low",IF(mental_health[Daily_Screen_Time]&lt;=8,"Medium","High"))</f>
        <v>Medium</v>
      </c>
    </row>
    <row r="1501" spans="1:22" x14ac:dyDescent="0.3">
      <c r="A1501">
        <v>1500</v>
      </c>
      <c r="B1501">
        <v>24</v>
      </c>
      <c r="C1501" t="s">
        <v>18</v>
      </c>
      <c r="D1501" t="s">
        <v>22</v>
      </c>
      <c r="E1501">
        <v>11.6</v>
      </c>
      <c r="F1501">
        <v>5.6</v>
      </c>
      <c r="G1501">
        <v>0</v>
      </c>
      <c r="H1501" t="str">
        <f t="shared" si="23"/>
        <v>No Night Usage</v>
      </c>
      <c r="I1501">
        <v>4.3</v>
      </c>
      <c r="J1501" s="3">
        <v>1</v>
      </c>
      <c r="K1501">
        <v>11</v>
      </c>
      <c r="L1501" t="s">
        <v>21</v>
      </c>
      <c r="M1501">
        <v>9</v>
      </c>
      <c r="N1501">
        <v>0</v>
      </c>
      <c r="O1501">
        <v>0</v>
      </c>
      <c r="P1501">
        <v>0</v>
      </c>
      <c r="Q1501">
        <v>0</v>
      </c>
      <c r="R1501">
        <v>1</v>
      </c>
      <c r="S1501">
        <v>0</v>
      </c>
      <c r="T1501" t="str">
        <f>IF(mental_health[Sleep_Hours]&lt;5,"Low",IF(mental_health[Sleep_Hours]&lt;7,"Medium","Good"))</f>
        <v>Low</v>
      </c>
      <c r="U1501" t="str">
        <f>IF(mental_health[Stress_Level]&lt;=3,"Low",IF(mental_health[Stress_Level]&lt;=7,"Medium","High"))</f>
        <v>Low</v>
      </c>
      <c r="V1501" t="str">
        <f>IF(mental_health[Daily_Screen_Time]&lt;=4,"Low",IF(mental_health[Daily_Screen_Time]&lt;=8,"Medium","High"))</f>
        <v>High</v>
      </c>
    </row>
    <row r="1502" spans="1:22" x14ac:dyDescent="0.3">
      <c r="A1502">
        <v>1501</v>
      </c>
      <c r="B1502">
        <v>18</v>
      </c>
      <c r="C1502" t="s">
        <v>18</v>
      </c>
      <c r="D1502" t="s">
        <v>22</v>
      </c>
      <c r="E1502">
        <v>3.4</v>
      </c>
      <c r="F1502">
        <v>4.0999999999999996</v>
      </c>
      <c r="G1502">
        <v>0</v>
      </c>
      <c r="H1502" t="str">
        <f t="shared" si="23"/>
        <v>No Night Usage</v>
      </c>
      <c r="I1502">
        <v>7.2</v>
      </c>
      <c r="J1502" s="3">
        <v>8</v>
      </c>
      <c r="K1502">
        <v>9.6</v>
      </c>
      <c r="L1502" t="s">
        <v>20</v>
      </c>
      <c r="M1502">
        <v>4</v>
      </c>
      <c r="N1502">
        <v>0</v>
      </c>
      <c r="O1502">
        <v>1</v>
      </c>
      <c r="P1502">
        <v>1</v>
      </c>
      <c r="Q1502">
        <v>0</v>
      </c>
      <c r="R1502">
        <v>0</v>
      </c>
      <c r="S1502">
        <v>1</v>
      </c>
      <c r="T1502" t="str">
        <f>IF(mental_health[Sleep_Hours]&lt;5,"Low",IF(mental_health[Sleep_Hours]&lt;7,"Medium","Good"))</f>
        <v>Good</v>
      </c>
      <c r="U1502" t="str">
        <f>IF(mental_health[Stress_Level]&lt;=3,"Low",IF(mental_health[Stress_Level]&lt;=7,"Medium","High"))</f>
        <v>High</v>
      </c>
      <c r="V1502" t="str">
        <f>IF(mental_health[Daily_Screen_Time]&lt;=4,"Low",IF(mental_health[Daily_Screen_Time]&lt;=8,"Medium","High"))</f>
        <v>Low</v>
      </c>
    </row>
    <row r="1503" spans="1:22" x14ac:dyDescent="0.3">
      <c r="A1503">
        <v>1502</v>
      </c>
      <c r="B1503">
        <v>40</v>
      </c>
      <c r="C1503" t="s">
        <v>23</v>
      </c>
      <c r="D1503" t="s">
        <v>22</v>
      </c>
      <c r="E1503">
        <v>7.8</v>
      </c>
      <c r="F1503">
        <v>7.6</v>
      </c>
      <c r="G1503">
        <v>0</v>
      </c>
      <c r="H1503" t="str">
        <f t="shared" si="23"/>
        <v>No Night Usage</v>
      </c>
      <c r="I1503">
        <v>4.0999999999999996</v>
      </c>
      <c r="J1503" s="3">
        <v>1</v>
      </c>
      <c r="K1503">
        <v>2.5</v>
      </c>
      <c r="L1503" t="s">
        <v>25</v>
      </c>
      <c r="M1503">
        <v>6</v>
      </c>
      <c r="N1503">
        <v>0</v>
      </c>
      <c r="O1503">
        <v>0</v>
      </c>
      <c r="P1503">
        <v>0</v>
      </c>
      <c r="Q1503">
        <v>0</v>
      </c>
      <c r="R1503">
        <v>0</v>
      </c>
      <c r="S1503">
        <v>0</v>
      </c>
      <c r="T1503" t="str">
        <f>IF(mental_health[Sleep_Hours]&lt;5,"Low",IF(mental_health[Sleep_Hours]&lt;7,"Medium","Good"))</f>
        <v>Low</v>
      </c>
      <c r="U1503" t="str">
        <f>IF(mental_health[Stress_Level]&lt;=3,"Low",IF(mental_health[Stress_Level]&lt;=7,"Medium","High"))</f>
        <v>Low</v>
      </c>
      <c r="V1503" t="str">
        <f>IF(mental_health[Daily_Screen_Time]&lt;=4,"Low",IF(mental_health[Daily_Screen_Time]&lt;=8,"Medium","High"))</f>
        <v>Medium</v>
      </c>
    </row>
    <row r="1504" spans="1:22" x14ac:dyDescent="0.3">
      <c r="A1504">
        <v>1503</v>
      </c>
      <c r="B1504">
        <v>49</v>
      </c>
      <c r="C1504" t="s">
        <v>23</v>
      </c>
      <c r="D1504" t="s">
        <v>19</v>
      </c>
      <c r="E1504">
        <v>4.8</v>
      </c>
      <c r="F1504">
        <v>2.7</v>
      </c>
      <c r="G1504">
        <v>0</v>
      </c>
      <c r="H1504" t="str">
        <f t="shared" si="23"/>
        <v>No Night Usage</v>
      </c>
      <c r="I1504">
        <v>6.3</v>
      </c>
      <c r="J1504" s="3">
        <v>5</v>
      </c>
      <c r="K1504">
        <v>5.7</v>
      </c>
      <c r="L1504" t="s">
        <v>21</v>
      </c>
      <c r="M1504">
        <v>7</v>
      </c>
      <c r="N1504">
        <v>3</v>
      </c>
      <c r="O1504">
        <v>1</v>
      </c>
      <c r="P1504">
        <v>0</v>
      </c>
      <c r="Q1504">
        <v>1</v>
      </c>
      <c r="R1504">
        <v>0</v>
      </c>
      <c r="S1504">
        <v>1</v>
      </c>
      <c r="T1504" t="str">
        <f>IF(mental_health[Sleep_Hours]&lt;5,"Low",IF(mental_health[Sleep_Hours]&lt;7,"Medium","Good"))</f>
        <v>Medium</v>
      </c>
      <c r="U1504" t="str">
        <f>IF(mental_health[Stress_Level]&lt;=3,"Low",IF(mental_health[Stress_Level]&lt;=7,"Medium","High"))</f>
        <v>Medium</v>
      </c>
      <c r="V1504" t="str">
        <f>IF(mental_health[Daily_Screen_Time]&lt;=4,"Low",IF(mental_health[Daily_Screen_Time]&lt;=8,"Medium","High"))</f>
        <v>Medium</v>
      </c>
    </row>
    <row r="1505" spans="1:22" x14ac:dyDescent="0.3">
      <c r="A1505">
        <v>1504</v>
      </c>
      <c r="B1505">
        <v>27</v>
      </c>
      <c r="C1505" t="s">
        <v>18</v>
      </c>
      <c r="D1505" t="s">
        <v>24</v>
      </c>
      <c r="E1505">
        <v>4.8</v>
      </c>
      <c r="F1505">
        <v>4.7</v>
      </c>
      <c r="G1505">
        <v>1</v>
      </c>
      <c r="H1505" t="str">
        <f t="shared" si="23"/>
        <v>Night Usage</v>
      </c>
      <c r="I1505">
        <v>4.5</v>
      </c>
      <c r="J1505" s="3">
        <v>6</v>
      </c>
      <c r="K1505">
        <v>4.7</v>
      </c>
      <c r="L1505" t="s">
        <v>25</v>
      </c>
      <c r="M1505">
        <v>2</v>
      </c>
      <c r="N1505">
        <v>4</v>
      </c>
      <c r="O1505">
        <v>1</v>
      </c>
      <c r="P1505">
        <v>0</v>
      </c>
      <c r="Q1505">
        <v>0</v>
      </c>
      <c r="R1505">
        <v>0</v>
      </c>
      <c r="S1505">
        <v>0</v>
      </c>
      <c r="T1505" t="str">
        <f>IF(mental_health[Sleep_Hours]&lt;5,"Low",IF(mental_health[Sleep_Hours]&lt;7,"Medium","Good"))</f>
        <v>Low</v>
      </c>
      <c r="U1505" t="str">
        <f>IF(mental_health[Stress_Level]&lt;=3,"Low",IF(mental_health[Stress_Level]&lt;=7,"Medium","High"))</f>
        <v>Medium</v>
      </c>
      <c r="V1505" t="str">
        <f>IF(mental_health[Daily_Screen_Time]&lt;=4,"Low",IF(mental_health[Daily_Screen_Time]&lt;=8,"Medium","High"))</f>
        <v>Medium</v>
      </c>
    </row>
    <row r="1506" spans="1:22" x14ac:dyDescent="0.3">
      <c r="A1506">
        <v>1505</v>
      </c>
      <c r="B1506">
        <v>57</v>
      </c>
      <c r="C1506" t="s">
        <v>23</v>
      </c>
      <c r="D1506" t="s">
        <v>24</v>
      </c>
      <c r="E1506">
        <v>6</v>
      </c>
      <c r="F1506">
        <v>4.4000000000000004</v>
      </c>
      <c r="G1506">
        <v>1</v>
      </c>
      <c r="H1506" t="str">
        <f t="shared" si="23"/>
        <v>Night Usage</v>
      </c>
      <c r="I1506">
        <v>8.6999999999999993</v>
      </c>
      <c r="J1506" s="3">
        <v>3</v>
      </c>
      <c r="K1506">
        <v>5.9</v>
      </c>
      <c r="L1506" t="s">
        <v>25</v>
      </c>
      <c r="M1506">
        <v>8</v>
      </c>
      <c r="N1506">
        <v>0</v>
      </c>
      <c r="O1506">
        <v>1</v>
      </c>
      <c r="P1506">
        <v>0</v>
      </c>
      <c r="Q1506">
        <v>0</v>
      </c>
      <c r="R1506">
        <v>0</v>
      </c>
      <c r="S1506">
        <v>0</v>
      </c>
      <c r="T1506" t="str">
        <f>IF(mental_health[Sleep_Hours]&lt;5,"Low",IF(mental_health[Sleep_Hours]&lt;7,"Medium","Good"))</f>
        <v>Good</v>
      </c>
      <c r="U1506" t="str">
        <f>IF(mental_health[Stress_Level]&lt;=3,"Low",IF(mental_health[Stress_Level]&lt;=7,"Medium","High"))</f>
        <v>Low</v>
      </c>
      <c r="V1506" t="str">
        <f>IF(mental_health[Daily_Screen_Time]&lt;=4,"Low",IF(mental_health[Daily_Screen_Time]&lt;=8,"Medium","High"))</f>
        <v>Medium</v>
      </c>
    </row>
    <row r="1507" spans="1:22" x14ac:dyDescent="0.3">
      <c r="A1507">
        <v>1506</v>
      </c>
      <c r="B1507">
        <v>24</v>
      </c>
      <c r="C1507" t="s">
        <v>18</v>
      </c>
      <c r="D1507" t="s">
        <v>24</v>
      </c>
      <c r="E1507">
        <v>12</v>
      </c>
      <c r="F1507">
        <v>5.9</v>
      </c>
      <c r="G1507">
        <v>0</v>
      </c>
      <c r="H1507" t="str">
        <f t="shared" si="23"/>
        <v>No Night Usage</v>
      </c>
      <c r="I1507">
        <v>3.2</v>
      </c>
      <c r="J1507" s="3">
        <v>7</v>
      </c>
      <c r="K1507">
        <v>3.6</v>
      </c>
      <c r="L1507" t="s">
        <v>21</v>
      </c>
      <c r="M1507">
        <v>9</v>
      </c>
      <c r="N1507">
        <v>4</v>
      </c>
      <c r="O1507">
        <v>1</v>
      </c>
      <c r="P1507">
        <v>0</v>
      </c>
      <c r="Q1507">
        <v>0</v>
      </c>
      <c r="R1507">
        <v>1</v>
      </c>
      <c r="S1507">
        <v>0</v>
      </c>
      <c r="T1507" t="str">
        <f>IF(mental_health[Sleep_Hours]&lt;5,"Low",IF(mental_health[Sleep_Hours]&lt;7,"Medium","Good"))</f>
        <v>Low</v>
      </c>
      <c r="U1507" t="str">
        <f>IF(mental_health[Stress_Level]&lt;=3,"Low",IF(mental_health[Stress_Level]&lt;=7,"Medium","High"))</f>
        <v>Medium</v>
      </c>
      <c r="V1507" t="str">
        <f>IF(mental_health[Daily_Screen_Time]&lt;=4,"Low",IF(mental_health[Daily_Screen_Time]&lt;=8,"Medium","High"))</f>
        <v>High</v>
      </c>
    </row>
    <row r="1508" spans="1:22" x14ac:dyDescent="0.3">
      <c r="A1508">
        <v>1507</v>
      </c>
      <c r="B1508">
        <v>30</v>
      </c>
      <c r="C1508" t="s">
        <v>23</v>
      </c>
      <c r="D1508" t="s">
        <v>24</v>
      </c>
      <c r="E1508">
        <v>2.5</v>
      </c>
      <c r="F1508">
        <v>1.5</v>
      </c>
      <c r="G1508">
        <v>1</v>
      </c>
      <c r="H1508" t="str">
        <f t="shared" si="23"/>
        <v>Night Usage</v>
      </c>
      <c r="I1508">
        <v>4.2</v>
      </c>
      <c r="J1508" s="3">
        <v>2</v>
      </c>
      <c r="K1508">
        <v>3</v>
      </c>
      <c r="L1508" t="s">
        <v>21</v>
      </c>
      <c r="M1508">
        <v>10</v>
      </c>
      <c r="N1508">
        <v>3</v>
      </c>
      <c r="O1508">
        <v>0</v>
      </c>
      <c r="P1508">
        <v>0</v>
      </c>
      <c r="Q1508">
        <v>0</v>
      </c>
      <c r="R1508">
        <v>0</v>
      </c>
      <c r="S1508">
        <v>0</v>
      </c>
      <c r="T1508" t="str">
        <f>IF(mental_health[Sleep_Hours]&lt;5,"Low",IF(mental_health[Sleep_Hours]&lt;7,"Medium","Good"))</f>
        <v>Low</v>
      </c>
      <c r="U1508" t="str">
        <f>IF(mental_health[Stress_Level]&lt;=3,"Low",IF(mental_health[Stress_Level]&lt;=7,"Medium","High"))</f>
        <v>Low</v>
      </c>
      <c r="V1508" t="str">
        <f>IF(mental_health[Daily_Screen_Time]&lt;=4,"Low",IF(mental_health[Daily_Screen_Time]&lt;=8,"Medium","High"))</f>
        <v>Low</v>
      </c>
    </row>
    <row r="1509" spans="1:22" x14ac:dyDescent="0.3">
      <c r="A1509">
        <v>1508</v>
      </c>
      <c r="B1509">
        <v>55</v>
      </c>
      <c r="C1509" t="s">
        <v>23</v>
      </c>
      <c r="D1509" t="s">
        <v>22</v>
      </c>
      <c r="E1509">
        <v>7.8</v>
      </c>
      <c r="F1509">
        <v>2.4</v>
      </c>
      <c r="G1509">
        <v>1</v>
      </c>
      <c r="H1509" t="str">
        <f t="shared" si="23"/>
        <v>Night Usage</v>
      </c>
      <c r="I1509">
        <v>4.5</v>
      </c>
      <c r="J1509" s="3">
        <v>7</v>
      </c>
      <c r="K1509">
        <v>7.2</v>
      </c>
      <c r="L1509" t="s">
        <v>20</v>
      </c>
      <c r="M1509">
        <v>2</v>
      </c>
      <c r="N1509">
        <v>4</v>
      </c>
      <c r="O1509">
        <v>1</v>
      </c>
      <c r="P1509">
        <v>1</v>
      </c>
      <c r="Q1509">
        <v>1</v>
      </c>
      <c r="R1509">
        <v>1</v>
      </c>
      <c r="S1509">
        <v>0</v>
      </c>
      <c r="T1509" t="str">
        <f>IF(mental_health[Sleep_Hours]&lt;5,"Low",IF(mental_health[Sleep_Hours]&lt;7,"Medium","Good"))</f>
        <v>Low</v>
      </c>
      <c r="U1509" t="str">
        <f>IF(mental_health[Stress_Level]&lt;=3,"Low",IF(mental_health[Stress_Level]&lt;=7,"Medium","High"))</f>
        <v>Medium</v>
      </c>
      <c r="V1509" t="str">
        <f>IF(mental_health[Daily_Screen_Time]&lt;=4,"Low",IF(mental_health[Daily_Screen_Time]&lt;=8,"Medium","High"))</f>
        <v>Medium</v>
      </c>
    </row>
    <row r="1510" spans="1:22" x14ac:dyDescent="0.3">
      <c r="A1510">
        <v>1509</v>
      </c>
      <c r="B1510">
        <v>40</v>
      </c>
      <c r="C1510" t="s">
        <v>23</v>
      </c>
      <c r="D1510" t="s">
        <v>22</v>
      </c>
      <c r="E1510">
        <v>2.8</v>
      </c>
      <c r="F1510">
        <v>2.5</v>
      </c>
      <c r="G1510">
        <v>1</v>
      </c>
      <c r="H1510" t="str">
        <f t="shared" si="23"/>
        <v>Night Usage</v>
      </c>
      <c r="I1510">
        <v>5.5</v>
      </c>
      <c r="J1510" s="3">
        <v>2</v>
      </c>
      <c r="K1510">
        <v>9.1999999999999993</v>
      </c>
      <c r="L1510" t="s">
        <v>25</v>
      </c>
      <c r="M1510">
        <v>5</v>
      </c>
      <c r="N1510">
        <v>4</v>
      </c>
      <c r="O1510">
        <v>0</v>
      </c>
      <c r="P1510">
        <v>1</v>
      </c>
      <c r="Q1510">
        <v>0</v>
      </c>
      <c r="R1510">
        <v>0</v>
      </c>
      <c r="S1510">
        <v>0</v>
      </c>
      <c r="T1510" t="str">
        <f>IF(mental_health[Sleep_Hours]&lt;5,"Low",IF(mental_health[Sleep_Hours]&lt;7,"Medium","Good"))</f>
        <v>Medium</v>
      </c>
      <c r="U1510" t="str">
        <f>IF(mental_health[Stress_Level]&lt;=3,"Low",IF(mental_health[Stress_Level]&lt;=7,"Medium","High"))</f>
        <v>Low</v>
      </c>
      <c r="V1510" t="str">
        <f>IF(mental_health[Daily_Screen_Time]&lt;=4,"Low",IF(mental_health[Daily_Screen_Time]&lt;=8,"Medium","High"))</f>
        <v>Low</v>
      </c>
    </row>
    <row r="1511" spans="1:22" x14ac:dyDescent="0.3">
      <c r="A1511">
        <v>1510</v>
      </c>
      <c r="B1511">
        <v>20</v>
      </c>
      <c r="C1511" t="s">
        <v>23</v>
      </c>
      <c r="D1511" t="s">
        <v>22</v>
      </c>
      <c r="E1511">
        <v>3.5</v>
      </c>
      <c r="F1511">
        <v>6.2</v>
      </c>
      <c r="G1511">
        <v>0</v>
      </c>
      <c r="H1511" t="str">
        <f t="shared" si="23"/>
        <v>No Night Usage</v>
      </c>
      <c r="I1511">
        <v>4.4000000000000004</v>
      </c>
      <c r="J1511" s="3">
        <v>5</v>
      </c>
      <c r="K1511">
        <v>9</v>
      </c>
      <c r="L1511" t="s">
        <v>21</v>
      </c>
      <c r="M1511">
        <v>2</v>
      </c>
      <c r="N1511">
        <v>0</v>
      </c>
      <c r="O1511">
        <v>0</v>
      </c>
      <c r="P1511">
        <v>1</v>
      </c>
      <c r="Q1511">
        <v>0</v>
      </c>
      <c r="R1511">
        <v>1</v>
      </c>
      <c r="S1511">
        <v>1</v>
      </c>
      <c r="T1511" t="str">
        <f>IF(mental_health[Sleep_Hours]&lt;5,"Low",IF(mental_health[Sleep_Hours]&lt;7,"Medium","Good"))</f>
        <v>Low</v>
      </c>
      <c r="U1511" t="str">
        <f>IF(mental_health[Stress_Level]&lt;=3,"Low",IF(mental_health[Stress_Level]&lt;=7,"Medium","High"))</f>
        <v>Medium</v>
      </c>
      <c r="V1511" t="str">
        <f>IF(mental_health[Daily_Screen_Time]&lt;=4,"Low",IF(mental_health[Daily_Screen_Time]&lt;=8,"Medium","High"))</f>
        <v>Low</v>
      </c>
    </row>
    <row r="1512" spans="1:22" x14ac:dyDescent="0.3">
      <c r="A1512">
        <v>1511</v>
      </c>
      <c r="B1512">
        <v>26</v>
      </c>
      <c r="C1512" t="s">
        <v>18</v>
      </c>
      <c r="D1512" t="s">
        <v>24</v>
      </c>
      <c r="E1512">
        <v>6.4</v>
      </c>
      <c r="F1512">
        <v>2.2999999999999998</v>
      </c>
      <c r="G1512">
        <v>1</v>
      </c>
      <c r="H1512" t="str">
        <f t="shared" si="23"/>
        <v>Night Usage</v>
      </c>
      <c r="I1512">
        <v>5.9</v>
      </c>
      <c r="J1512" s="3">
        <v>7</v>
      </c>
      <c r="K1512">
        <v>6.5</v>
      </c>
      <c r="L1512" t="s">
        <v>21</v>
      </c>
      <c r="M1512">
        <v>5</v>
      </c>
      <c r="N1512">
        <v>1</v>
      </c>
      <c r="O1512">
        <v>1</v>
      </c>
      <c r="P1512">
        <v>1</v>
      </c>
      <c r="Q1512">
        <v>1</v>
      </c>
      <c r="R1512">
        <v>1</v>
      </c>
      <c r="S1512">
        <v>1</v>
      </c>
      <c r="T1512" t="str">
        <f>IF(mental_health[Sleep_Hours]&lt;5,"Low",IF(mental_health[Sleep_Hours]&lt;7,"Medium","Good"))</f>
        <v>Medium</v>
      </c>
      <c r="U1512" t="str">
        <f>IF(mental_health[Stress_Level]&lt;=3,"Low",IF(mental_health[Stress_Level]&lt;=7,"Medium","High"))</f>
        <v>Medium</v>
      </c>
      <c r="V1512" t="str">
        <f>IF(mental_health[Daily_Screen_Time]&lt;=4,"Low",IF(mental_health[Daily_Screen_Time]&lt;=8,"Medium","High"))</f>
        <v>Medium</v>
      </c>
    </row>
    <row r="1513" spans="1:22" x14ac:dyDescent="0.3">
      <c r="A1513">
        <v>1512</v>
      </c>
      <c r="B1513">
        <v>49</v>
      </c>
      <c r="C1513" t="s">
        <v>18</v>
      </c>
      <c r="D1513" t="s">
        <v>22</v>
      </c>
      <c r="E1513">
        <v>7.1</v>
      </c>
      <c r="F1513">
        <v>5</v>
      </c>
      <c r="G1513">
        <v>1</v>
      </c>
      <c r="H1513" t="str">
        <f t="shared" si="23"/>
        <v>Night Usage</v>
      </c>
      <c r="I1513">
        <v>8.1999999999999993</v>
      </c>
      <c r="J1513" s="3">
        <v>3</v>
      </c>
      <c r="K1513">
        <v>7.2</v>
      </c>
      <c r="L1513" t="s">
        <v>25</v>
      </c>
      <c r="M1513">
        <v>7</v>
      </c>
      <c r="N1513">
        <v>2</v>
      </c>
      <c r="O1513">
        <v>0</v>
      </c>
      <c r="P1513">
        <v>1</v>
      </c>
      <c r="Q1513">
        <v>1</v>
      </c>
      <c r="R1513">
        <v>1</v>
      </c>
      <c r="S1513">
        <v>1</v>
      </c>
      <c r="T1513" t="str">
        <f>IF(mental_health[Sleep_Hours]&lt;5,"Low",IF(mental_health[Sleep_Hours]&lt;7,"Medium","Good"))</f>
        <v>Good</v>
      </c>
      <c r="U1513" t="str">
        <f>IF(mental_health[Stress_Level]&lt;=3,"Low",IF(mental_health[Stress_Level]&lt;=7,"Medium","High"))</f>
        <v>Low</v>
      </c>
      <c r="V1513" t="str">
        <f>IF(mental_health[Daily_Screen_Time]&lt;=4,"Low",IF(mental_health[Daily_Screen_Time]&lt;=8,"Medium","High"))</f>
        <v>Medium</v>
      </c>
    </row>
    <row r="1514" spans="1:22" x14ac:dyDescent="0.3">
      <c r="A1514">
        <v>1513</v>
      </c>
      <c r="B1514">
        <v>39</v>
      </c>
      <c r="C1514" t="s">
        <v>23</v>
      </c>
      <c r="D1514" t="s">
        <v>22</v>
      </c>
      <c r="E1514">
        <v>4.5999999999999996</v>
      </c>
      <c r="F1514">
        <v>2.5</v>
      </c>
      <c r="G1514">
        <v>0</v>
      </c>
      <c r="H1514" t="str">
        <f t="shared" si="23"/>
        <v>No Night Usage</v>
      </c>
      <c r="I1514">
        <v>7.3</v>
      </c>
      <c r="J1514" s="3">
        <v>4</v>
      </c>
      <c r="K1514">
        <v>7.2</v>
      </c>
      <c r="L1514" t="s">
        <v>21</v>
      </c>
      <c r="M1514">
        <v>6</v>
      </c>
      <c r="N1514">
        <v>3</v>
      </c>
      <c r="O1514">
        <v>1</v>
      </c>
      <c r="P1514">
        <v>0</v>
      </c>
      <c r="Q1514">
        <v>0</v>
      </c>
      <c r="R1514">
        <v>1</v>
      </c>
      <c r="S1514">
        <v>1</v>
      </c>
      <c r="T1514" t="str">
        <f>IF(mental_health[Sleep_Hours]&lt;5,"Low",IF(mental_health[Sleep_Hours]&lt;7,"Medium","Good"))</f>
        <v>Good</v>
      </c>
      <c r="U1514" t="str">
        <f>IF(mental_health[Stress_Level]&lt;=3,"Low",IF(mental_health[Stress_Level]&lt;=7,"Medium","High"))</f>
        <v>Medium</v>
      </c>
      <c r="V1514" t="str">
        <f>IF(mental_health[Daily_Screen_Time]&lt;=4,"Low",IF(mental_health[Daily_Screen_Time]&lt;=8,"Medium","High"))</f>
        <v>Medium</v>
      </c>
    </row>
    <row r="1515" spans="1:22" x14ac:dyDescent="0.3">
      <c r="A1515">
        <v>1514</v>
      </c>
      <c r="B1515">
        <v>30</v>
      </c>
      <c r="C1515" t="s">
        <v>23</v>
      </c>
      <c r="D1515" t="s">
        <v>19</v>
      </c>
      <c r="E1515">
        <v>5.2</v>
      </c>
      <c r="F1515">
        <v>7</v>
      </c>
      <c r="G1515">
        <v>1</v>
      </c>
      <c r="H1515" t="str">
        <f t="shared" si="23"/>
        <v>Night Usage</v>
      </c>
      <c r="I1515">
        <v>6.5</v>
      </c>
      <c r="J1515" s="3">
        <v>1</v>
      </c>
      <c r="K1515">
        <v>8.9</v>
      </c>
      <c r="L1515" t="s">
        <v>25</v>
      </c>
      <c r="M1515">
        <v>4</v>
      </c>
      <c r="N1515">
        <v>3</v>
      </c>
      <c r="O1515">
        <v>1</v>
      </c>
      <c r="P1515">
        <v>0</v>
      </c>
      <c r="Q1515">
        <v>1</v>
      </c>
      <c r="R1515">
        <v>1</v>
      </c>
      <c r="S1515">
        <v>1</v>
      </c>
      <c r="T1515" t="str">
        <f>IF(mental_health[Sleep_Hours]&lt;5,"Low",IF(mental_health[Sleep_Hours]&lt;7,"Medium","Good"))</f>
        <v>Medium</v>
      </c>
      <c r="U1515" t="str">
        <f>IF(mental_health[Stress_Level]&lt;=3,"Low",IF(mental_health[Stress_Level]&lt;=7,"Medium","High"))</f>
        <v>Low</v>
      </c>
      <c r="V1515" t="str">
        <f>IF(mental_health[Daily_Screen_Time]&lt;=4,"Low",IF(mental_health[Daily_Screen_Time]&lt;=8,"Medium","High"))</f>
        <v>Medium</v>
      </c>
    </row>
    <row r="1516" spans="1:22" x14ac:dyDescent="0.3">
      <c r="A1516">
        <v>1515</v>
      </c>
      <c r="B1516">
        <v>53</v>
      </c>
      <c r="C1516" t="s">
        <v>18</v>
      </c>
      <c r="D1516" t="s">
        <v>19</v>
      </c>
      <c r="E1516">
        <v>2.9</v>
      </c>
      <c r="F1516">
        <v>7.6</v>
      </c>
      <c r="G1516">
        <v>0</v>
      </c>
      <c r="H1516" t="str">
        <f t="shared" si="23"/>
        <v>No Night Usage</v>
      </c>
      <c r="I1516">
        <v>3.5</v>
      </c>
      <c r="J1516" s="3">
        <v>3</v>
      </c>
      <c r="K1516">
        <v>2.5</v>
      </c>
      <c r="L1516" t="s">
        <v>21</v>
      </c>
      <c r="M1516">
        <v>2</v>
      </c>
      <c r="N1516">
        <v>3</v>
      </c>
      <c r="O1516">
        <v>1</v>
      </c>
      <c r="P1516">
        <v>1</v>
      </c>
      <c r="Q1516">
        <v>1</v>
      </c>
      <c r="R1516">
        <v>0</v>
      </c>
      <c r="S1516">
        <v>1</v>
      </c>
      <c r="T1516" t="str">
        <f>IF(mental_health[Sleep_Hours]&lt;5,"Low",IF(mental_health[Sleep_Hours]&lt;7,"Medium","Good"))</f>
        <v>Low</v>
      </c>
      <c r="U1516" t="str">
        <f>IF(mental_health[Stress_Level]&lt;=3,"Low",IF(mental_health[Stress_Level]&lt;=7,"Medium","High"))</f>
        <v>Low</v>
      </c>
      <c r="V1516" t="str">
        <f>IF(mental_health[Daily_Screen_Time]&lt;=4,"Low",IF(mental_health[Daily_Screen_Time]&lt;=8,"Medium","High"))</f>
        <v>Low</v>
      </c>
    </row>
    <row r="1517" spans="1:22" x14ac:dyDescent="0.3">
      <c r="A1517">
        <v>1516</v>
      </c>
      <c r="B1517">
        <v>23</v>
      </c>
      <c r="C1517" t="s">
        <v>23</v>
      </c>
      <c r="D1517" t="s">
        <v>22</v>
      </c>
      <c r="E1517">
        <v>5</v>
      </c>
      <c r="F1517">
        <v>4.5999999999999996</v>
      </c>
      <c r="G1517">
        <v>1</v>
      </c>
      <c r="H1517" t="str">
        <f t="shared" si="23"/>
        <v>Night Usage</v>
      </c>
      <c r="I1517">
        <v>7.2</v>
      </c>
      <c r="J1517" s="3">
        <v>9</v>
      </c>
      <c r="K1517">
        <v>9.1</v>
      </c>
      <c r="L1517" t="s">
        <v>25</v>
      </c>
      <c r="M1517">
        <v>7</v>
      </c>
      <c r="N1517">
        <v>2</v>
      </c>
      <c r="O1517">
        <v>0</v>
      </c>
      <c r="P1517">
        <v>0</v>
      </c>
      <c r="Q1517">
        <v>0</v>
      </c>
      <c r="R1517">
        <v>1</v>
      </c>
      <c r="S1517">
        <v>1</v>
      </c>
      <c r="T1517" t="str">
        <f>IF(mental_health[Sleep_Hours]&lt;5,"Low",IF(mental_health[Sleep_Hours]&lt;7,"Medium","Good"))</f>
        <v>Good</v>
      </c>
      <c r="U1517" t="str">
        <f>IF(mental_health[Stress_Level]&lt;=3,"Low",IF(mental_health[Stress_Level]&lt;=7,"Medium","High"))</f>
        <v>High</v>
      </c>
      <c r="V1517" t="str">
        <f>IF(mental_health[Daily_Screen_Time]&lt;=4,"Low",IF(mental_health[Daily_Screen_Time]&lt;=8,"Medium","High"))</f>
        <v>Medium</v>
      </c>
    </row>
    <row r="1518" spans="1:22" x14ac:dyDescent="0.3">
      <c r="A1518">
        <v>1517</v>
      </c>
      <c r="B1518">
        <v>20</v>
      </c>
      <c r="C1518" t="s">
        <v>18</v>
      </c>
      <c r="D1518" t="s">
        <v>19</v>
      </c>
      <c r="E1518">
        <v>11.7</v>
      </c>
      <c r="F1518">
        <v>3.5</v>
      </c>
      <c r="G1518">
        <v>0</v>
      </c>
      <c r="H1518" t="str">
        <f t="shared" si="23"/>
        <v>No Night Usage</v>
      </c>
      <c r="I1518">
        <v>4</v>
      </c>
      <c r="J1518" s="3">
        <v>10</v>
      </c>
      <c r="K1518">
        <v>7.8</v>
      </c>
      <c r="L1518" t="s">
        <v>21</v>
      </c>
      <c r="M1518">
        <v>10</v>
      </c>
      <c r="N1518">
        <v>1</v>
      </c>
      <c r="O1518">
        <v>1</v>
      </c>
      <c r="P1518">
        <v>0</v>
      </c>
      <c r="Q1518">
        <v>1</v>
      </c>
      <c r="R1518">
        <v>0</v>
      </c>
      <c r="S1518">
        <v>1</v>
      </c>
      <c r="T1518" t="str">
        <f>IF(mental_health[Sleep_Hours]&lt;5,"Low",IF(mental_health[Sleep_Hours]&lt;7,"Medium","Good"))</f>
        <v>Low</v>
      </c>
      <c r="U1518" t="str">
        <f>IF(mental_health[Stress_Level]&lt;=3,"Low",IF(mental_health[Stress_Level]&lt;=7,"Medium","High"))</f>
        <v>High</v>
      </c>
      <c r="V1518" t="str">
        <f>IF(mental_health[Daily_Screen_Time]&lt;=4,"Low",IF(mental_health[Daily_Screen_Time]&lt;=8,"Medium","High"))</f>
        <v>High</v>
      </c>
    </row>
    <row r="1519" spans="1:22" x14ac:dyDescent="0.3">
      <c r="A1519">
        <v>1518</v>
      </c>
      <c r="B1519">
        <v>41</v>
      </c>
      <c r="C1519" t="s">
        <v>18</v>
      </c>
      <c r="D1519" t="s">
        <v>19</v>
      </c>
      <c r="E1519">
        <v>11.4</v>
      </c>
      <c r="F1519">
        <v>2.6</v>
      </c>
      <c r="G1519">
        <v>0</v>
      </c>
      <c r="H1519" t="str">
        <f t="shared" si="23"/>
        <v>No Night Usage</v>
      </c>
      <c r="I1519">
        <v>7.7</v>
      </c>
      <c r="J1519" s="3">
        <v>5</v>
      </c>
      <c r="K1519">
        <v>4</v>
      </c>
      <c r="L1519" t="s">
        <v>21</v>
      </c>
      <c r="M1519">
        <v>9</v>
      </c>
      <c r="N1519">
        <v>4</v>
      </c>
      <c r="O1519">
        <v>1</v>
      </c>
      <c r="P1519">
        <v>0</v>
      </c>
      <c r="Q1519">
        <v>0</v>
      </c>
      <c r="R1519">
        <v>1</v>
      </c>
      <c r="S1519">
        <v>0</v>
      </c>
      <c r="T1519" t="str">
        <f>IF(mental_health[Sleep_Hours]&lt;5,"Low",IF(mental_health[Sleep_Hours]&lt;7,"Medium","Good"))</f>
        <v>Good</v>
      </c>
      <c r="U1519" t="str">
        <f>IF(mental_health[Stress_Level]&lt;=3,"Low",IF(mental_health[Stress_Level]&lt;=7,"Medium","High"))</f>
        <v>Medium</v>
      </c>
      <c r="V1519" t="str">
        <f>IF(mental_health[Daily_Screen_Time]&lt;=4,"Low",IF(mental_health[Daily_Screen_Time]&lt;=8,"Medium","High"))</f>
        <v>High</v>
      </c>
    </row>
    <row r="1520" spans="1:22" x14ac:dyDescent="0.3">
      <c r="A1520">
        <v>1519</v>
      </c>
      <c r="B1520">
        <v>33</v>
      </c>
      <c r="C1520" t="s">
        <v>18</v>
      </c>
      <c r="D1520" t="s">
        <v>22</v>
      </c>
      <c r="E1520">
        <v>5.3</v>
      </c>
      <c r="F1520">
        <v>1.3</v>
      </c>
      <c r="G1520">
        <v>1</v>
      </c>
      <c r="H1520" t="str">
        <f t="shared" si="23"/>
        <v>Night Usage</v>
      </c>
      <c r="I1520">
        <v>4.5</v>
      </c>
      <c r="J1520" s="3">
        <v>8</v>
      </c>
      <c r="K1520">
        <v>2.5</v>
      </c>
      <c r="L1520" t="s">
        <v>20</v>
      </c>
      <c r="M1520">
        <v>1</v>
      </c>
      <c r="N1520">
        <v>3</v>
      </c>
      <c r="O1520">
        <v>0</v>
      </c>
      <c r="P1520">
        <v>0</v>
      </c>
      <c r="Q1520">
        <v>0</v>
      </c>
      <c r="R1520">
        <v>1</v>
      </c>
      <c r="S1520">
        <v>1</v>
      </c>
      <c r="T1520" t="str">
        <f>IF(mental_health[Sleep_Hours]&lt;5,"Low",IF(mental_health[Sleep_Hours]&lt;7,"Medium","Good"))</f>
        <v>Low</v>
      </c>
      <c r="U1520" t="str">
        <f>IF(mental_health[Stress_Level]&lt;=3,"Low",IF(mental_health[Stress_Level]&lt;=7,"Medium","High"))</f>
        <v>High</v>
      </c>
      <c r="V1520" t="str">
        <f>IF(mental_health[Daily_Screen_Time]&lt;=4,"Low",IF(mental_health[Daily_Screen_Time]&lt;=8,"Medium","High"))</f>
        <v>Medium</v>
      </c>
    </row>
    <row r="1521" spans="1:22" x14ac:dyDescent="0.3">
      <c r="A1521">
        <v>1520</v>
      </c>
      <c r="B1521">
        <v>21</v>
      </c>
      <c r="C1521" t="s">
        <v>23</v>
      </c>
      <c r="D1521" t="s">
        <v>22</v>
      </c>
      <c r="E1521">
        <v>7.7</v>
      </c>
      <c r="F1521">
        <v>2.9</v>
      </c>
      <c r="G1521">
        <v>1</v>
      </c>
      <c r="H1521" t="str">
        <f t="shared" si="23"/>
        <v>Night Usage</v>
      </c>
      <c r="I1521">
        <v>5.5</v>
      </c>
      <c r="J1521" s="3">
        <v>2</v>
      </c>
      <c r="K1521">
        <v>3.1</v>
      </c>
      <c r="L1521" t="s">
        <v>25</v>
      </c>
      <c r="M1521">
        <v>3</v>
      </c>
      <c r="N1521">
        <v>4</v>
      </c>
      <c r="O1521">
        <v>1</v>
      </c>
      <c r="P1521">
        <v>0</v>
      </c>
      <c r="Q1521">
        <v>0</v>
      </c>
      <c r="R1521">
        <v>1</v>
      </c>
      <c r="S1521">
        <v>0</v>
      </c>
      <c r="T1521" t="str">
        <f>IF(mental_health[Sleep_Hours]&lt;5,"Low",IF(mental_health[Sleep_Hours]&lt;7,"Medium","Good"))</f>
        <v>Medium</v>
      </c>
      <c r="U1521" t="str">
        <f>IF(mental_health[Stress_Level]&lt;=3,"Low",IF(mental_health[Stress_Level]&lt;=7,"Medium","High"))</f>
        <v>Low</v>
      </c>
      <c r="V1521" t="str">
        <f>IF(mental_health[Daily_Screen_Time]&lt;=4,"Low",IF(mental_health[Daily_Screen_Time]&lt;=8,"Medium","High"))</f>
        <v>Medium</v>
      </c>
    </row>
    <row r="1522" spans="1:22" x14ac:dyDescent="0.3">
      <c r="A1522">
        <v>1521</v>
      </c>
      <c r="B1522">
        <v>52</v>
      </c>
      <c r="C1522" t="s">
        <v>18</v>
      </c>
      <c r="D1522" t="s">
        <v>22</v>
      </c>
      <c r="E1522">
        <v>11.1</v>
      </c>
      <c r="F1522">
        <v>5.6</v>
      </c>
      <c r="G1522">
        <v>0</v>
      </c>
      <c r="H1522" t="str">
        <f t="shared" si="23"/>
        <v>No Night Usage</v>
      </c>
      <c r="I1522">
        <v>5.0999999999999996</v>
      </c>
      <c r="J1522" s="3">
        <v>3</v>
      </c>
      <c r="K1522">
        <v>7.2</v>
      </c>
      <c r="L1522" t="s">
        <v>20</v>
      </c>
      <c r="M1522">
        <v>7</v>
      </c>
      <c r="N1522">
        <v>0</v>
      </c>
      <c r="O1522">
        <v>1</v>
      </c>
      <c r="P1522">
        <v>1</v>
      </c>
      <c r="Q1522">
        <v>0</v>
      </c>
      <c r="R1522">
        <v>1</v>
      </c>
      <c r="S1522">
        <v>0</v>
      </c>
      <c r="T1522" t="str">
        <f>IF(mental_health[Sleep_Hours]&lt;5,"Low",IF(mental_health[Sleep_Hours]&lt;7,"Medium","Good"))</f>
        <v>Medium</v>
      </c>
      <c r="U1522" t="str">
        <f>IF(mental_health[Stress_Level]&lt;=3,"Low",IF(mental_health[Stress_Level]&lt;=7,"Medium","High"))</f>
        <v>Low</v>
      </c>
      <c r="V1522" t="str">
        <f>IF(mental_health[Daily_Screen_Time]&lt;=4,"Low",IF(mental_health[Daily_Screen_Time]&lt;=8,"Medium","High"))</f>
        <v>High</v>
      </c>
    </row>
    <row r="1523" spans="1:22" x14ac:dyDescent="0.3">
      <c r="A1523">
        <v>1522</v>
      </c>
      <c r="B1523">
        <v>28</v>
      </c>
      <c r="C1523" t="s">
        <v>23</v>
      </c>
      <c r="D1523" t="s">
        <v>22</v>
      </c>
      <c r="E1523">
        <v>2.1</v>
      </c>
      <c r="F1523">
        <v>4.7</v>
      </c>
      <c r="G1523">
        <v>0</v>
      </c>
      <c r="H1523" t="str">
        <f t="shared" si="23"/>
        <v>No Night Usage</v>
      </c>
      <c r="I1523">
        <v>8.1999999999999993</v>
      </c>
      <c r="J1523" s="3">
        <v>7</v>
      </c>
      <c r="K1523">
        <v>9.6</v>
      </c>
      <c r="L1523" t="s">
        <v>21</v>
      </c>
      <c r="M1523">
        <v>9</v>
      </c>
      <c r="N1523">
        <v>0</v>
      </c>
      <c r="O1523">
        <v>1</v>
      </c>
      <c r="P1523">
        <v>1</v>
      </c>
      <c r="Q1523">
        <v>0</v>
      </c>
      <c r="R1523">
        <v>1</v>
      </c>
      <c r="S1523">
        <v>1</v>
      </c>
      <c r="T1523" t="str">
        <f>IF(mental_health[Sleep_Hours]&lt;5,"Low",IF(mental_health[Sleep_Hours]&lt;7,"Medium","Good"))</f>
        <v>Good</v>
      </c>
      <c r="U1523" t="str">
        <f>IF(mental_health[Stress_Level]&lt;=3,"Low",IF(mental_health[Stress_Level]&lt;=7,"Medium","High"))</f>
        <v>Medium</v>
      </c>
      <c r="V1523" t="str">
        <f>IF(mental_health[Daily_Screen_Time]&lt;=4,"Low",IF(mental_health[Daily_Screen_Time]&lt;=8,"Medium","High"))</f>
        <v>Low</v>
      </c>
    </row>
    <row r="1524" spans="1:22" x14ac:dyDescent="0.3">
      <c r="A1524">
        <v>1523</v>
      </c>
      <c r="B1524">
        <v>43</v>
      </c>
      <c r="C1524" t="s">
        <v>18</v>
      </c>
      <c r="D1524" t="s">
        <v>24</v>
      </c>
      <c r="E1524">
        <v>10.1</v>
      </c>
      <c r="F1524">
        <v>7.6</v>
      </c>
      <c r="G1524">
        <v>1</v>
      </c>
      <c r="H1524" t="str">
        <f t="shared" si="23"/>
        <v>Night Usage</v>
      </c>
      <c r="I1524">
        <v>3.8</v>
      </c>
      <c r="J1524" s="3">
        <v>10</v>
      </c>
      <c r="K1524">
        <v>5.3</v>
      </c>
      <c r="L1524" t="s">
        <v>25</v>
      </c>
      <c r="M1524">
        <v>5</v>
      </c>
      <c r="N1524">
        <v>0</v>
      </c>
      <c r="O1524">
        <v>1</v>
      </c>
      <c r="P1524">
        <v>0</v>
      </c>
      <c r="Q1524">
        <v>1</v>
      </c>
      <c r="R1524">
        <v>1</v>
      </c>
      <c r="S1524">
        <v>0</v>
      </c>
      <c r="T1524" t="str">
        <f>IF(mental_health[Sleep_Hours]&lt;5,"Low",IF(mental_health[Sleep_Hours]&lt;7,"Medium","Good"))</f>
        <v>Low</v>
      </c>
      <c r="U1524" t="str">
        <f>IF(mental_health[Stress_Level]&lt;=3,"Low",IF(mental_health[Stress_Level]&lt;=7,"Medium","High"))</f>
        <v>High</v>
      </c>
      <c r="V1524" t="str">
        <f>IF(mental_health[Daily_Screen_Time]&lt;=4,"Low",IF(mental_health[Daily_Screen_Time]&lt;=8,"Medium","High"))</f>
        <v>High</v>
      </c>
    </row>
    <row r="1525" spans="1:22" x14ac:dyDescent="0.3">
      <c r="A1525">
        <v>1524</v>
      </c>
      <c r="B1525">
        <v>20</v>
      </c>
      <c r="C1525" t="s">
        <v>23</v>
      </c>
      <c r="D1525" t="s">
        <v>24</v>
      </c>
      <c r="E1525">
        <v>11.5</v>
      </c>
      <c r="F1525">
        <v>3.8</v>
      </c>
      <c r="G1525">
        <v>1</v>
      </c>
      <c r="H1525" t="str">
        <f t="shared" si="23"/>
        <v>Night Usage</v>
      </c>
      <c r="I1525">
        <v>6.4</v>
      </c>
      <c r="J1525" s="3">
        <v>4</v>
      </c>
      <c r="K1525">
        <v>5.8</v>
      </c>
      <c r="L1525" t="s">
        <v>25</v>
      </c>
      <c r="M1525">
        <v>7</v>
      </c>
      <c r="N1525">
        <v>3</v>
      </c>
      <c r="O1525">
        <v>1</v>
      </c>
      <c r="P1525">
        <v>1</v>
      </c>
      <c r="Q1525">
        <v>1</v>
      </c>
      <c r="R1525">
        <v>1</v>
      </c>
      <c r="S1525">
        <v>1</v>
      </c>
      <c r="T1525" t="str">
        <f>IF(mental_health[Sleep_Hours]&lt;5,"Low",IF(mental_health[Sleep_Hours]&lt;7,"Medium","Good"))</f>
        <v>Medium</v>
      </c>
      <c r="U1525" t="str">
        <f>IF(mental_health[Stress_Level]&lt;=3,"Low",IF(mental_health[Stress_Level]&lt;=7,"Medium","High"))</f>
        <v>Medium</v>
      </c>
      <c r="V1525" t="str">
        <f>IF(mental_health[Daily_Screen_Time]&lt;=4,"Low",IF(mental_health[Daily_Screen_Time]&lt;=8,"Medium","High"))</f>
        <v>High</v>
      </c>
    </row>
    <row r="1526" spans="1:22" x14ac:dyDescent="0.3">
      <c r="A1526">
        <v>1525</v>
      </c>
      <c r="B1526">
        <v>28</v>
      </c>
      <c r="C1526" t="s">
        <v>23</v>
      </c>
      <c r="D1526" t="s">
        <v>22</v>
      </c>
      <c r="E1526">
        <v>2.9</v>
      </c>
      <c r="F1526">
        <v>5.9</v>
      </c>
      <c r="G1526">
        <v>1</v>
      </c>
      <c r="H1526" t="str">
        <f t="shared" si="23"/>
        <v>Night Usage</v>
      </c>
      <c r="I1526">
        <v>3.9</v>
      </c>
      <c r="J1526" s="3">
        <v>9</v>
      </c>
      <c r="K1526">
        <v>11.3</v>
      </c>
      <c r="L1526" t="s">
        <v>21</v>
      </c>
      <c r="M1526">
        <v>10</v>
      </c>
      <c r="N1526">
        <v>2</v>
      </c>
      <c r="O1526">
        <v>1</v>
      </c>
      <c r="P1526">
        <v>1</v>
      </c>
      <c r="Q1526">
        <v>1</v>
      </c>
      <c r="R1526">
        <v>0</v>
      </c>
      <c r="S1526">
        <v>1</v>
      </c>
      <c r="T1526" t="str">
        <f>IF(mental_health[Sleep_Hours]&lt;5,"Low",IF(mental_health[Sleep_Hours]&lt;7,"Medium","Good"))</f>
        <v>Low</v>
      </c>
      <c r="U1526" t="str">
        <f>IF(mental_health[Stress_Level]&lt;=3,"Low",IF(mental_health[Stress_Level]&lt;=7,"Medium","High"))</f>
        <v>High</v>
      </c>
      <c r="V1526" t="str">
        <f>IF(mental_health[Daily_Screen_Time]&lt;=4,"Low",IF(mental_health[Daily_Screen_Time]&lt;=8,"Medium","High"))</f>
        <v>Low</v>
      </c>
    </row>
    <row r="1527" spans="1:22" x14ac:dyDescent="0.3">
      <c r="A1527">
        <v>1526</v>
      </c>
      <c r="B1527">
        <v>32</v>
      </c>
      <c r="C1527" t="s">
        <v>23</v>
      </c>
      <c r="D1527" t="s">
        <v>19</v>
      </c>
      <c r="E1527">
        <v>3.6</v>
      </c>
      <c r="F1527">
        <v>4.4000000000000004</v>
      </c>
      <c r="G1527">
        <v>1</v>
      </c>
      <c r="H1527" t="str">
        <f t="shared" si="23"/>
        <v>Night Usage</v>
      </c>
      <c r="I1527">
        <v>7.2</v>
      </c>
      <c r="J1527" s="3">
        <v>7</v>
      </c>
      <c r="K1527">
        <v>4.0999999999999996</v>
      </c>
      <c r="L1527" t="s">
        <v>21</v>
      </c>
      <c r="M1527">
        <v>7</v>
      </c>
      <c r="N1527">
        <v>3</v>
      </c>
      <c r="O1527">
        <v>0</v>
      </c>
      <c r="P1527">
        <v>1</v>
      </c>
      <c r="Q1527">
        <v>1</v>
      </c>
      <c r="R1527">
        <v>1</v>
      </c>
      <c r="S1527">
        <v>1</v>
      </c>
      <c r="T1527" t="str">
        <f>IF(mental_health[Sleep_Hours]&lt;5,"Low",IF(mental_health[Sleep_Hours]&lt;7,"Medium","Good"))</f>
        <v>Good</v>
      </c>
      <c r="U1527" t="str">
        <f>IF(mental_health[Stress_Level]&lt;=3,"Low",IF(mental_health[Stress_Level]&lt;=7,"Medium","High"))</f>
        <v>Medium</v>
      </c>
      <c r="V1527" t="str">
        <f>IF(mental_health[Daily_Screen_Time]&lt;=4,"Low",IF(mental_health[Daily_Screen_Time]&lt;=8,"Medium","High"))</f>
        <v>Low</v>
      </c>
    </row>
    <row r="1528" spans="1:22" x14ac:dyDescent="0.3">
      <c r="A1528">
        <v>1527</v>
      </c>
      <c r="B1528">
        <v>55</v>
      </c>
      <c r="C1528" t="s">
        <v>18</v>
      </c>
      <c r="D1528" t="s">
        <v>22</v>
      </c>
      <c r="E1528">
        <v>11.6</v>
      </c>
      <c r="F1528">
        <v>4.5999999999999996</v>
      </c>
      <c r="G1528">
        <v>0</v>
      </c>
      <c r="H1528" t="str">
        <f t="shared" si="23"/>
        <v>No Night Usage</v>
      </c>
      <c r="I1528">
        <v>8.4</v>
      </c>
      <c r="J1528" s="3">
        <v>1</v>
      </c>
      <c r="K1528">
        <v>3</v>
      </c>
      <c r="L1528" t="s">
        <v>21</v>
      </c>
      <c r="M1528">
        <v>4</v>
      </c>
      <c r="N1528">
        <v>0</v>
      </c>
      <c r="O1528">
        <v>1</v>
      </c>
      <c r="P1528">
        <v>1</v>
      </c>
      <c r="Q1528">
        <v>1</v>
      </c>
      <c r="R1528">
        <v>0</v>
      </c>
      <c r="S1528">
        <v>0</v>
      </c>
      <c r="T1528" t="str">
        <f>IF(mental_health[Sleep_Hours]&lt;5,"Low",IF(mental_health[Sleep_Hours]&lt;7,"Medium","Good"))</f>
        <v>Good</v>
      </c>
      <c r="U1528" t="str">
        <f>IF(mental_health[Stress_Level]&lt;=3,"Low",IF(mental_health[Stress_Level]&lt;=7,"Medium","High"))</f>
        <v>Low</v>
      </c>
      <c r="V1528" t="str">
        <f>IF(mental_health[Daily_Screen_Time]&lt;=4,"Low",IF(mental_health[Daily_Screen_Time]&lt;=8,"Medium","High"))</f>
        <v>High</v>
      </c>
    </row>
    <row r="1529" spans="1:22" x14ac:dyDescent="0.3">
      <c r="A1529">
        <v>1528</v>
      </c>
      <c r="B1529">
        <v>47</v>
      </c>
      <c r="C1529" t="s">
        <v>18</v>
      </c>
      <c r="D1529" t="s">
        <v>22</v>
      </c>
      <c r="E1529">
        <v>7.4</v>
      </c>
      <c r="F1529">
        <v>2.9</v>
      </c>
      <c r="G1529">
        <v>0</v>
      </c>
      <c r="H1529" t="str">
        <f t="shared" si="23"/>
        <v>No Night Usage</v>
      </c>
      <c r="I1529">
        <v>5.6</v>
      </c>
      <c r="J1529" s="3">
        <v>4</v>
      </c>
      <c r="K1529">
        <v>5.4</v>
      </c>
      <c r="L1529" t="s">
        <v>21</v>
      </c>
      <c r="M1529">
        <v>5</v>
      </c>
      <c r="N1529">
        <v>0</v>
      </c>
      <c r="O1529">
        <v>1</v>
      </c>
      <c r="P1529">
        <v>0</v>
      </c>
      <c r="Q1529">
        <v>0</v>
      </c>
      <c r="R1529">
        <v>0</v>
      </c>
      <c r="S1529">
        <v>1</v>
      </c>
      <c r="T1529" t="str">
        <f>IF(mental_health[Sleep_Hours]&lt;5,"Low",IF(mental_health[Sleep_Hours]&lt;7,"Medium","Good"))</f>
        <v>Medium</v>
      </c>
      <c r="U1529" t="str">
        <f>IF(mental_health[Stress_Level]&lt;=3,"Low",IF(mental_health[Stress_Level]&lt;=7,"Medium","High"))</f>
        <v>Medium</v>
      </c>
      <c r="V1529" t="str">
        <f>IF(mental_health[Daily_Screen_Time]&lt;=4,"Low",IF(mental_health[Daily_Screen_Time]&lt;=8,"Medium","High"))</f>
        <v>Medium</v>
      </c>
    </row>
    <row r="1530" spans="1:22" x14ac:dyDescent="0.3">
      <c r="A1530">
        <v>1529</v>
      </c>
      <c r="B1530">
        <v>44</v>
      </c>
      <c r="C1530" t="s">
        <v>23</v>
      </c>
      <c r="D1530" t="s">
        <v>19</v>
      </c>
      <c r="E1530">
        <v>2.1</v>
      </c>
      <c r="F1530">
        <v>4.2</v>
      </c>
      <c r="G1530">
        <v>0</v>
      </c>
      <c r="H1530" t="str">
        <f t="shared" si="23"/>
        <v>No Night Usage</v>
      </c>
      <c r="I1530">
        <v>5.9</v>
      </c>
      <c r="J1530" s="3">
        <v>10</v>
      </c>
      <c r="K1530">
        <v>9.5</v>
      </c>
      <c r="L1530" t="s">
        <v>25</v>
      </c>
      <c r="M1530">
        <v>2</v>
      </c>
      <c r="N1530">
        <v>3</v>
      </c>
      <c r="O1530">
        <v>1</v>
      </c>
      <c r="P1530">
        <v>1</v>
      </c>
      <c r="Q1530">
        <v>1</v>
      </c>
      <c r="R1530">
        <v>0</v>
      </c>
      <c r="S1530">
        <v>0</v>
      </c>
      <c r="T1530" t="str">
        <f>IF(mental_health[Sleep_Hours]&lt;5,"Low",IF(mental_health[Sleep_Hours]&lt;7,"Medium","Good"))</f>
        <v>Medium</v>
      </c>
      <c r="U1530" t="str">
        <f>IF(mental_health[Stress_Level]&lt;=3,"Low",IF(mental_health[Stress_Level]&lt;=7,"Medium","High"))</f>
        <v>High</v>
      </c>
      <c r="V1530" t="str">
        <f>IF(mental_health[Daily_Screen_Time]&lt;=4,"Low",IF(mental_health[Daily_Screen_Time]&lt;=8,"Medium","High"))</f>
        <v>Low</v>
      </c>
    </row>
    <row r="1531" spans="1:22" x14ac:dyDescent="0.3">
      <c r="A1531">
        <v>1530</v>
      </c>
      <c r="B1531">
        <v>18</v>
      </c>
      <c r="C1531" t="s">
        <v>23</v>
      </c>
      <c r="D1531" t="s">
        <v>24</v>
      </c>
      <c r="E1531">
        <v>4.5999999999999996</v>
      </c>
      <c r="F1531">
        <v>4.3</v>
      </c>
      <c r="G1531">
        <v>1</v>
      </c>
      <c r="H1531" t="str">
        <f t="shared" si="23"/>
        <v>Night Usage</v>
      </c>
      <c r="I1531">
        <v>8.6</v>
      </c>
      <c r="J1531" s="3">
        <v>6</v>
      </c>
      <c r="K1531">
        <v>8.3000000000000007</v>
      </c>
      <c r="L1531" t="s">
        <v>20</v>
      </c>
      <c r="M1531">
        <v>8</v>
      </c>
      <c r="N1531">
        <v>2</v>
      </c>
      <c r="O1531">
        <v>1</v>
      </c>
      <c r="P1531">
        <v>0</v>
      </c>
      <c r="Q1531">
        <v>1</v>
      </c>
      <c r="R1531">
        <v>0</v>
      </c>
      <c r="S1531">
        <v>1</v>
      </c>
      <c r="T1531" t="str">
        <f>IF(mental_health[Sleep_Hours]&lt;5,"Low",IF(mental_health[Sleep_Hours]&lt;7,"Medium","Good"))</f>
        <v>Good</v>
      </c>
      <c r="U1531" t="str">
        <f>IF(mental_health[Stress_Level]&lt;=3,"Low",IF(mental_health[Stress_Level]&lt;=7,"Medium","High"))</f>
        <v>Medium</v>
      </c>
      <c r="V1531" t="str">
        <f>IF(mental_health[Daily_Screen_Time]&lt;=4,"Low",IF(mental_health[Daily_Screen_Time]&lt;=8,"Medium","High"))</f>
        <v>Medium</v>
      </c>
    </row>
    <row r="1532" spans="1:22" x14ac:dyDescent="0.3">
      <c r="A1532">
        <v>1531</v>
      </c>
      <c r="B1532">
        <v>55</v>
      </c>
      <c r="C1532" t="s">
        <v>23</v>
      </c>
      <c r="D1532" t="s">
        <v>22</v>
      </c>
      <c r="E1532">
        <v>6.5</v>
      </c>
      <c r="F1532">
        <v>5.9</v>
      </c>
      <c r="G1532">
        <v>1</v>
      </c>
      <c r="H1532" t="str">
        <f t="shared" si="23"/>
        <v>Night Usage</v>
      </c>
      <c r="I1532">
        <v>6.1</v>
      </c>
      <c r="J1532" s="3">
        <v>6</v>
      </c>
      <c r="K1532">
        <v>6.2</v>
      </c>
      <c r="L1532" t="s">
        <v>25</v>
      </c>
      <c r="M1532">
        <v>1</v>
      </c>
      <c r="N1532">
        <v>2</v>
      </c>
      <c r="O1532">
        <v>0</v>
      </c>
      <c r="P1532">
        <v>1</v>
      </c>
      <c r="Q1532">
        <v>0</v>
      </c>
      <c r="R1532">
        <v>1</v>
      </c>
      <c r="S1532">
        <v>0</v>
      </c>
      <c r="T1532" t="str">
        <f>IF(mental_health[Sleep_Hours]&lt;5,"Low",IF(mental_health[Sleep_Hours]&lt;7,"Medium","Good"))</f>
        <v>Medium</v>
      </c>
      <c r="U1532" t="str">
        <f>IF(mental_health[Stress_Level]&lt;=3,"Low",IF(mental_health[Stress_Level]&lt;=7,"Medium","High"))</f>
        <v>Medium</v>
      </c>
      <c r="V1532" t="str">
        <f>IF(mental_health[Daily_Screen_Time]&lt;=4,"Low",IF(mental_health[Daily_Screen_Time]&lt;=8,"Medium","High"))</f>
        <v>Medium</v>
      </c>
    </row>
    <row r="1533" spans="1:22" x14ac:dyDescent="0.3">
      <c r="A1533">
        <v>1532</v>
      </c>
      <c r="B1533">
        <v>49</v>
      </c>
      <c r="C1533" t="s">
        <v>18</v>
      </c>
      <c r="D1533" t="s">
        <v>22</v>
      </c>
      <c r="E1533">
        <v>8.9</v>
      </c>
      <c r="F1533">
        <v>7.6</v>
      </c>
      <c r="G1533">
        <v>0</v>
      </c>
      <c r="H1533" t="str">
        <f t="shared" si="23"/>
        <v>No Night Usage</v>
      </c>
      <c r="I1533">
        <v>5.9</v>
      </c>
      <c r="J1533" s="3">
        <v>10</v>
      </c>
      <c r="K1533">
        <v>11.6</v>
      </c>
      <c r="L1533" t="s">
        <v>25</v>
      </c>
      <c r="M1533">
        <v>2</v>
      </c>
      <c r="N1533">
        <v>4</v>
      </c>
      <c r="O1533">
        <v>1</v>
      </c>
      <c r="P1533">
        <v>1</v>
      </c>
      <c r="Q1533">
        <v>1</v>
      </c>
      <c r="R1533">
        <v>0</v>
      </c>
      <c r="S1533">
        <v>1</v>
      </c>
      <c r="T1533" t="str">
        <f>IF(mental_health[Sleep_Hours]&lt;5,"Low",IF(mental_health[Sleep_Hours]&lt;7,"Medium","Good"))</f>
        <v>Medium</v>
      </c>
      <c r="U1533" t="str">
        <f>IF(mental_health[Stress_Level]&lt;=3,"Low",IF(mental_health[Stress_Level]&lt;=7,"Medium","High"))</f>
        <v>High</v>
      </c>
      <c r="V1533" t="str">
        <f>IF(mental_health[Daily_Screen_Time]&lt;=4,"Low",IF(mental_health[Daily_Screen_Time]&lt;=8,"Medium","High"))</f>
        <v>High</v>
      </c>
    </row>
    <row r="1534" spans="1:22" x14ac:dyDescent="0.3">
      <c r="A1534">
        <v>1533</v>
      </c>
      <c r="B1534">
        <v>55</v>
      </c>
      <c r="C1534" t="s">
        <v>18</v>
      </c>
      <c r="D1534" t="s">
        <v>24</v>
      </c>
      <c r="E1534">
        <v>9.3000000000000007</v>
      </c>
      <c r="F1534">
        <v>3.3</v>
      </c>
      <c r="G1534">
        <v>0</v>
      </c>
      <c r="H1534" t="str">
        <f t="shared" si="23"/>
        <v>No Night Usage</v>
      </c>
      <c r="I1534">
        <v>6.5</v>
      </c>
      <c r="J1534" s="3">
        <v>6</v>
      </c>
      <c r="K1534">
        <v>9.3000000000000007</v>
      </c>
      <c r="L1534" t="s">
        <v>25</v>
      </c>
      <c r="M1534">
        <v>3</v>
      </c>
      <c r="N1534">
        <v>1</v>
      </c>
      <c r="O1534">
        <v>0</v>
      </c>
      <c r="P1534">
        <v>0</v>
      </c>
      <c r="Q1534">
        <v>1</v>
      </c>
      <c r="R1534">
        <v>1</v>
      </c>
      <c r="S1534">
        <v>0</v>
      </c>
      <c r="T1534" t="str">
        <f>IF(mental_health[Sleep_Hours]&lt;5,"Low",IF(mental_health[Sleep_Hours]&lt;7,"Medium","Good"))</f>
        <v>Medium</v>
      </c>
      <c r="U1534" t="str">
        <f>IF(mental_health[Stress_Level]&lt;=3,"Low",IF(mental_health[Stress_Level]&lt;=7,"Medium","High"))</f>
        <v>Medium</v>
      </c>
      <c r="V1534" t="str">
        <f>IF(mental_health[Daily_Screen_Time]&lt;=4,"Low",IF(mental_health[Daily_Screen_Time]&lt;=8,"Medium","High"))</f>
        <v>High</v>
      </c>
    </row>
    <row r="1535" spans="1:22" x14ac:dyDescent="0.3">
      <c r="A1535">
        <v>1534</v>
      </c>
      <c r="B1535">
        <v>42</v>
      </c>
      <c r="C1535" t="s">
        <v>18</v>
      </c>
      <c r="D1535" t="s">
        <v>24</v>
      </c>
      <c r="E1535">
        <v>12</v>
      </c>
      <c r="F1535">
        <v>1.3</v>
      </c>
      <c r="G1535">
        <v>0</v>
      </c>
      <c r="H1535" t="str">
        <f t="shared" si="23"/>
        <v>No Night Usage</v>
      </c>
      <c r="I1535">
        <v>7.1</v>
      </c>
      <c r="J1535" s="3">
        <v>5</v>
      </c>
      <c r="K1535">
        <v>2.6</v>
      </c>
      <c r="L1535" t="s">
        <v>25</v>
      </c>
      <c r="M1535">
        <v>7</v>
      </c>
      <c r="N1535">
        <v>0</v>
      </c>
      <c r="O1535">
        <v>1</v>
      </c>
      <c r="P1535">
        <v>0</v>
      </c>
      <c r="Q1535">
        <v>0</v>
      </c>
      <c r="R1535">
        <v>0</v>
      </c>
      <c r="S1535">
        <v>0</v>
      </c>
      <c r="T1535" t="str">
        <f>IF(mental_health[Sleep_Hours]&lt;5,"Low",IF(mental_health[Sleep_Hours]&lt;7,"Medium","Good"))</f>
        <v>Good</v>
      </c>
      <c r="U1535" t="str">
        <f>IF(mental_health[Stress_Level]&lt;=3,"Low",IF(mental_health[Stress_Level]&lt;=7,"Medium","High"))</f>
        <v>Medium</v>
      </c>
      <c r="V1535" t="str">
        <f>IF(mental_health[Daily_Screen_Time]&lt;=4,"Low",IF(mental_health[Daily_Screen_Time]&lt;=8,"Medium","High"))</f>
        <v>High</v>
      </c>
    </row>
    <row r="1536" spans="1:22" x14ac:dyDescent="0.3">
      <c r="A1536">
        <v>1535</v>
      </c>
      <c r="B1536">
        <v>28</v>
      </c>
      <c r="C1536" t="s">
        <v>18</v>
      </c>
      <c r="D1536" t="s">
        <v>19</v>
      </c>
      <c r="E1536">
        <v>4.9000000000000004</v>
      </c>
      <c r="F1536">
        <v>4.5</v>
      </c>
      <c r="G1536">
        <v>0</v>
      </c>
      <c r="H1536" t="str">
        <f t="shared" si="23"/>
        <v>No Night Usage</v>
      </c>
      <c r="I1536">
        <v>3.6</v>
      </c>
      <c r="J1536" s="3">
        <v>3</v>
      </c>
      <c r="K1536">
        <v>9.4</v>
      </c>
      <c r="L1536" t="s">
        <v>21</v>
      </c>
      <c r="M1536">
        <v>6</v>
      </c>
      <c r="N1536">
        <v>2</v>
      </c>
      <c r="O1536">
        <v>1</v>
      </c>
      <c r="P1536">
        <v>1</v>
      </c>
      <c r="Q1536">
        <v>0</v>
      </c>
      <c r="R1536">
        <v>0</v>
      </c>
      <c r="S1536">
        <v>0</v>
      </c>
      <c r="T1536" t="str">
        <f>IF(mental_health[Sleep_Hours]&lt;5,"Low",IF(mental_health[Sleep_Hours]&lt;7,"Medium","Good"))</f>
        <v>Low</v>
      </c>
      <c r="U1536" t="str">
        <f>IF(mental_health[Stress_Level]&lt;=3,"Low",IF(mental_health[Stress_Level]&lt;=7,"Medium","High"))</f>
        <v>Low</v>
      </c>
      <c r="V1536" t="str">
        <f>IF(mental_health[Daily_Screen_Time]&lt;=4,"Low",IF(mental_health[Daily_Screen_Time]&lt;=8,"Medium","High"))</f>
        <v>Medium</v>
      </c>
    </row>
    <row r="1537" spans="1:22" x14ac:dyDescent="0.3">
      <c r="A1537">
        <v>1536</v>
      </c>
      <c r="B1537">
        <v>48</v>
      </c>
      <c r="C1537" t="s">
        <v>23</v>
      </c>
      <c r="D1537" t="s">
        <v>24</v>
      </c>
      <c r="E1537">
        <v>7.4</v>
      </c>
      <c r="F1537">
        <v>4.8</v>
      </c>
      <c r="G1537">
        <v>0</v>
      </c>
      <c r="H1537" t="str">
        <f t="shared" si="23"/>
        <v>No Night Usage</v>
      </c>
      <c r="I1537">
        <v>7.9</v>
      </c>
      <c r="J1537" s="3">
        <v>2</v>
      </c>
      <c r="K1537">
        <v>2.2000000000000002</v>
      </c>
      <c r="L1537" t="s">
        <v>20</v>
      </c>
      <c r="M1537">
        <v>7</v>
      </c>
      <c r="N1537">
        <v>0</v>
      </c>
      <c r="O1537">
        <v>0</v>
      </c>
      <c r="P1537">
        <v>1</v>
      </c>
      <c r="Q1537">
        <v>0</v>
      </c>
      <c r="R1537">
        <v>0</v>
      </c>
      <c r="S1537">
        <v>0</v>
      </c>
      <c r="T1537" t="str">
        <f>IF(mental_health[Sleep_Hours]&lt;5,"Low",IF(mental_health[Sleep_Hours]&lt;7,"Medium","Good"))</f>
        <v>Good</v>
      </c>
      <c r="U1537" t="str">
        <f>IF(mental_health[Stress_Level]&lt;=3,"Low",IF(mental_health[Stress_Level]&lt;=7,"Medium","High"))</f>
        <v>Low</v>
      </c>
      <c r="V1537" t="str">
        <f>IF(mental_health[Daily_Screen_Time]&lt;=4,"Low",IF(mental_health[Daily_Screen_Time]&lt;=8,"Medium","High"))</f>
        <v>Medium</v>
      </c>
    </row>
    <row r="1538" spans="1:22" x14ac:dyDescent="0.3">
      <c r="A1538">
        <v>1537</v>
      </c>
      <c r="B1538">
        <v>21</v>
      </c>
      <c r="C1538" t="s">
        <v>23</v>
      </c>
      <c r="D1538" t="s">
        <v>24</v>
      </c>
      <c r="E1538">
        <v>7.3</v>
      </c>
      <c r="F1538">
        <v>2.2000000000000002</v>
      </c>
      <c r="G1538">
        <v>0</v>
      </c>
      <c r="H1538" t="str">
        <f t="shared" ref="H1538:H1601" si="24">IF(G1538=1,"Night Usage","No Night Usage")</f>
        <v>No Night Usage</v>
      </c>
      <c r="I1538">
        <v>5.6</v>
      </c>
      <c r="J1538" s="3">
        <v>3</v>
      </c>
      <c r="K1538">
        <v>8.5</v>
      </c>
      <c r="L1538" t="s">
        <v>25</v>
      </c>
      <c r="M1538">
        <v>5</v>
      </c>
      <c r="N1538">
        <v>1</v>
      </c>
      <c r="O1538">
        <v>0</v>
      </c>
      <c r="P1538">
        <v>0</v>
      </c>
      <c r="Q1538">
        <v>0</v>
      </c>
      <c r="R1538">
        <v>0</v>
      </c>
      <c r="S1538">
        <v>1</v>
      </c>
      <c r="T1538" t="str">
        <f>IF(mental_health[Sleep_Hours]&lt;5,"Low",IF(mental_health[Sleep_Hours]&lt;7,"Medium","Good"))</f>
        <v>Medium</v>
      </c>
      <c r="U1538" t="str">
        <f>IF(mental_health[Stress_Level]&lt;=3,"Low",IF(mental_health[Stress_Level]&lt;=7,"Medium","High"))</f>
        <v>Low</v>
      </c>
      <c r="V1538" t="str">
        <f>IF(mental_health[Daily_Screen_Time]&lt;=4,"Low",IF(mental_health[Daily_Screen_Time]&lt;=8,"Medium","High"))</f>
        <v>Medium</v>
      </c>
    </row>
    <row r="1539" spans="1:22" x14ac:dyDescent="0.3">
      <c r="A1539">
        <v>1538</v>
      </c>
      <c r="B1539">
        <v>39</v>
      </c>
      <c r="C1539" t="s">
        <v>18</v>
      </c>
      <c r="D1539" t="s">
        <v>24</v>
      </c>
      <c r="E1539">
        <v>6.1</v>
      </c>
      <c r="F1539">
        <v>6.3</v>
      </c>
      <c r="G1539">
        <v>1</v>
      </c>
      <c r="H1539" t="str">
        <f t="shared" si="24"/>
        <v>Night Usage</v>
      </c>
      <c r="I1539">
        <v>3.4</v>
      </c>
      <c r="J1539" s="3">
        <v>9</v>
      </c>
      <c r="K1539">
        <v>4.0999999999999996</v>
      </c>
      <c r="L1539" t="s">
        <v>25</v>
      </c>
      <c r="M1539">
        <v>4</v>
      </c>
      <c r="N1539">
        <v>0</v>
      </c>
      <c r="O1539">
        <v>1</v>
      </c>
      <c r="P1539">
        <v>1</v>
      </c>
      <c r="Q1539">
        <v>1</v>
      </c>
      <c r="R1539">
        <v>1</v>
      </c>
      <c r="S1539">
        <v>1</v>
      </c>
      <c r="T1539" t="str">
        <f>IF(mental_health[Sleep_Hours]&lt;5,"Low",IF(mental_health[Sleep_Hours]&lt;7,"Medium","Good"))</f>
        <v>Low</v>
      </c>
      <c r="U1539" t="str">
        <f>IF(mental_health[Stress_Level]&lt;=3,"Low",IF(mental_health[Stress_Level]&lt;=7,"Medium","High"))</f>
        <v>High</v>
      </c>
      <c r="V1539" t="str">
        <f>IF(mental_health[Daily_Screen_Time]&lt;=4,"Low",IF(mental_health[Daily_Screen_Time]&lt;=8,"Medium","High"))</f>
        <v>Medium</v>
      </c>
    </row>
    <row r="1540" spans="1:22" x14ac:dyDescent="0.3">
      <c r="A1540">
        <v>1539</v>
      </c>
      <c r="B1540">
        <v>34</v>
      </c>
      <c r="C1540" t="s">
        <v>18</v>
      </c>
      <c r="D1540" t="s">
        <v>19</v>
      </c>
      <c r="E1540">
        <v>3.7</v>
      </c>
      <c r="F1540">
        <v>7.9</v>
      </c>
      <c r="G1540">
        <v>0</v>
      </c>
      <c r="H1540" t="str">
        <f t="shared" si="24"/>
        <v>No Night Usage</v>
      </c>
      <c r="I1540">
        <v>7.7</v>
      </c>
      <c r="J1540" s="3">
        <v>3</v>
      </c>
      <c r="K1540">
        <v>9</v>
      </c>
      <c r="L1540" t="s">
        <v>20</v>
      </c>
      <c r="M1540">
        <v>7</v>
      </c>
      <c r="N1540">
        <v>2</v>
      </c>
      <c r="O1540">
        <v>1</v>
      </c>
      <c r="P1540">
        <v>0</v>
      </c>
      <c r="Q1540">
        <v>0</v>
      </c>
      <c r="R1540">
        <v>0</v>
      </c>
      <c r="S1540">
        <v>0</v>
      </c>
      <c r="T1540" t="str">
        <f>IF(mental_health[Sleep_Hours]&lt;5,"Low",IF(mental_health[Sleep_Hours]&lt;7,"Medium","Good"))</f>
        <v>Good</v>
      </c>
      <c r="U1540" t="str">
        <f>IF(mental_health[Stress_Level]&lt;=3,"Low",IF(mental_health[Stress_Level]&lt;=7,"Medium","High"))</f>
        <v>Low</v>
      </c>
      <c r="V1540" t="str">
        <f>IF(mental_health[Daily_Screen_Time]&lt;=4,"Low",IF(mental_health[Daily_Screen_Time]&lt;=8,"Medium","High"))</f>
        <v>Low</v>
      </c>
    </row>
    <row r="1541" spans="1:22" x14ac:dyDescent="0.3">
      <c r="A1541">
        <v>1540</v>
      </c>
      <c r="B1541">
        <v>31</v>
      </c>
      <c r="C1541" t="s">
        <v>23</v>
      </c>
      <c r="D1541" t="s">
        <v>24</v>
      </c>
      <c r="E1541">
        <v>11.8</v>
      </c>
      <c r="F1541">
        <v>7.6</v>
      </c>
      <c r="G1541">
        <v>0</v>
      </c>
      <c r="H1541" t="str">
        <f t="shared" si="24"/>
        <v>No Night Usage</v>
      </c>
      <c r="I1541">
        <v>5.3</v>
      </c>
      <c r="J1541" s="3">
        <v>3</v>
      </c>
      <c r="K1541">
        <v>5.0999999999999996</v>
      </c>
      <c r="L1541" t="s">
        <v>21</v>
      </c>
      <c r="M1541">
        <v>3</v>
      </c>
      <c r="N1541">
        <v>4</v>
      </c>
      <c r="O1541">
        <v>1</v>
      </c>
      <c r="P1541">
        <v>0</v>
      </c>
      <c r="Q1541">
        <v>1</v>
      </c>
      <c r="R1541">
        <v>0</v>
      </c>
      <c r="S1541">
        <v>1</v>
      </c>
      <c r="T1541" t="str">
        <f>IF(mental_health[Sleep_Hours]&lt;5,"Low",IF(mental_health[Sleep_Hours]&lt;7,"Medium","Good"))</f>
        <v>Medium</v>
      </c>
      <c r="U1541" t="str">
        <f>IF(mental_health[Stress_Level]&lt;=3,"Low",IF(mental_health[Stress_Level]&lt;=7,"Medium","High"))</f>
        <v>Low</v>
      </c>
      <c r="V1541" t="str">
        <f>IF(mental_health[Daily_Screen_Time]&lt;=4,"Low",IF(mental_health[Daily_Screen_Time]&lt;=8,"Medium","High"))</f>
        <v>High</v>
      </c>
    </row>
    <row r="1542" spans="1:22" x14ac:dyDescent="0.3">
      <c r="A1542">
        <v>1541</v>
      </c>
      <c r="B1542">
        <v>55</v>
      </c>
      <c r="C1542" t="s">
        <v>18</v>
      </c>
      <c r="D1542" t="s">
        <v>24</v>
      </c>
      <c r="E1542">
        <v>10.5</v>
      </c>
      <c r="F1542">
        <v>2.4</v>
      </c>
      <c r="G1542">
        <v>0</v>
      </c>
      <c r="H1542" t="str">
        <f t="shared" si="24"/>
        <v>No Night Usage</v>
      </c>
      <c r="I1542">
        <v>3.6</v>
      </c>
      <c r="J1542" s="3">
        <v>1</v>
      </c>
      <c r="K1542">
        <v>10.7</v>
      </c>
      <c r="L1542" t="s">
        <v>25</v>
      </c>
      <c r="M1542">
        <v>10</v>
      </c>
      <c r="N1542">
        <v>3</v>
      </c>
      <c r="O1542">
        <v>1</v>
      </c>
      <c r="P1542">
        <v>0</v>
      </c>
      <c r="Q1542">
        <v>0</v>
      </c>
      <c r="R1542">
        <v>0</v>
      </c>
      <c r="S1542">
        <v>0</v>
      </c>
      <c r="T1542" t="str">
        <f>IF(mental_health[Sleep_Hours]&lt;5,"Low",IF(mental_health[Sleep_Hours]&lt;7,"Medium","Good"))</f>
        <v>Low</v>
      </c>
      <c r="U1542" t="str">
        <f>IF(mental_health[Stress_Level]&lt;=3,"Low",IF(mental_health[Stress_Level]&lt;=7,"Medium","High"))</f>
        <v>Low</v>
      </c>
      <c r="V1542" t="str">
        <f>IF(mental_health[Daily_Screen_Time]&lt;=4,"Low",IF(mental_health[Daily_Screen_Time]&lt;=8,"Medium","High"))</f>
        <v>High</v>
      </c>
    </row>
    <row r="1543" spans="1:22" x14ac:dyDescent="0.3">
      <c r="A1543">
        <v>1542</v>
      </c>
      <c r="B1543">
        <v>43</v>
      </c>
      <c r="C1543" t="s">
        <v>18</v>
      </c>
      <c r="D1543" t="s">
        <v>19</v>
      </c>
      <c r="E1543">
        <v>7</v>
      </c>
      <c r="F1543">
        <v>7.1</v>
      </c>
      <c r="G1543">
        <v>0</v>
      </c>
      <c r="H1543" t="str">
        <f t="shared" si="24"/>
        <v>No Night Usage</v>
      </c>
      <c r="I1543">
        <v>6.8</v>
      </c>
      <c r="J1543" s="3">
        <v>2</v>
      </c>
      <c r="K1543">
        <v>5.4</v>
      </c>
      <c r="L1543" t="s">
        <v>21</v>
      </c>
      <c r="M1543">
        <v>7</v>
      </c>
      <c r="N1543">
        <v>3</v>
      </c>
      <c r="O1543">
        <v>1</v>
      </c>
      <c r="P1543">
        <v>1</v>
      </c>
      <c r="Q1543">
        <v>1</v>
      </c>
      <c r="R1543">
        <v>1</v>
      </c>
      <c r="S1543">
        <v>1</v>
      </c>
      <c r="T1543" t="str">
        <f>IF(mental_health[Sleep_Hours]&lt;5,"Low",IF(mental_health[Sleep_Hours]&lt;7,"Medium","Good"))</f>
        <v>Medium</v>
      </c>
      <c r="U1543" t="str">
        <f>IF(mental_health[Stress_Level]&lt;=3,"Low",IF(mental_health[Stress_Level]&lt;=7,"Medium","High"))</f>
        <v>Low</v>
      </c>
      <c r="V1543" t="str">
        <f>IF(mental_health[Daily_Screen_Time]&lt;=4,"Low",IF(mental_health[Daily_Screen_Time]&lt;=8,"Medium","High"))</f>
        <v>Medium</v>
      </c>
    </row>
    <row r="1544" spans="1:22" x14ac:dyDescent="0.3">
      <c r="A1544">
        <v>1543</v>
      </c>
      <c r="B1544">
        <v>48</v>
      </c>
      <c r="C1544" t="s">
        <v>18</v>
      </c>
      <c r="D1544" t="s">
        <v>24</v>
      </c>
      <c r="E1544">
        <v>8</v>
      </c>
      <c r="F1544">
        <v>5.9</v>
      </c>
      <c r="G1544">
        <v>0</v>
      </c>
      <c r="H1544" t="str">
        <f t="shared" si="24"/>
        <v>No Night Usage</v>
      </c>
      <c r="I1544">
        <v>8.3000000000000007</v>
      </c>
      <c r="J1544" s="3">
        <v>3</v>
      </c>
      <c r="K1544">
        <v>8.1999999999999993</v>
      </c>
      <c r="L1544" t="s">
        <v>25</v>
      </c>
      <c r="M1544">
        <v>2</v>
      </c>
      <c r="N1544">
        <v>2</v>
      </c>
      <c r="O1544">
        <v>1</v>
      </c>
      <c r="P1544">
        <v>0</v>
      </c>
      <c r="Q1544">
        <v>0</v>
      </c>
      <c r="R1544">
        <v>0</v>
      </c>
      <c r="S1544">
        <v>0</v>
      </c>
      <c r="T1544" t="str">
        <f>IF(mental_health[Sleep_Hours]&lt;5,"Low",IF(mental_health[Sleep_Hours]&lt;7,"Medium","Good"))</f>
        <v>Good</v>
      </c>
      <c r="U1544" t="str">
        <f>IF(mental_health[Stress_Level]&lt;=3,"Low",IF(mental_health[Stress_Level]&lt;=7,"Medium","High"))</f>
        <v>Low</v>
      </c>
      <c r="V1544" t="str">
        <f>IF(mental_health[Daily_Screen_Time]&lt;=4,"Low",IF(mental_health[Daily_Screen_Time]&lt;=8,"Medium","High"))</f>
        <v>Medium</v>
      </c>
    </row>
    <row r="1545" spans="1:22" x14ac:dyDescent="0.3">
      <c r="A1545">
        <v>1544</v>
      </c>
      <c r="B1545">
        <v>56</v>
      </c>
      <c r="C1545" t="s">
        <v>18</v>
      </c>
      <c r="D1545" t="s">
        <v>24</v>
      </c>
      <c r="E1545">
        <v>4.3</v>
      </c>
      <c r="F1545">
        <v>4.2</v>
      </c>
      <c r="G1545">
        <v>0</v>
      </c>
      <c r="H1545" t="str">
        <f t="shared" si="24"/>
        <v>No Night Usage</v>
      </c>
      <c r="I1545">
        <v>8.3000000000000007</v>
      </c>
      <c r="J1545" s="3">
        <v>2</v>
      </c>
      <c r="K1545">
        <v>4.9000000000000004</v>
      </c>
      <c r="L1545" t="s">
        <v>25</v>
      </c>
      <c r="M1545">
        <v>8</v>
      </c>
      <c r="N1545">
        <v>2</v>
      </c>
      <c r="O1545">
        <v>0</v>
      </c>
      <c r="P1545">
        <v>0</v>
      </c>
      <c r="Q1545">
        <v>0</v>
      </c>
      <c r="R1545">
        <v>0</v>
      </c>
      <c r="S1545">
        <v>0</v>
      </c>
      <c r="T1545" t="str">
        <f>IF(mental_health[Sleep_Hours]&lt;5,"Low",IF(mental_health[Sleep_Hours]&lt;7,"Medium","Good"))</f>
        <v>Good</v>
      </c>
      <c r="U1545" t="str">
        <f>IF(mental_health[Stress_Level]&lt;=3,"Low",IF(mental_health[Stress_Level]&lt;=7,"Medium","High"))</f>
        <v>Low</v>
      </c>
      <c r="V1545" t="str">
        <f>IF(mental_health[Daily_Screen_Time]&lt;=4,"Low",IF(mental_health[Daily_Screen_Time]&lt;=8,"Medium","High"))</f>
        <v>Medium</v>
      </c>
    </row>
    <row r="1546" spans="1:22" x14ac:dyDescent="0.3">
      <c r="A1546">
        <v>1545</v>
      </c>
      <c r="B1546">
        <v>28</v>
      </c>
      <c r="C1546" t="s">
        <v>18</v>
      </c>
      <c r="D1546" t="s">
        <v>19</v>
      </c>
      <c r="E1546">
        <v>7.4</v>
      </c>
      <c r="F1546">
        <v>4.8</v>
      </c>
      <c r="G1546">
        <v>0</v>
      </c>
      <c r="H1546" t="str">
        <f t="shared" si="24"/>
        <v>No Night Usage</v>
      </c>
      <c r="I1546">
        <v>8.6999999999999993</v>
      </c>
      <c r="J1546" s="3">
        <v>8</v>
      </c>
      <c r="K1546">
        <v>11.2</v>
      </c>
      <c r="L1546" t="s">
        <v>20</v>
      </c>
      <c r="M1546">
        <v>6</v>
      </c>
      <c r="N1546">
        <v>1</v>
      </c>
      <c r="O1546">
        <v>1</v>
      </c>
      <c r="P1546">
        <v>1</v>
      </c>
      <c r="Q1546">
        <v>0</v>
      </c>
      <c r="R1546">
        <v>0</v>
      </c>
      <c r="S1546">
        <v>1</v>
      </c>
      <c r="T1546" t="str">
        <f>IF(mental_health[Sleep_Hours]&lt;5,"Low",IF(mental_health[Sleep_Hours]&lt;7,"Medium","Good"))</f>
        <v>Good</v>
      </c>
      <c r="U1546" t="str">
        <f>IF(mental_health[Stress_Level]&lt;=3,"Low",IF(mental_health[Stress_Level]&lt;=7,"Medium","High"))</f>
        <v>High</v>
      </c>
      <c r="V1546" t="str">
        <f>IF(mental_health[Daily_Screen_Time]&lt;=4,"Low",IF(mental_health[Daily_Screen_Time]&lt;=8,"Medium","High"))</f>
        <v>Medium</v>
      </c>
    </row>
    <row r="1547" spans="1:22" x14ac:dyDescent="0.3">
      <c r="A1547">
        <v>1546</v>
      </c>
      <c r="B1547">
        <v>58</v>
      </c>
      <c r="C1547" t="s">
        <v>18</v>
      </c>
      <c r="D1547" t="s">
        <v>22</v>
      </c>
      <c r="E1547">
        <v>8.9</v>
      </c>
      <c r="F1547">
        <v>6.9</v>
      </c>
      <c r="G1547">
        <v>1</v>
      </c>
      <c r="H1547" t="str">
        <f t="shared" si="24"/>
        <v>Night Usage</v>
      </c>
      <c r="I1547">
        <v>8.1999999999999993</v>
      </c>
      <c r="J1547" s="3">
        <v>6</v>
      </c>
      <c r="K1547">
        <v>9.8000000000000007</v>
      </c>
      <c r="L1547" t="s">
        <v>20</v>
      </c>
      <c r="M1547">
        <v>3</v>
      </c>
      <c r="N1547">
        <v>0</v>
      </c>
      <c r="O1547">
        <v>1</v>
      </c>
      <c r="P1547">
        <v>0</v>
      </c>
      <c r="Q1547">
        <v>0</v>
      </c>
      <c r="R1547">
        <v>1</v>
      </c>
      <c r="S1547">
        <v>0</v>
      </c>
      <c r="T1547" t="str">
        <f>IF(mental_health[Sleep_Hours]&lt;5,"Low",IF(mental_health[Sleep_Hours]&lt;7,"Medium","Good"))</f>
        <v>Good</v>
      </c>
      <c r="U1547" t="str">
        <f>IF(mental_health[Stress_Level]&lt;=3,"Low",IF(mental_health[Stress_Level]&lt;=7,"Medium","High"))</f>
        <v>Medium</v>
      </c>
      <c r="V1547" t="str">
        <f>IF(mental_health[Daily_Screen_Time]&lt;=4,"Low",IF(mental_health[Daily_Screen_Time]&lt;=8,"Medium","High"))</f>
        <v>High</v>
      </c>
    </row>
    <row r="1548" spans="1:22" x14ac:dyDescent="0.3">
      <c r="A1548">
        <v>1547</v>
      </c>
      <c r="B1548">
        <v>40</v>
      </c>
      <c r="C1548" t="s">
        <v>23</v>
      </c>
      <c r="D1548" t="s">
        <v>19</v>
      </c>
      <c r="E1548">
        <v>7.2</v>
      </c>
      <c r="F1548">
        <v>4.4000000000000004</v>
      </c>
      <c r="G1548">
        <v>0</v>
      </c>
      <c r="H1548" t="str">
        <f t="shared" si="24"/>
        <v>No Night Usage</v>
      </c>
      <c r="I1548">
        <v>3</v>
      </c>
      <c r="J1548" s="3">
        <v>7</v>
      </c>
      <c r="K1548">
        <v>4.4000000000000004</v>
      </c>
      <c r="L1548" t="s">
        <v>21</v>
      </c>
      <c r="M1548">
        <v>3</v>
      </c>
      <c r="N1548">
        <v>1</v>
      </c>
      <c r="O1548">
        <v>1</v>
      </c>
      <c r="P1548">
        <v>1</v>
      </c>
      <c r="Q1548">
        <v>1</v>
      </c>
      <c r="R1548">
        <v>0</v>
      </c>
      <c r="S1548">
        <v>1</v>
      </c>
      <c r="T1548" t="str">
        <f>IF(mental_health[Sleep_Hours]&lt;5,"Low",IF(mental_health[Sleep_Hours]&lt;7,"Medium","Good"))</f>
        <v>Low</v>
      </c>
      <c r="U1548" t="str">
        <f>IF(mental_health[Stress_Level]&lt;=3,"Low",IF(mental_health[Stress_Level]&lt;=7,"Medium","High"))</f>
        <v>Medium</v>
      </c>
      <c r="V1548" t="str">
        <f>IF(mental_health[Daily_Screen_Time]&lt;=4,"Low",IF(mental_health[Daily_Screen_Time]&lt;=8,"Medium","High"))</f>
        <v>Medium</v>
      </c>
    </row>
    <row r="1549" spans="1:22" x14ac:dyDescent="0.3">
      <c r="A1549">
        <v>1548</v>
      </c>
      <c r="B1549">
        <v>57</v>
      </c>
      <c r="C1549" t="s">
        <v>18</v>
      </c>
      <c r="D1549" t="s">
        <v>24</v>
      </c>
      <c r="E1549">
        <v>11.9</v>
      </c>
      <c r="F1549">
        <v>3.6</v>
      </c>
      <c r="G1549">
        <v>1</v>
      </c>
      <c r="H1549" t="str">
        <f t="shared" si="24"/>
        <v>Night Usage</v>
      </c>
      <c r="I1549">
        <v>5.3</v>
      </c>
      <c r="J1549" s="3">
        <v>1</v>
      </c>
      <c r="K1549">
        <v>11.5</v>
      </c>
      <c r="L1549" t="s">
        <v>25</v>
      </c>
      <c r="M1549">
        <v>5</v>
      </c>
      <c r="N1549">
        <v>3</v>
      </c>
      <c r="O1549">
        <v>0</v>
      </c>
      <c r="P1549">
        <v>1</v>
      </c>
      <c r="Q1549">
        <v>1</v>
      </c>
      <c r="R1549">
        <v>0</v>
      </c>
      <c r="S1549">
        <v>1</v>
      </c>
      <c r="T1549" t="str">
        <f>IF(mental_health[Sleep_Hours]&lt;5,"Low",IF(mental_health[Sleep_Hours]&lt;7,"Medium","Good"))</f>
        <v>Medium</v>
      </c>
      <c r="U1549" t="str">
        <f>IF(mental_health[Stress_Level]&lt;=3,"Low",IF(mental_health[Stress_Level]&lt;=7,"Medium","High"))</f>
        <v>Low</v>
      </c>
      <c r="V1549" t="str">
        <f>IF(mental_health[Daily_Screen_Time]&lt;=4,"Low",IF(mental_health[Daily_Screen_Time]&lt;=8,"Medium","High"))</f>
        <v>High</v>
      </c>
    </row>
    <row r="1550" spans="1:22" x14ac:dyDescent="0.3">
      <c r="A1550">
        <v>1549</v>
      </c>
      <c r="B1550">
        <v>51</v>
      </c>
      <c r="C1550" t="s">
        <v>18</v>
      </c>
      <c r="D1550" t="s">
        <v>24</v>
      </c>
      <c r="E1550">
        <v>8.1</v>
      </c>
      <c r="F1550">
        <v>4.5</v>
      </c>
      <c r="G1550">
        <v>1</v>
      </c>
      <c r="H1550" t="str">
        <f t="shared" si="24"/>
        <v>Night Usage</v>
      </c>
      <c r="I1550">
        <v>7.9</v>
      </c>
      <c r="J1550" s="3">
        <v>6</v>
      </c>
      <c r="K1550">
        <v>5.6</v>
      </c>
      <c r="L1550" t="s">
        <v>21</v>
      </c>
      <c r="M1550">
        <v>3</v>
      </c>
      <c r="N1550">
        <v>0</v>
      </c>
      <c r="O1550">
        <v>0</v>
      </c>
      <c r="P1550">
        <v>0</v>
      </c>
      <c r="Q1550">
        <v>0</v>
      </c>
      <c r="R1550">
        <v>0</v>
      </c>
      <c r="S1550">
        <v>0</v>
      </c>
      <c r="T1550" t="str">
        <f>IF(mental_health[Sleep_Hours]&lt;5,"Low",IF(mental_health[Sleep_Hours]&lt;7,"Medium","Good"))</f>
        <v>Good</v>
      </c>
      <c r="U1550" t="str">
        <f>IF(mental_health[Stress_Level]&lt;=3,"Low",IF(mental_health[Stress_Level]&lt;=7,"Medium","High"))</f>
        <v>Medium</v>
      </c>
      <c r="V1550" t="str">
        <f>IF(mental_health[Daily_Screen_Time]&lt;=4,"Low",IF(mental_health[Daily_Screen_Time]&lt;=8,"Medium","High"))</f>
        <v>High</v>
      </c>
    </row>
    <row r="1551" spans="1:22" x14ac:dyDescent="0.3">
      <c r="A1551">
        <v>1550</v>
      </c>
      <c r="B1551">
        <v>42</v>
      </c>
      <c r="C1551" t="s">
        <v>23</v>
      </c>
      <c r="D1551" t="s">
        <v>24</v>
      </c>
      <c r="E1551">
        <v>5.7</v>
      </c>
      <c r="F1551">
        <v>5.0999999999999996</v>
      </c>
      <c r="G1551">
        <v>1</v>
      </c>
      <c r="H1551" t="str">
        <f t="shared" si="24"/>
        <v>Night Usage</v>
      </c>
      <c r="I1551">
        <v>5.2</v>
      </c>
      <c r="J1551" s="3">
        <v>2</v>
      </c>
      <c r="K1551">
        <v>8.5</v>
      </c>
      <c r="L1551" t="s">
        <v>20</v>
      </c>
      <c r="M1551">
        <v>6</v>
      </c>
      <c r="N1551">
        <v>1</v>
      </c>
      <c r="O1551">
        <v>0</v>
      </c>
      <c r="P1551">
        <v>1</v>
      </c>
      <c r="Q1551">
        <v>1</v>
      </c>
      <c r="R1551">
        <v>0</v>
      </c>
      <c r="S1551">
        <v>1</v>
      </c>
      <c r="T1551" t="str">
        <f>IF(mental_health[Sleep_Hours]&lt;5,"Low",IF(mental_health[Sleep_Hours]&lt;7,"Medium","Good"))</f>
        <v>Medium</v>
      </c>
      <c r="U1551" t="str">
        <f>IF(mental_health[Stress_Level]&lt;=3,"Low",IF(mental_health[Stress_Level]&lt;=7,"Medium","High"))</f>
        <v>Low</v>
      </c>
      <c r="V1551" t="str">
        <f>IF(mental_health[Daily_Screen_Time]&lt;=4,"Low",IF(mental_health[Daily_Screen_Time]&lt;=8,"Medium","High"))</f>
        <v>Medium</v>
      </c>
    </row>
    <row r="1552" spans="1:22" x14ac:dyDescent="0.3">
      <c r="A1552">
        <v>1551</v>
      </c>
      <c r="B1552">
        <v>53</v>
      </c>
      <c r="C1552" t="s">
        <v>23</v>
      </c>
      <c r="D1552" t="s">
        <v>19</v>
      </c>
      <c r="E1552">
        <v>9.6999999999999993</v>
      </c>
      <c r="F1552">
        <v>2.2999999999999998</v>
      </c>
      <c r="G1552">
        <v>0</v>
      </c>
      <c r="H1552" t="str">
        <f t="shared" si="24"/>
        <v>No Night Usage</v>
      </c>
      <c r="I1552">
        <v>6.6</v>
      </c>
      <c r="J1552" s="3">
        <v>6</v>
      </c>
      <c r="K1552">
        <v>9.4</v>
      </c>
      <c r="L1552" t="s">
        <v>20</v>
      </c>
      <c r="M1552">
        <v>2</v>
      </c>
      <c r="N1552">
        <v>3</v>
      </c>
      <c r="O1552">
        <v>1</v>
      </c>
      <c r="P1552">
        <v>1</v>
      </c>
      <c r="Q1552">
        <v>1</v>
      </c>
      <c r="R1552">
        <v>1</v>
      </c>
      <c r="S1552">
        <v>0</v>
      </c>
      <c r="T1552" t="str">
        <f>IF(mental_health[Sleep_Hours]&lt;5,"Low",IF(mental_health[Sleep_Hours]&lt;7,"Medium","Good"))</f>
        <v>Medium</v>
      </c>
      <c r="U1552" t="str">
        <f>IF(mental_health[Stress_Level]&lt;=3,"Low",IF(mental_health[Stress_Level]&lt;=7,"Medium","High"))</f>
        <v>Medium</v>
      </c>
      <c r="V1552" t="str">
        <f>IF(mental_health[Daily_Screen_Time]&lt;=4,"Low",IF(mental_health[Daily_Screen_Time]&lt;=8,"Medium","High"))</f>
        <v>High</v>
      </c>
    </row>
    <row r="1553" spans="1:22" x14ac:dyDescent="0.3">
      <c r="A1553">
        <v>1552</v>
      </c>
      <c r="B1553">
        <v>22</v>
      </c>
      <c r="C1553" t="s">
        <v>23</v>
      </c>
      <c r="D1553" t="s">
        <v>24</v>
      </c>
      <c r="E1553">
        <v>3.7</v>
      </c>
      <c r="F1553">
        <v>7.3</v>
      </c>
      <c r="G1553">
        <v>0</v>
      </c>
      <c r="H1553" t="str">
        <f t="shared" si="24"/>
        <v>No Night Usage</v>
      </c>
      <c r="I1553">
        <v>6.6</v>
      </c>
      <c r="J1553" s="3">
        <v>3</v>
      </c>
      <c r="K1553">
        <v>2.2000000000000002</v>
      </c>
      <c r="L1553" t="s">
        <v>20</v>
      </c>
      <c r="M1553">
        <v>8</v>
      </c>
      <c r="N1553">
        <v>0</v>
      </c>
      <c r="O1553">
        <v>0</v>
      </c>
      <c r="P1553">
        <v>1</v>
      </c>
      <c r="Q1553">
        <v>1</v>
      </c>
      <c r="R1553">
        <v>0</v>
      </c>
      <c r="S1553">
        <v>0</v>
      </c>
      <c r="T1553" t="str">
        <f>IF(mental_health[Sleep_Hours]&lt;5,"Low",IF(mental_health[Sleep_Hours]&lt;7,"Medium","Good"))</f>
        <v>Medium</v>
      </c>
      <c r="U1553" t="str">
        <f>IF(mental_health[Stress_Level]&lt;=3,"Low",IF(mental_health[Stress_Level]&lt;=7,"Medium","High"))</f>
        <v>Low</v>
      </c>
      <c r="V1553" t="str">
        <f>IF(mental_health[Daily_Screen_Time]&lt;=4,"Low",IF(mental_health[Daily_Screen_Time]&lt;=8,"Medium","High"))</f>
        <v>Low</v>
      </c>
    </row>
    <row r="1554" spans="1:22" x14ac:dyDescent="0.3">
      <c r="A1554">
        <v>1553</v>
      </c>
      <c r="B1554">
        <v>20</v>
      </c>
      <c r="C1554" t="s">
        <v>18</v>
      </c>
      <c r="D1554" t="s">
        <v>24</v>
      </c>
      <c r="E1554">
        <v>5.8</v>
      </c>
      <c r="F1554">
        <v>5.7</v>
      </c>
      <c r="G1554">
        <v>0</v>
      </c>
      <c r="H1554" t="str">
        <f t="shared" si="24"/>
        <v>No Night Usage</v>
      </c>
      <c r="I1554">
        <v>5.2</v>
      </c>
      <c r="J1554" s="3">
        <v>7</v>
      </c>
      <c r="K1554">
        <v>11.6</v>
      </c>
      <c r="L1554" t="s">
        <v>20</v>
      </c>
      <c r="M1554">
        <v>9</v>
      </c>
      <c r="N1554">
        <v>4</v>
      </c>
      <c r="O1554">
        <v>1</v>
      </c>
      <c r="P1554">
        <v>0</v>
      </c>
      <c r="Q1554">
        <v>0</v>
      </c>
      <c r="R1554">
        <v>1</v>
      </c>
      <c r="S1554">
        <v>0</v>
      </c>
      <c r="T1554" t="str">
        <f>IF(mental_health[Sleep_Hours]&lt;5,"Low",IF(mental_health[Sleep_Hours]&lt;7,"Medium","Good"))</f>
        <v>Medium</v>
      </c>
      <c r="U1554" t="str">
        <f>IF(mental_health[Stress_Level]&lt;=3,"Low",IF(mental_health[Stress_Level]&lt;=7,"Medium","High"))</f>
        <v>Medium</v>
      </c>
      <c r="V1554" t="str">
        <f>IF(mental_health[Daily_Screen_Time]&lt;=4,"Low",IF(mental_health[Daily_Screen_Time]&lt;=8,"Medium","High"))</f>
        <v>Medium</v>
      </c>
    </row>
    <row r="1555" spans="1:22" x14ac:dyDescent="0.3">
      <c r="A1555">
        <v>1554</v>
      </c>
      <c r="B1555">
        <v>58</v>
      </c>
      <c r="C1555" t="s">
        <v>23</v>
      </c>
      <c r="D1555" t="s">
        <v>19</v>
      </c>
      <c r="E1555">
        <v>5.5</v>
      </c>
      <c r="F1555">
        <v>5.4</v>
      </c>
      <c r="G1555">
        <v>0</v>
      </c>
      <c r="H1555" t="str">
        <f t="shared" si="24"/>
        <v>No Night Usage</v>
      </c>
      <c r="I1555">
        <v>8.4</v>
      </c>
      <c r="J1555" s="3">
        <v>3</v>
      </c>
      <c r="K1555">
        <v>5.4</v>
      </c>
      <c r="L1555" t="s">
        <v>20</v>
      </c>
      <c r="M1555">
        <v>7</v>
      </c>
      <c r="N1555">
        <v>4</v>
      </c>
      <c r="O1555">
        <v>1</v>
      </c>
      <c r="P1555">
        <v>0</v>
      </c>
      <c r="Q1555">
        <v>1</v>
      </c>
      <c r="R1555">
        <v>0</v>
      </c>
      <c r="S1555">
        <v>1</v>
      </c>
      <c r="T1555" t="str">
        <f>IF(mental_health[Sleep_Hours]&lt;5,"Low",IF(mental_health[Sleep_Hours]&lt;7,"Medium","Good"))</f>
        <v>Good</v>
      </c>
      <c r="U1555" t="str">
        <f>IF(mental_health[Stress_Level]&lt;=3,"Low",IF(mental_health[Stress_Level]&lt;=7,"Medium","High"))</f>
        <v>Low</v>
      </c>
      <c r="V1555" t="str">
        <f>IF(mental_health[Daily_Screen_Time]&lt;=4,"Low",IF(mental_health[Daily_Screen_Time]&lt;=8,"Medium","High"))</f>
        <v>Medium</v>
      </c>
    </row>
    <row r="1556" spans="1:22" x14ac:dyDescent="0.3">
      <c r="A1556">
        <v>1555</v>
      </c>
      <c r="B1556">
        <v>46</v>
      </c>
      <c r="C1556" t="s">
        <v>18</v>
      </c>
      <c r="D1556" t="s">
        <v>22</v>
      </c>
      <c r="E1556">
        <v>6.3</v>
      </c>
      <c r="F1556">
        <v>1.7</v>
      </c>
      <c r="G1556">
        <v>0</v>
      </c>
      <c r="H1556" t="str">
        <f t="shared" si="24"/>
        <v>No Night Usage</v>
      </c>
      <c r="I1556">
        <v>6</v>
      </c>
      <c r="J1556" s="3">
        <v>9</v>
      </c>
      <c r="K1556">
        <v>3.9</v>
      </c>
      <c r="L1556" t="s">
        <v>21</v>
      </c>
      <c r="M1556">
        <v>3</v>
      </c>
      <c r="N1556">
        <v>1</v>
      </c>
      <c r="O1556">
        <v>1</v>
      </c>
      <c r="P1556">
        <v>0</v>
      </c>
      <c r="Q1556">
        <v>1</v>
      </c>
      <c r="R1556">
        <v>0</v>
      </c>
      <c r="S1556">
        <v>1</v>
      </c>
      <c r="T1556" t="str">
        <f>IF(mental_health[Sleep_Hours]&lt;5,"Low",IF(mental_health[Sleep_Hours]&lt;7,"Medium","Good"))</f>
        <v>Medium</v>
      </c>
      <c r="U1556" t="str">
        <f>IF(mental_health[Stress_Level]&lt;=3,"Low",IF(mental_health[Stress_Level]&lt;=7,"Medium","High"))</f>
        <v>High</v>
      </c>
      <c r="V1556" t="str">
        <f>IF(mental_health[Daily_Screen_Time]&lt;=4,"Low",IF(mental_health[Daily_Screen_Time]&lt;=8,"Medium","High"))</f>
        <v>Medium</v>
      </c>
    </row>
    <row r="1557" spans="1:22" x14ac:dyDescent="0.3">
      <c r="A1557">
        <v>1556</v>
      </c>
      <c r="B1557">
        <v>38</v>
      </c>
      <c r="C1557" t="s">
        <v>18</v>
      </c>
      <c r="D1557" t="s">
        <v>22</v>
      </c>
      <c r="E1557">
        <v>9.8000000000000007</v>
      </c>
      <c r="F1557">
        <v>5.2</v>
      </c>
      <c r="G1557">
        <v>0</v>
      </c>
      <c r="H1557" t="str">
        <f t="shared" si="24"/>
        <v>No Night Usage</v>
      </c>
      <c r="I1557">
        <v>5.8</v>
      </c>
      <c r="J1557" s="3">
        <v>3</v>
      </c>
      <c r="K1557">
        <v>10.5</v>
      </c>
      <c r="L1557" t="s">
        <v>21</v>
      </c>
      <c r="M1557">
        <v>10</v>
      </c>
      <c r="N1557">
        <v>2</v>
      </c>
      <c r="O1557">
        <v>1</v>
      </c>
      <c r="P1557">
        <v>1</v>
      </c>
      <c r="Q1557">
        <v>0</v>
      </c>
      <c r="R1557">
        <v>0</v>
      </c>
      <c r="S1557">
        <v>1</v>
      </c>
      <c r="T1557" t="str">
        <f>IF(mental_health[Sleep_Hours]&lt;5,"Low",IF(mental_health[Sleep_Hours]&lt;7,"Medium","Good"))</f>
        <v>Medium</v>
      </c>
      <c r="U1557" t="str">
        <f>IF(mental_health[Stress_Level]&lt;=3,"Low",IF(mental_health[Stress_Level]&lt;=7,"Medium","High"))</f>
        <v>Low</v>
      </c>
      <c r="V1557" t="str">
        <f>IF(mental_health[Daily_Screen_Time]&lt;=4,"Low",IF(mental_health[Daily_Screen_Time]&lt;=8,"Medium","High"))</f>
        <v>High</v>
      </c>
    </row>
    <row r="1558" spans="1:22" x14ac:dyDescent="0.3">
      <c r="A1558">
        <v>1557</v>
      </c>
      <c r="B1558">
        <v>57</v>
      </c>
      <c r="C1558" t="s">
        <v>18</v>
      </c>
      <c r="D1558" t="s">
        <v>24</v>
      </c>
      <c r="E1558">
        <v>6.8</v>
      </c>
      <c r="F1558">
        <v>1.8</v>
      </c>
      <c r="G1558">
        <v>0</v>
      </c>
      <c r="H1558" t="str">
        <f t="shared" si="24"/>
        <v>No Night Usage</v>
      </c>
      <c r="I1558">
        <v>9</v>
      </c>
      <c r="J1558" s="3">
        <v>7</v>
      </c>
      <c r="K1558">
        <v>9</v>
      </c>
      <c r="L1558" t="s">
        <v>20</v>
      </c>
      <c r="M1558">
        <v>4</v>
      </c>
      <c r="N1558">
        <v>0</v>
      </c>
      <c r="O1558">
        <v>1</v>
      </c>
      <c r="P1558">
        <v>0</v>
      </c>
      <c r="Q1558">
        <v>1</v>
      </c>
      <c r="R1558">
        <v>1</v>
      </c>
      <c r="S1558">
        <v>1</v>
      </c>
      <c r="T1558" t="str">
        <f>IF(mental_health[Sleep_Hours]&lt;5,"Low",IF(mental_health[Sleep_Hours]&lt;7,"Medium","Good"))</f>
        <v>Good</v>
      </c>
      <c r="U1558" t="str">
        <f>IF(mental_health[Stress_Level]&lt;=3,"Low",IF(mental_health[Stress_Level]&lt;=7,"Medium","High"))</f>
        <v>Medium</v>
      </c>
      <c r="V1558" t="str">
        <f>IF(mental_health[Daily_Screen_Time]&lt;=4,"Low",IF(mental_health[Daily_Screen_Time]&lt;=8,"Medium","High"))</f>
        <v>Medium</v>
      </c>
    </row>
    <row r="1559" spans="1:22" x14ac:dyDescent="0.3">
      <c r="A1559">
        <v>1558</v>
      </c>
      <c r="B1559">
        <v>25</v>
      </c>
      <c r="C1559" t="s">
        <v>23</v>
      </c>
      <c r="D1559" t="s">
        <v>19</v>
      </c>
      <c r="E1559">
        <v>9.9</v>
      </c>
      <c r="F1559">
        <v>1.6</v>
      </c>
      <c r="G1559">
        <v>0</v>
      </c>
      <c r="H1559" t="str">
        <f t="shared" si="24"/>
        <v>No Night Usage</v>
      </c>
      <c r="I1559">
        <v>6</v>
      </c>
      <c r="J1559" s="3">
        <v>4</v>
      </c>
      <c r="K1559">
        <v>2.9</v>
      </c>
      <c r="L1559" t="s">
        <v>25</v>
      </c>
      <c r="M1559">
        <v>10</v>
      </c>
      <c r="N1559">
        <v>1</v>
      </c>
      <c r="O1559">
        <v>1</v>
      </c>
      <c r="P1559">
        <v>0</v>
      </c>
      <c r="Q1559">
        <v>1</v>
      </c>
      <c r="R1559">
        <v>0</v>
      </c>
      <c r="S1559">
        <v>0</v>
      </c>
      <c r="T1559" t="str">
        <f>IF(mental_health[Sleep_Hours]&lt;5,"Low",IF(mental_health[Sleep_Hours]&lt;7,"Medium","Good"))</f>
        <v>Medium</v>
      </c>
      <c r="U1559" t="str">
        <f>IF(mental_health[Stress_Level]&lt;=3,"Low",IF(mental_health[Stress_Level]&lt;=7,"Medium","High"))</f>
        <v>Medium</v>
      </c>
      <c r="V1559" t="str">
        <f>IF(mental_health[Daily_Screen_Time]&lt;=4,"Low",IF(mental_health[Daily_Screen_Time]&lt;=8,"Medium","High"))</f>
        <v>High</v>
      </c>
    </row>
    <row r="1560" spans="1:22" x14ac:dyDescent="0.3">
      <c r="A1560">
        <v>1559</v>
      </c>
      <c r="B1560">
        <v>47</v>
      </c>
      <c r="C1560" t="s">
        <v>23</v>
      </c>
      <c r="D1560" t="s">
        <v>24</v>
      </c>
      <c r="E1560">
        <v>7.8</v>
      </c>
      <c r="F1560">
        <v>4.7</v>
      </c>
      <c r="G1560">
        <v>0</v>
      </c>
      <c r="H1560" t="str">
        <f t="shared" si="24"/>
        <v>No Night Usage</v>
      </c>
      <c r="I1560">
        <v>4.0999999999999996</v>
      </c>
      <c r="J1560" s="3">
        <v>8</v>
      </c>
      <c r="K1560">
        <v>3.2</v>
      </c>
      <c r="L1560" t="s">
        <v>25</v>
      </c>
      <c r="M1560">
        <v>2</v>
      </c>
      <c r="N1560">
        <v>2</v>
      </c>
      <c r="O1560">
        <v>1</v>
      </c>
      <c r="P1560">
        <v>1</v>
      </c>
      <c r="Q1560">
        <v>0</v>
      </c>
      <c r="R1560">
        <v>0</v>
      </c>
      <c r="S1560">
        <v>1</v>
      </c>
      <c r="T1560" t="str">
        <f>IF(mental_health[Sleep_Hours]&lt;5,"Low",IF(mental_health[Sleep_Hours]&lt;7,"Medium","Good"))</f>
        <v>Low</v>
      </c>
      <c r="U1560" t="str">
        <f>IF(mental_health[Stress_Level]&lt;=3,"Low",IF(mental_health[Stress_Level]&lt;=7,"Medium","High"))</f>
        <v>High</v>
      </c>
      <c r="V1560" t="str">
        <f>IF(mental_health[Daily_Screen_Time]&lt;=4,"Low",IF(mental_health[Daily_Screen_Time]&lt;=8,"Medium","High"))</f>
        <v>Medium</v>
      </c>
    </row>
    <row r="1561" spans="1:22" x14ac:dyDescent="0.3">
      <c r="A1561">
        <v>1560</v>
      </c>
      <c r="B1561">
        <v>58</v>
      </c>
      <c r="C1561" t="s">
        <v>23</v>
      </c>
      <c r="D1561" t="s">
        <v>19</v>
      </c>
      <c r="E1561">
        <v>5.4</v>
      </c>
      <c r="F1561">
        <v>3.8</v>
      </c>
      <c r="G1561">
        <v>0</v>
      </c>
      <c r="H1561" t="str">
        <f t="shared" si="24"/>
        <v>No Night Usage</v>
      </c>
      <c r="I1561">
        <v>6.1</v>
      </c>
      <c r="J1561" s="3">
        <v>2</v>
      </c>
      <c r="K1561">
        <v>9.1999999999999993</v>
      </c>
      <c r="L1561" t="s">
        <v>25</v>
      </c>
      <c r="M1561">
        <v>9</v>
      </c>
      <c r="N1561">
        <v>2</v>
      </c>
      <c r="O1561">
        <v>0</v>
      </c>
      <c r="P1561">
        <v>0</v>
      </c>
      <c r="Q1561">
        <v>0</v>
      </c>
      <c r="R1561">
        <v>0</v>
      </c>
      <c r="S1561">
        <v>0</v>
      </c>
      <c r="T1561" t="str">
        <f>IF(mental_health[Sleep_Hours]&lt;5,"Low",IF(mental_health[Sleep_Hours]&lt;7,"Medium","Good"))</f>
        <v>Medium</v>
      </c>
      <c r="U1561" t="str">
        <f>IF(mental_health[Stress_Level]&lt;=3,"Low",IF(mental_health[Stress_Level]&lt;=7,"Medium","High"))</f>
        <v>Low</v>
      </c>
      <c r="V1561" t="str">
        <f>IF(mental_health[Daily_Screen_Time]&lt;=4,"Low",IF(mental_health[Daily_Screen_Time]&lt;=8,"Medium","High"))</f>
        <v>Medium</v>
      </c>
    </row>
    <row r="1562" spans="1:22" x14ac:dyDescent="0.3">
      <c r="A1562">
        <v>1561</v>
      </c>
      <c r="B1562">
        <v>45</v>
      </c>
      <c r="C1562" t="s">
        <v>23</v>
      </c>
      <c r="D1562" t="s">
        <v>19</v>
      </c>
      <c r="E1562">
        <v>10.1</v>
      </c>
      <c r="F1562">
        <v>5.0999999999999996</v>
      </c>
      <c r="G1562">
        <v>1</v>
      </c>
      <c r="H1562" t="str">
        <f t="shared" si="24"/>
        <v>Night Usage</v>
      </c>
      <c r="I1562">
        <v>7.9</v>
      </c>
      <c r="J1562" s="3">
        <v>8</v>
      </c>
      <c r="K1562">
        <v>2.7</v>
      </c>
      <c r="L1562" t="s">
        <v>25</v>
      </c>
      <c r="M1562">
        <v>5</v>
      </c>
      <c r="N1562">
        <v>0</v>
      </c>
      <c r="O1562">
        <v>0</v>
      </c>
      <c r="P1562">
        <v>1</v>
      </c>
      <c r="Q1562">
        <v>1</v>
      </c>
      <c r="R1562">
        <v>1</v>
      </c>
      <c r="S1562">
        <v>1</v>
      </c>
      <c r="T1562" t="str">
        <f>IF(mental_health[Sleep_Hours]&lt;5,"Low",IF(mental_health[Sleep_Hours]&lt;7,"Medium","Good"))</f>
        <v>Good</v>
      </c>
      <c r="U1562" t="str">
        <f>IF(mental_health[Stress_Level]&lt;=3,"Low",IF(mental_health[Stress_Level]&lt;=7,"Medium","High"))</f>
        <v>High</v>
      </c>
      <c r="V1562" t="str">
        <f>IF(mental_health[Daily_Screen_Time]&lt;=4,"Low",IF(mental_health[Daily_Screen_Time]&lt;=8,"Medium","High"))</f>
        <v>High</v>
      </c>
    </row>
    <row r="1563" spans="1:22" x14ac:dyDescent="0.3">
      <c r="A1563">
        <v>1562</v>
      </c>
      <c r="B1563">
        <v>54</v>
      </c>
      <c r="C1563" t="s">
        <v>23</v>
      </c>
      <c r="D1563" t="s">
        <v>22</v>
      </c>
      <c r="E1563">
        <v>4.4000000000000004</v>
      </c>
      <c r="F1563">
        <v>1.6</v>
      </c>
      <c r="G1563">
        <v>0</v>
      </c>
      <c r="H1563" t="str">
        <f t="shared" si="24"/>
        <v>No Night Usage</v>
      </c>
      <c r="I1563">
        <v>7.7</v>
      </c>
      <c r="J1563" s="3">
        <v>9</v>
      </c>
      <c r="K1563">
        <v>11.2</v>
      </c>
      <c r="L1563" t="s">
        <v>25</v>
      </c>
      <c r="M1563">
        <v>2</v>
      </c>
      <c r="N1563">
        <v>0</v>
      </c>
      <c r="O1563">
        <v>0</v>
      </c>
      <c r="P1563">
        <v>0</v>
      </c>
      <c r="Q1563">
        <v>1</v>
      </c>
      <c r="R1563">
        <v>1</v>
      </c>
      <c r="S1563">
        <v>1</v>
      </c>
      <c r="T1563" t="str">
        <f>IF(mental_health[Sleep_Hours]&lt;5,"Low",IF(mental_health[Sleep_Hours]&lt;7,"Medium","Good"))</f>
        <v>Good</v>
      </c>
      <c r="U1563" t="str">
        <f>IF(mental_health[Stress_Level]&lt;=3,"Low",IF(mental_health[Stress_Level]&lt;=7,"Medium","High"))</f>
        <v>High</v>
      </c>
      <c r="V1563" t="str">
        <f>IF(mental_health[Daily_Screen_Time]&lt;=4,"Low",IF(mental_health[Daily_Screen_Time]&lt;=8,"Medium","High"))</f>
        <v>Medium</v>
      </c>
    </row>
    <row r="1564" spans="1:22" x14ac:dyDescent="0.3">
      <c r="A1564">
        <v>1563</v>
      </c>
      <c r="B1564">
        <v>46</v>
      </c>
      <c r="C1564" t="s">
        <v>18</v>
      </c>
      <c r="D1564" t="s">
        <v>22</v>
      </c>
      <c r="E1564">
        <v>4.2</v>
      </c>
      <c r="F1564">
        <v>4</v>
      </c>
      <c r="G1564">
        <v>0</v>
      </c>
      <c r="H1564" t="str">
        <f t="shared" si="24"/>
        <v>No Night Usage</v>
      </c>
      <c r="I1564">
        <v>7.7</v>
      </c>
      <c r="J1564" s="3">
        <v>8</v>
      </c>
      <c r="K1564">
        <v>9.4</v>
      </c>
      <c r="L1564" t="s">
        <v>20</v>
      </c>
      <c r="M1564">
        <v>10</v>
      </c>
      <c r="N1564">
        <v>2</v>
      </c>
      <c r="O1564">
        <v>1</v>
      </c>
      <c r="P1564">
        <v>1</v>
      </c>
      <c r="Q1564">
        <v>0</v>
      </c>
      <c r="R1564">
        <v>0</v>
      </c>
      <c r="S1564">
        <v>1</v>
      </c>
      <c r="T1564" t="str">
        <f>IF(mental_health[Sleep_Hours]&lt;5,"Low",IF(mental_health[Sleep_Hours]&lt;7,"Medium","Good"))</f>
        <v>Good</v>
      </c>
      <c r="U1564" t="str">
        <f>IF(mental_health[Stress_Level]&lt;=3,"Low",IF(mental_health[Stress_Level]&lt;=7,"Medium","High"))</f>
        <v>High</v>
      </c>
      <c r="V1564" t="str">
        <f>IF(mental_health[Daily_Screen_Time]&lt;=4,"Low",IF(mental_health[Daily_Screen_Time]&lt;=8,"Medium","High"))</f>
        <v>Medium</v>
      </c>
    </row>
    <row r="1565" spans="1:22" x14ac:dyDescent="0.3">
      <c r="A1565">
        <v>1564</v>
      </c>
      <c r="B1565">
        <v>33</v>
      </c>
      <c r="C1565" t="s">
        <v>18</v>
      </c>
      <c r="D1565" t="s">
        <v>19</v>
      </c>
      <c r="E1565">
        <v>7</v>
      </c>
      <c r="F1565">
        <v>2.2000000000000002</v>
      </c>
      <c r="G1565">
        <v>0</v>
      </c>
      <c r="H1565" t="str">
        <f t="shared" si="24"/>
        <v>No Night Usage</v>
      </c>
      <c r="I1565">
        <v>7.2</v>
      </c>
      <c r="J1565" s="3">
        <v>6</v>
      </c>
      <c r="K1565">
        <v>5.4</v>
      </c>
      <c r="L1565" t="s">
        <v>21</v>
      </c>
      <c r="M1565">
        <v>6</v>
      </c>
      <c r="N1565">
        <v>3</v>
      </c>
      <c r="O1565">
        <v>0</v>
      </c>
      <c r="P1565">
        <v>1</v>
      </c>
      <c r="Q1565">
        <v>1</v>
      </c>
      <c r="R1565">
        <v>1</v>
      </c>
      <c r="S1565">
        <v>1</v>
      </c>
      <c r="T1565" t="str">
        <f>IF(mental_health[Sleep_Hours]&lt;5,"Low",IF(mental_health[Sleep_Hours]&lt;7,"Medium","Good"))</f>
        <v>Good</v>
      </c>
      <c r="U1565" t="str">
        <f>IF(mental_health[Stress_Level]&lt;=3,"Low",IF(mental_health[Stress_Level]&lt;=7,"Medium","High"))</f>
        <v>Medium</v>
      </c>
      <c r="V1565" t="str">
        <f>IF(mental_health[Daily_Screen_Time]&lt;=4,"Low",IF(mental_health[Daily_Screen_Time]&lt;=8,"Medium","High"))</f>
        <v>Medium</v>
      </c>
    </row>
    <row r="1566" spans="1:22" x14ac:dyDescent="0.3">
      <c r="A1566">
        <v>1565</v>
      </c>
      <c r="B1566">
        <v>51</v>
      </c>
      <c r="C1566" t="s">
        <v>18</v>
      </c>
      <c r="D1566" t="s">
        <v>24</v>
      </c>
      <c r="E1566">
        <v>4.5999999999999996</v>
      </c>
      <c r="F1566">
        <v>7.9</v>
      </c>
      <c r="G1566">
        <v>1</v>
      </c>
      <c r="H1566" t="str">
        <f t="shared" si="24"/>
        <v>Night Usage</v>
      </c>
      <c r="I1566">
        <v>4.5</v>
      </c>
      <c r="J1566" s="3">
        <v>10</v>
      </c>
      <c r="K1566">
        <v>5.6</v>
      </c>
      <c r="L1566" t="s">
        <v>20</v>
      </c>
      <c r="M1566">
        <v>7</v>
      </c>
      <c r="N1566">
        <v>1</v>
      </c>
      <c r="O1566">
        <v>1</v>
      </c>
      <c r="P1566">
        <v>1</v>
      </c>
      <c r="Q1566">
        <v>0</v>
      </c>
      <c r="R1566">
        <v>0</v>
      </c>
      <c r="S1566">
        <v>1</v>
      </c>
      <c r="T1566" t="str">
        <f>IF(mental_health[Sleep_Hours]&lt;5,"Low",IF(mental_health[Sleep_Hours]&lt;7,"Medium","Good"))</f>
        <v>Low</v>
      </c>
      <c r="U1566" t="str">
        <f>IF(mental_health[Stress_Level]&lt;=3,"Low",IF(mental_health[Stress_Level]&lt;=7,"Medium","High"))</f>
        <v>High</v>
      </c>
      <c r="V1566" t="str">
        <f>IF(mental_health[Daily_Screen_Time]&lt;=4,"Low",IF(mental_health[Daily_Screen_Time]&lt;=8,"Medium","High"))</f>
        <v>Medium</v>
      </c>
    </row>
    <row r="1567" spans="1:22" x14ac:dyDescent="0.3">
      <c r="A1567">
        <v>1566</v>
      </c>
      <c r="B1567">
        <v>17</v>
      </c>
      <c r="C1567" t="s">
        <v>18</v>
      </c>
      <c r="D1567" t="s">
        <v>22</v>
      </c>
      <c r="E1567">
        <v>2.1</v>
      </c>
      <c r="F1567">
        <v>4.9000000000000004</v>
      </c>
      <c r="G1567">
        <v>0</v>
      </c>
      <c r="H1567" t="str">
        <f t="shared" si="24"/>
        <v>No Night Usage</v>
      </c>
      <c r="I1567">
        <v>8.1999999999999993</v>
      </c>
      <c r="J1567" s="3">
        <v>1</v>
      </c>
      <c r="K1567">
        <v>7.1</v>
      </c>
      <c r="L1567" t="s">
        <v>25</v>
      </c>
      <c r="M1567">
        <v>2</v>
      </c>
      <c r="N1567">
        <v>0</v>
      </c>
      <c r="O1567">
        <v>0</v>
      </c>
      <c r="P1567">
        <v>1</v>
      </c>
      <c r="Q1567">
        <v>0</v>
      </c>
      <c r="R1567">
        <v>0</v>
      </c>
      <c r="S1567">
        <v>0</v>
      </c>
      <c r="T1567" t="str">
        <f>IF(mental_health[Sleep_Hours]&lt;5,"Low",IF(mental_health[Sleep_Hours]&lt;7,"Medium","Good"))</f>
        <v>Good</v>
      </c>
      <c r="U1567" t="str">
        <f>IF(mental_health[Stress_Level]&lt;=3,"Low",IF(mental_health[Stress_Level]&lt;=7,"Medium","High"))</f>
        <v>Low</v>
      </c>
      <c r="V1567" t="str">
        <f>IF(mental_health[Daily_Screen_Time]&lt;=4,"Low",IF(mental_health[Daily_Screen_Time]&lt;=8,"Medium","High"))</f>
        <v>Low</v>
      </c>
    </row>
    <row r="1568" spans="1:22" x14ac:dyDescent="0.3">
      <c r="A1568">
        <v>1567</v>
      </c>
      <c r="B1568">
        <v>29</v>
      </c>
      <c r="C1568" t="s">
        <v>23</v>
      </c>
      <c r="D1568" t="s">
        <v>24</v>
      </c>
      <c r="E1568">
        <v>8.5</v>
      </c>
      <c r="F1568">
        <v>5.8</v>
      </c>
      <c r="G1568">
        <v>0</v>
      </c>
      <c r="H1568" t="str">
        <f t="shared" si="24"/>
        <v>No Night Usage</v>
      </c>
      <c r="I1568">
        <v>8.4</v>
      </c>
      <c r="J1568" s="3">
        <v>7</v>
      </c>
      <c r="K1568">
        <v>5.6</v>
      </c>
      <c r="L1568" t="s">
        <v>25</v>
      </c>
      <c r="M1568">
        <v>1</v>
      </c>
      <c r="N1568">
        <v>2</v>
      </c>
      <c r="O1568">
        <v>0</v>
      </c>
      <c r="P1568">
        <v>0</v>
      </c>
      <c r="Q1568">
        <v>0</v>
      </c>
      <c r="R1568">
        <v>0</v>
      </c>
      <c r="S1568">
        <v>0</v>
      </c>
      <c r="T1568" t="str">
        <f>IF(mental_health[Sleep_Hours]&lt;5,"Low",IF(mental_health[Sleep_Hours]&lt;7,"Medium","Good"))</f>
        <v>Good</v>
      </c>
      <c r="U1568" t="str">
        <f>IF(mental_health[Stress_Level]&lt;=3,"Low",IF(mental_health[Stress_Level]&lt;=7,"Medium","High"))</f>
        <v>Medium</v>
      </c>
      <c r="V1568" t="str">
        <f>IF(mental_health[Daily_Screen_Time]&lt;=4,"Low",IF(mental_health[Daily_Screen_Time]&lt;=8,"Medium","High"))</f>
        <v>High</v>
      </c>
    </row>
    <row r="1569" spans="1:22" x14ac:dyDescent="0.3">
      <c r="A1569">
        <v>1568</v>
      </c>
      <c r="B1569">
        <v>28</v>
      </c>
      <c r="C1569" t="s">
        <v>23</v>
      </c>
      <c r="D1569" t="s">
        <v>22</v>
      </c>
      <c r="E1569">
        <v>7.1</v>
      </c>
      <c r="F1569">
        <v>3.3</v>
      </c>
      <c r="G1569">
        <v>1</v>
      </c>
      <c r="H1569" t="str">
        <f t="shared" si="24"/>
        <v>Night Usage</v>
      </c>
      <c r="I1569">
        <v>4.2</v>
      </c>
      <c r="J1569" s="3">
        <v>1</v>
      </c>
      <c r="K1569">
        <v>9.8000000000000007</v>
      </c>
      <c r="L1569" t="s">
        <v>21</v>
      </c>
      <c r="M1569">
        <v>7</v>
      </c>
      <c r="N1569">
        <v>3</v>
      </c>
      <c r="O1569">
        <v>1</v>
      </c>
      <c r="P1569">
        <v>1</v>
      </c>
      <c r="Q1569">
        <v>0</v>
      </c>
      <c r="R1569">
        <v>0</v>
      </c>
      <c r="S1569">
        <v>1</v>
      </c>
      <c r="T1569" t="str">
        <f>IF(mental_health[Sleep_Hours]&lt;5,"Low",IF(mental_health[Sleep_Hours]&lt;7,"Medium","Good"))</f>
        <v>Low</v>
      </c>
      <c r="U1569" t="str">
        <f>IF(mental_health[Stress_Level]&lt;=3,"Low",IF(mental_health[Stress_Level]&lt;=7,"Medium","High"))</f>
        <v>Low</v>
      </c>
      <c r="V1569" t="str">
        <f>IF(mental_health[Daily_Screen_Time]&lt;=4,"Low",IF(mental_health[Daily_Screen_Time]&lt;=8,"Medium","High"))</f>
        <v>Medium</v>
      </c>
    </row>
    <row r="1570" spans="1:22" x14ac:dyDescent="0.3">
      <c r="A1570">
        <v>1569</v>
      </c>
      <c r="B1570">
        <v>44</v>
      </c>
      <c r="C1570" t="s">
        <v>18</v>
      </c>
      <c r="D1570" t="s">
        <v>22</v>
      </c>
      <c r="E1570">
        <v>6.5</v>
      </c>
      <c r="F1570">
        <v>1.7</v>
      </c>
      <c r="G1570">
        <v>0</v>
      </c>
      <c r="H1570" t="str">
        <f t="shared" si="24"/>
        <v>No Night Usage</v>
      </c>
      <c r="I1570">
        <v>3.8</v>
      </c>
      <c r="J1570" s="3">
        <v>7</v>
      </c>
      <c r="K1570">
        <v>11.7</v>
      </c>
      <c r="L1570" t="s">
        <v>20</v>
      </c>
      <c r="M1570">
        <v>1</v>
      </c>
      <c r="N1570">
        <v>4</v>
      </c>
      <c r="O1570">
        <v>0</v>
      </c>
      <c r="P1570">
        <v>1</v>
      </c>
      <c r="Q1570">
        <v>1</v>
      </c>
      <c r="R1570">
        <v>1</v>
      </c>
      <c r="S1570">
        <v>1</v>
      </c>
      <c r="T1570" t="str">
        <f>IF(mental_health[Sleep_Hours]&lt;5,"Low",IF(mental_health[Sleep_Hours]&lt;7,"Medium","Good"))</f>
        <v>Low</v>
      </c>
      <c r="U1570" t="str">
        <f>IF(mental_health[Stress_Level]&lt;=3,"Low",IF(mental_health[Stress_Level]&lt;=7,"Medium","High"))</f>
        <v>Medium</v>
      </c>
      <c r="V1570" t="str">
        <f>IF(mental_health[Daily_Screen_Time]&lt;=4,"Low",IF(mental_health[Daily_Screen_Time]&lt;=8,"Medium","High"))</f>
        <v>Medium</v>
      </c>
    </row>
    <row r="1571" spans="1:22" x14ac:dyDescent="0.3">
      <c r="A1571">
        <v>1570</v>
      </c>
      <c r="B1571">
        <v>27</v>
      </c>
      <c r="C1571" t="s">
        <v>23</v>
      </c>
      <c r="D1571" t="s">
        <v>24</v>
      </c>
      <c r="E1571">
        <v>11.7</v>
      </c>
      <c r="F1571">
        <v>7.8</v>
      </c>
      <c r="G1571">
        <v>1</v>
      </c>
      <c r="H1571" t="str">
        <f t="shared" si="24"/>
        <v>Night Usage</v>
      </c>
      <c r="I1571">
        <v>8.9</v>
      </c>
      <c r="J1571" s="3">
        <v>2</v>
      </c>
      <c r="K1571">
        <v>7.8</v>
      </c>
      <c r="L1571" t="s">
        <v>21</v>
      </c>
      <c r="M1571">
        <v>3</v>
      </c>
      <c r="N1571">
        <v>2</v>
      </c>
      <c r="O1571">
        <v>1</v>
      </c>
      <c r="P1571">
        <v>1</v>
      </c>
      <c r="Q1571">
        <v>0</v>
      </c>
      <c r="R1571">
        <v>1</v>
      </c>
      <c r="S1571">
        <v>1</v>
      </c>
      <c r="T1571" t="str">
        <f>IF(mental_health[Sleep_Hours]&lt;5,"Low",IF(mental_health[Sleep_Hours]&lt;7,"Medium","Good"))</f>
        <v>Good</v>
      </c>
      <c r="U1571" t="str">
        <f>IF(mental_health[Stress_Level]&lt;=3,"Low",IF(mental_health[Stress_Level]&lt;=7,"Medium","High"))</f>
        <v>Low</v>
      </c>
      <c r="V1571" t="str">
        <f>IF(mental_health[Daily_Screen_Time]&lt;=4,"Low",IF(mental_health[Daily_Screen_Time]&lt;=8,"Medium","High"))</f>
        <v>High</v>
      </c>
    </row>
    <row r="1572" spans="1:22" x14ac:dyDescent="0.3">
      <c r="A1572">
        <v>1571</v>
      </c>
      <c r="B1572">
        <v>54</v>
      </c>
      <c r="C1572" t="s">
        <v>23</v>
      </c>
      <c r="D1572" t="s">
        <v>22</v>
      </c>
      <c r="E1572">
        <v>7.7</v>
      </c>
      <c r="F1572">
        <v>3</v>
      </c>
      <c r="G1572">
        <v>1</v>
      </c>
      <c r="H1572" t="str">
        <f t="shared" si="24"/>
        <v>Night Usage</v>
      </c>
      <c r="I1572">
        <v>8.1999999999999993</v>
      </c>
      <c r="J1572" s="3">
        <v>8</v>
      </c>
      <c r="K1572">
        <v>6.5</v>
      </c>
      <c r="L1572" t="s">
        <v>25</v>
      </c>
      <c r="M1572">
        <v>4</v>
      </c>
      <c r="N1572">
        <v>3</v>
      </c>
      <c r="O1572">
        <v>0</v>
      </c>
      <c r="P1572">
        <v>1</v>
      </c>
      <c r="Q1572">
        <v>0</v>
      </c>
      <c r="R1572">
        <v>1</v>
      </c>
      <c r="S1572">
        <v>0</v>
      </c>
      <c r="T1572" t="str">
        <f>IF(mental_health[Sleep_Hours]&lt;5,"Low",IF(mental_health[Sleep_Hours]&lt;7,"Medium","Good"))</f>
        <v>Good</v>
      </c>
      <c r="U1572" t="str">
        <f>IF(mental_health[Stress_Level]&lt;=3,"Low",IF(mental_health[Stress_Level]&lt;=7,"Medium","High"))</f>
        <v>High</v>
      </c>
      <c r="V1572" t="str">
        <f>IF(mental_health[Daily_Screen_Time]&lt;=4,"Low",IF(mental_health[Daily_Screen_Time]&lt;=8,"Medium","High"))</f>
        <v>Medium</v>
      </c>
    </row>
    <row r="1573" spans="1:22" x14ac:dyDescent="0.3">
      <c r="A1573">
        <v>1572</v>
      </c>
      <c r="B1573">
        <v>17</v>
      </c>
      <c r="C1573" t="s">
        <v>18</v>
      </c>
      <c r="D1573" t="s">
        <v>22</v>
      </c>
      <c r="E1573">
        <v>10.6</v>
      </c>
      <c r="F1573">
        <v>4</v>
      </c>
      <c r="G1573">
        <v>1</v>
      </c>
      <c r="H1573" t="str">
        <f t="shared" si="24"/>
        <v>Night Usage</v>
      </c>
      <c r="I1573">
        <v>8.4</v>
      </c>
      <c r="J1573" s="3">
        <v>2</v>
      </c>
      <c r="K1573">
        <v>4.2</v>
      </c>
      <c r="L1573" t="s">
        <v>25</v>
      </c>
      <c r="M1573">
        <v>2</v>
      </c>
      <c r="N1573">
        <v>4</v>
      </c>
      <c r="O1573">
        <v>0</v>
      </c>
      <c r="P1573">
        <v>1</v>
      </c>
      <c r="Q1573">
        <v>0</v>
      </c>
      <c r="R1573">
        <v>0</v>
      </c>
      <c r="S1573">
        <v>1</v>
      </c>
      <c r="T1573" t="str">
        <f>IF(mental_health[Sleep_Hours]&lt;5,"Low",IF(mental_health[Sleep_Hours]&lt;7,"Medium","Good"))</f>
        <v>Good</v>
      </c>
      <c r="U1573" t="str">
        <f>IF(mental_health[Stress_Level]&lt;=3,"Low",IF(mental_health[Stress_Level]&lt;=7,"Medium","High"))</f>
        <v>Low</v>
      </c>
      <c r="V1573" t="str">
        <f>IF(mental_health[Daily_Screen_Time]&lt;=4,"Low",IF(mental_health[Daily_Screen_Time]&lt;=8,"Medium","High"))</f>
        <v>High</v>
      </c>
    </row>
    <row r="1574" spans="1:22" x14ac:dyDescent="0.3">
      <c r="A1574">
        <v>1573</v>
      </c>
      <c r="B1574">
        <v>47</v>
      </c>
      <c r="C1574" t="s">
        <v>18</v>
      </c>
      <c r="D1574" t="s">
        <v>24</v>
      </c>
      <c r="E1574">
        <v>3.4</v>
      </c>
      <c r="F1574">
        <v>5.5</v>
      </c>
      <c r="G1574">
        <v>1</v>
      </c>
      <c r="H1574" t="str">
        <f t="shared" si="24"/>
        <v>Night Usage</v>
      </c>
      <c r="I1574">
        <v>8.3000000000000007</v>
      </c>
      <c r="J1574" s="3">
        <v>3</v>
      </c>
      <c r="K1574">
        <v>8.5</v>
      </c>
      <c r="L1574" t="s">
        <v>21</v>
      </c>
      <c r="M1574">
        <v>7</v>
      </c>
      <c r="N1574">
        <v>3</v>
      </c>
      <c r="O1574">
        <v>0</v>
      </c>
      <c r="P1574">
        <v>1</v>
      </c>
      <c r="Q1574">
        <v>1</v>
      </c>
      <c r="R1574">
        <v>0</v>
      </c>
      <c r="S1574">
        <v>0</v>
      </c>
      <c r="T1574" t="str">
        <f>IF(mental_health[Sleep_Hours]&lt;5,"Low",IF(mental_health[Sleep_Hours]&lt;7,"Medium","Good"))</f>
        <v>Good</v>
      </c>
      <c r="U1574" t="str">
        <f>IF(mental_health[Stress_Level]&lt;=3,"Low",IF(mental_health[Stress_Level]&lt;=7,"Medium","High"))</f>
        <v>Low</v>
      </c>
      <c r="V1574" t="str">
        <f>IF(mental_health[Daily_Screen_Time]&lt;=4,"Low",IF(mental_health[Daily_Screen_Time]&lt;=8,"Medium","High"))</f>
        <v>Low</v>
      </c>
    </row>
    <row r="1575" spans="1:22" x14ac:dyDescent="0.3">
      <c r="A1575">
        <v>1574</v>
      </c>
      <c r="B1575">
        <v>28</v>
      </c>
      <c r="C1575" t="s">
        <v>23</v>
      </c>
      <c r="D1575" t="s">
        <v>22</v>
      </c>
      <c r="E1575">
        <v>7.7</v>
      </c>
      <c r="F1575">
        <v>1.2</v>
      </c>
      <c r="G1575">
        <v>0</v>
      </c>
      <c r="H1575" t="str">
        <f t="shared" si="24"/>
        <v>No Night Usage</v>
      </c>
      <c r="I1575">
        <v>6.3</v>
      </c>
      <c r="J1575" s="3">
        <v>3</v>
      </c>
      <c r="K1575">
        <v>8.9</v>
      </c>
      <c r="L1575" t="s">
        <v>25</v>
      </c>
      <c r="M1575">
        <v>5</v>
      </c>
      <c r="N1575">
        <v>0</v>
      </c>
      <c r="O1575">
        <v>1</v>
      </c>
      <c r="P1575">
        <v>0</v>
      </c>
      <c r="Q1575">
        <v>0</v>
      </c>
      <c r="R1575">
        <v>0</v>
      </c>
      <c r="S1575">
        <v>1</v>
      </c>
      <c r="T1575" t="str">
        <f>IF(mental_health[Sleep_Hours]&lt;5,"Low",IF(mental_health[Sleep_Hours]&lt;7,"Medium","Good"))</f>
        <v>Medium</v>
      </c>
      <c r="U1575" t="str">
        <f>IF(mental_health[Stress_Level]&lt;=3,"Low",IF(mental_health[Stress_Level]&lt;=7,"Medium","High"))</f>
        <v>Low</v>
      </c>
      <c r="V1575" t="str">
        <f>IF(mental_health[Daily_Screen_Time]&lt;=4,"Low",IF(mental_health[Daily_Screen_Time]&lt;=8,"Medium","High"))</f>
        <v>Medium</v>
      </c>
    </row>
    <row r="1576" spans="1:22" x14ac:dyDescent="0.3">
      <c r="A1576">
        <v>1575</v>
      </c>
      <c r="B1576">
        <v>42</v>
      </c>
      <c r="C1576" t="s">
        <v>23</v>
      </c>
      <c r="D1576" t="s">
        <v>22</v>
      </c>
      <c r="E1576">
        <v>10.7</v>
      </c>
      <c r="F1576">
        <v>6.7</v>
      </c>
      <c r="G1576">
        <v>1</v>
      </c>
      <c r="H1576" t="str">
        <f t="shared" si="24"/>
        <v>Night Usage</v>
      </c>
      <c r="I1576">
        <v>6.9</v>
      </c>
      <c r="J1576" s="3">
        <v>1</v>
      </c>
      <c r="K1576">
        <v>8.9</v>
      </c>
      <c r="L1576" t="s">
        <v>20</v>
      </c>
      <c r="M1576">
        <v>1</v>
      </c>
      <c r="N1576">
        <v>2</v>
      </c>
      <c r="O1576">
        <v>1</v>
      </c>
      <c r="P1576">
        <v>1</v>
      </c>
      <c r="Q1576">
        <v>1</v>
      </c>
      <c r="R1576">
        <v>1</v>
      </c>
      <c r="S1576">
        <v>1</v>
      </c>
      <c r="T1576" t="str">
        <f>IF(mental_health[Sleep_Hours]&lt;5,"Low",IF(mental_health[Sleep_Hours]&lt;7,"Medium","Good"))</f>
        <v>Medium</v>
      </c>
      <c r="U1576" t="str">
        <f>IF(mental_health[Stress_Level]&lt;=3,"Low",IF(mental_health[Stress_Level]&lt;=7,"Medium","High"))</f>
        <v>Low</v>
      </c>
      <c r="V1576" t="str">
        <f>IF(mental_health[Daily_Screen_Time]&lt;=4,"Low",IF(mental_health[Daily_Screen_Time]&lt;=8,"Medium","High"))</f>
        <v>High</v>
      </c>
    </row>
    <row r="1577" spans="1:22" x14ac:dyDescent="0.3">
      <c r="A1577">
        <v>1576</v>
      </c>
      <c r="B1577">
        <v>56</v>
      </c>
      <c r="C1577" t="s">
        <v>18</v>
      </c>
      <c r="D1577" t="s">
        <v>22</v>
      </c>
      <c r="E1577">
        <v>7.8</v>
      </c>
      <c r="F1577">
        <v>4.8</v>
      </c>
      <c r="G1577">
        <v>1</v>
      </c>
      <c r="H1577" t="str">
        <f t="shared" si="24"/>
        <v>Night Usage</v>
      </c>
      <c r="I1577">
        <v>6.3</v>
      </c>
      <c r="J1577" s="3">
        <v>5</v>
      </c>
      <c r="K1577">
        <v>2.2999999999999998</v>
      </c>
      <c r="L1577" t="s">
        <v>25</v>
      </c>
      <c r="M1577">
        <v>8</v>
      </c>
      <c r="N1577">
        <v>4</v>
      </c>
      <c r="O1577">
        <v>0</v>
      </c>
      <c r="P1577">
        <v>0</v>
      </c>
      <c r="Q1577">
        <v>0</v>
      </c>
      <c r="R1577">
        <v>0</v>
      </c>
      <c r="S1577">
        <v>1</v>
      </c>
      <c r="T1577" t="str">
        <f>IF(mental_health[Sleep_Hours]&lt;5,"Low",IF(mental_health[Sleep_Hours]&lt;7,"Medium","Good"))</f>
        <v>Medium</v>
      </c>
      <c r="U1577" t="str">
        <f>IF(mental_health[Stress_Level]&lt;=3,"Low",IF(mental_health[Stress_Level]&lt;=7,"Medium","High"))</f>
        <v>Medium</v>
      </c>
      <c r="V1577" t="str">
        <f>IF(mental_health[Daily_Screen_Time]&lt;=4,"Low",IF(mental_health[Daily_Screen_Time]&lt;=8,"Medium","High"))</f>
        <v>Medium</v>
      </c>
    </row>
    <row r="1578" spans="1:22" x14ac:dyDescent="0.3">
      <c r="A1578">
        <v>1577</v>
      </c>
      <c r="B1578">
        <v>32</v>
      </c>
      <c r="C1578" t="s">
        <v>18</v>
      </c>
      <c r="D1578" t="s">
        <v>24</v>
      </c>
      <c r="E1578">
        <v>9.1999999999999993</v>
      </c>
      <c r="F1578">
        <v>2.9</v>
      </c>
      <c r="G1578">
        <v>0</v>
      </c>
      <c r="H1578" t="str">
        <f t="shared" si="24"/>
        <v>No Night Usage</v>
      </c>
      <c r="I1578">
        <v>3.3</v>
      </c>
      <c r="J1578" s="3">
        <v>5</v>
      </c>
      <c r="K1578">
        <v>11</v>
      </c>
      <c r="L1578" t="s">
        <v>25</v>
      </c>
      <c r="M1578">
        <v>10</v>
      </c>
      <c r="N1578">
        <v>3</v>
      </c>
      <c r="O1578">
        <v>0</v>
      </c>
      <c r="P1578">
        <v>1</v>
      </c>
      <c r="Q1578">
        <v>0</v>
      </c>
      <c r="R1578">
        <v>0</v>
      </c>
      <c r="S1578">
        <v>1</v>
      </c>
      <c r="T1578" t="str">
        <f>IF(mental_health[Sleep_Hours]&lt;5,"Low",IF(mental_health[Sleep_Hours]&lt;7,"Medium","Good"))</f>
        <v>Low</v>
      </c>
      <c r="U1578" t="str">
        <f>IF(mental_health[Stress_Level]&lt;=3,"Low",IF(mental_health[Stress_Level]&lt;=7,"Medium","High"))</f>
        <v>Medium</v>
      </c>
      <c r="V1578" t="str">
        <f>IF(mental_health[Daily_Screen_Time]&lt;=4,"Low",IF(mental_health[Daily_Screen_Time]&lt;=8,"Medium","High"))</f>
        <v>High</v>
      </c>
    </row>
    <row r="1579" spans="1:22" x14ac:dyDescent="0.3">
      <c r="A1579">
        <v>1578</v>
      </c>
      <c r="B1579">
        <v>55</v>
      </c>
      <c r="C1579" t="s">
        <v>18</v>
      </c>
      <c r="D1579" t="s">
        <v>19</v>
      </c>
      <c r="E1579">
        <v>5.7</v>
      </c>
      <c r="F1579">
        <v>1.4</v>
      </c>
      <c r="G1579">
        <v>0</v>
      </c>
      <c r="H1579" t="str">
        <f t="shared" si="24"/>
        <v>No Night Usage</v>
      </c>
      <c r="I1579">
        <v>7.5</v>
      </c>
      <c r="J1579" s="3">
        <v>10</v>
      </c>
      <c r="K1579">
        <v>5.4</v>
      </c>
      <c r="L1579" t="s">
        <v>20</v>
      </c>
      <c r="M1579">
        <v>7</v>
      </c>
      <c r="N1579">
        <v>4</v>
      </c>
      <c r="O1579">
        <v>1</v>
      </c>
      <c r="P1579">
        <v>1</v>
      </c>
      <c r="Q1579">
        <v>0</v>
      </c>
      <c r="R1579">
        <v>1</v>
      </c>
      <c r="S1579">
        <v>0</v>
      </c>
      <c r="T1579" t="str">
        <f>IF(mental_health[Sleep_Hours]&lt;5,"Low",IF(mental_health[Sleep_Hours]&lt;7,"Medium","Good"))</f>
        <v>Good</v>
      </c>
      <c r="U1579" t="str">
        <f>IF(mental_health[Stress_Level]&lt;=3,"Low",IF(mental_health[Stress_Level]&lt;=7,"Medium","High"))</f>
        <v>High</v>
      </c>
      <c r="V1579" t="str">
        <f>IF(mental_health[Daily_Screen_Time]&lt;=4,"Low",IF(mental_health[Daily_Screen_Time]&lt;=8,"Medium","High"))</f>
        <v>Medium</v>
      </c>
    </row>
    <row r="1580" spans="1:22" x14ac:dyDescent="0.3">
      <c r="A1580">
        <v>1579</v>
      </c>
      <c r="B1580">
        <v>46</v>
      </c>
      <c r="C1580" t="s">
        <v>23</v>
      </c>
      <c r="D1580" t="s">
        <v>24</v>
      </c>
      <c r="E1580">
        <v>2.9</v>
      </c>
      <c r="F1580">
        <v>2.1</v>
      </c>
      <c r="G1580">
        <v>0</v>
      </c>
      <c r="H1580" t="str">
        <f t="shared" si="24"/>
        <v>No Night Usage</v>
      </c>
      <c r="I1580">
        <v>6</v>
      </c>
      <c r="J1580" s="3">
        <v>5</v>
      </c>
      <c r="K1580">
        <v>9.4</v>
      </c>
      <c r="L1580" t="s">
        <v>25</v>
      </c>
      <c r="M1580">
        <v>4</v>
      </c>
      <c r="N1580">
        <v>1</v>
      </c>
      <c r="O1580">
        <v>0</v>
      </c>
      <c r="P1580">
        <v>0</v>
      </c>
      <c r="Q1580">
        <v>0</v>
      </c>
      <c r="R1580">
        <v>0</v>
      </c>
      <c r="S1580">
        <v>1</v>
      </c>
      <c r="T1580" t="str">
        <f>IF(mental_health[Sleep_Hours]&lt;5,"Low",IF(mental_health[Sleep_Hours]&lt;7,"Medium","Good"))</f>
        <v>Medium</v>
      </c>
      <c r="U1580" t="str">
        <f>IF(mental_health[Stress_Level]&lt;=3,"Low",IF(mental_health[Stress_Level]&lt;=7,"Medium","High"))</f>
        <v>Medium</v>
      </c>
      <c r="V1580" t="str">
        <f>IF(mental_health[Daily_Screen_Time]&lt;=4,"Low",IF(mental_health[Daily_Screen_Time]&lt;=8,"Medium","High"))</f>
        <v>Low</v>
      </c>
    </row>
    <row r="1581" spans="1:22" x14ac:dyDescent="0.3">
      <c r="A1581">
        <v>1580</v>
      </c>
      <c r="B1581">
        <v>49</v>
      </c>
      <c r="C1581" t="s">
        <v>18</v>
      </c>
      <c r="D1581" t="s">
        <v>19</v>
      </c>
      <c r="E1581">
        <v>6.6</v>
      </c>
      <c r="F1581">
        <v>7.3</v>
      </c>
      <c r="G1581">
        <v>1</v>
      </c>
      <c r="H1581" t="str">
        <f t="shared" si="24"/>
        <v>Night Usage</v>
      </c>
      <c r="I1581">
        <v>6.9</v>
      </c>
      <c r="J1581" s="3">
        <v>9</v>
      </c>
      <c r="K1581">
        <v>9.6</v>
      </c>
      <c r="L1581" t="s">
        <v>21</v>
      </c>
      <c r="M1581">
        <v>2</v>
      </c>
      <c r="N1581">
        <v>2</v>
      </c>
      <c r="O1581">
        <v>0</v>
      </c>
      <c r="P1581">
        <v>1</v>
      </c>
      <c r="Q1581">
        <v>0</v>
      </c>
      <c r="R1581">
        <v>1</v>
      </c>
      <c r="S1581">
        <v>1</v>
      </c>
      <c r="T1581" t="str">
        <f>IF(mental_health[Sleep_Hours]&lt;5,"Low",IF(mental_health[Sleep_Hours]&lt;7,"Medium","Good"))</f>
        <v>Medium</v>
      </c>
      <c r="U1581" t="str">
        <f>IF(mental_health[Stress_Level]&lt;=3,"Low",IF(mental_health[Stress_Level]&lt;=7,"Medium","High"))</f>
        <v>High</v>
      </c>
      <c r="V1581" t="str">
        <f>IF(mental_health[Daily_Screen_Time]&lt;=4,"Low",IF(mental_health[Daily_Screen_Time]&lt;=8,"Medium","High"))</f>
        <v>Medium</v>
      </c>
    </row>
    <row r="1582" spans="1:22" x14ac:dyDescent="0.3">
      <c r="A1582">
        <v>1581</v>
      </c>
      <c r="B1582">
        <v>39</v>
      </c>
      <c r="C1582" t="s">
        <v>18</v>
      </c>
      <c r="D1582" t="s">
        <v>22</v>
      </c>
      <c r="E1582">
        <v>5.9</v>
      </c>
      <c r="F1582">
        <v>5.8</v>
      </c>
      <c r="G1582">
        <v>0</v>
      </c>
      <c r="H1582" t="str">
        <f t="shared" si="24"/>
        <v>No Night Usage</v>
      </c>
      <c r="I1582">
        <v>6</v>
      </c>
      <c r="J1582" s="3">
        <v>6</v>
      </c>
      <c r="K1582">
        <v>8.5</v>
      </c>
      <c r="L1582" t="s">
        <v>21</v>
      </c>
      <c r="M1582">
        <v>7</v>
      </c>
      <c r="N1582">
        <v>0</v>
      </c>
      <c r="O1582">
        <v>1</v>
      </c>
      <c r="P1582">
        <v>1</v>
      </c>
      <c r="Q1582">
        <v>1</v>
      </c>
      <c r="R1582">
        <v>0</v>
      </c>
      <c r="S1582">
        <v>1</v>
      </c>
      <c r="T1582" t="str">
        <f>IF(mental_health[Sleep_Hours]&lt;5,"Low",IF(mental_health[Sleep_Hours]&lt;7,"Medium","Good"))</f>
        <v>Medium</v>
      </c>
      <c r="U1582" t="str">
        <f>IF(mental_health[Stress_Level]&lt;=3,"Low",IF(mental_health[Stress_Level]&lt;=7,"Medium","High"))</f>
        <v>Medium</v>
      </c>
      <c r="V1582" t="str">
        <f>IF(mental_health[Daily_Screen_Time]&lt;=4,"Low",IF(mental_health[Daily_Screen_Time]&lt;=8,"Medium","High"))</f>
        <v>Medium</v>
      </c>
    </row>
    <row r="1583" spans="1:22" x14ac:dyDescent="0.3">
      <c r="A1583">
        <v>1582</v>
      </c>
      <c r="B1583">
        <v>50</v>
      </c>
      <c r="C1583" t="s">
        <v>23</v>
      </c>
      <c r="D1583" t="s">
        <v>19</v>
      </c>
      <c r="E1583">
        <v>10.7</v>
      </c>
      <c r="F1583">
        <v>2.7</v>
      </c>
      <c r="G1583">
        <v>1</v>
      </c>
      <c r="H1583" t="str">
        <f t="shared" si="24"/>
        <v>Night Usage</v>
      </c>
      <c r="I1583">
        <v>6</v>
      </c>
      <c r="J1583" s="3">
        <v>6</v>
      </c>
      <c r="K1583">
        <v>5.9</v>
      </c>
      <c r="L1583" t="s">
        <v>25</v>
      </c>
      <c r="M1583">
        <v>2</v>
      </c>
      <c r="N1583">
        <v>4</v>
      </c>
      <c r="O1583">
        <v>0</v>
      </c>
      <c r="P1583">
        <v>0</v>
      </c>
      <c r="Q1583">
        <v>1</v>
      </c>
      <c r="R1583">
        <v>1</v>
      </c>
      <c r="S1583">
        <v>1</v>
      </c>
      <c r="T1583" t="str">
        <f>IF(mental_health[Sleep_Hours]&lt;5,"Low",IF(mental_health[Sleep_Hours]&lt;7,"Medium","Good"))</f>
        <v>Medium</v>
      </c>
      <c r="U1583" t="str">
        <f>IF(mental_health[Stress_Level]&lt;=3,"Low",IF(mental_health[Stress_Level]&lt;=7,"Medium","High"))</f>
        <v>Medium</v>
      </c>
      <c r="V1583" t="str">
        <f>IF(mental_health[Daily_Screen_Time]&lt;=4,"Low",IF(mental_health[Daily_Screen_Time]&lt;=8,"Medium","High"))</f>
        <v>High</v>
      </c>
    </row>
    <row r="1584" spans="1:22" x14ac:dyDescent="0.3">
      <c r="A1584">
        <v>1583</v>
      </c>
      <c r="B1584">
        <v>21</v>
      </c>
      <c r="C1584" t="s">
        <v>23</v>
      </c>
      <c r="D1584" t="s">
        <v>24</v>
      </c>
      <c r="E1584">
        <v>4.4000000000000004</v>
      </c>
      <c r="F1584">
        <v>1.5</v>
      </c>
      <c r="G1584">
        <v>1</v>
      </c>
      <c r="H1584" t="str">
        <f t="shared" si="24"/>
        <v>Night Usage</v>
      </c>
      <c r="I1584">
        <v>4</v>
      </c>
      <c r="J1584" s="3">
        <v>3</v>
      </c>
      <c r="K1584">
        <v>8.1</v>
      </c>
      <c r="L1584" t="s">
        <v>20</v>
      </c>
      <c r="M1584">
        <v>6</v>
      </c>
      <c r="N1584">
        <v>3</v>
      </c>
      <c r="O1584">
        <v>0</v>
      </c>
      <c r="P1584">
        <v>0</v>
      </c>
      <c r="Q1584">
        <v>0</v>
      </c>
      <c r="R1584">
        <v>0</v>
      </c>
      <c r="S1584">
        <v>0</v>
      </c>
      <c r="T1584" t="str">
        <f>IF(mental_health[Sleep_Hours]&lt;5,"Low",IF(mental_health[Sleep_Hours]&lt;7,"Medium","Good"))</f>
        <v>Low</v>
      </c>
      <c r="U1584" t="str">
        <f>IF(mental_health[Stress_Level]&lt;=3,"Low",IF(mental_health[Stress_Level]&lt;=7,"Medium","High"))</f>
        <v>Low</v>
      </c>
      <c r="V1584" t="str">
        <f>IF(mental_health[Daily_Screen_Time]&lt;=4,"Low",IF(mental_health[Daily_Screen_Time]&lt;=8,"Medium","High"))</f>
        <v>Medium</v>
      </c>
    </row>
    <row r="1585" spans="1:22" x14ac:dyDescent="0.3">
      <c r="A1585">
        <v>1584</v>
      </c>
      <c r="B1585">
        <v>34</v>
      </c>
      <c r="C1585" t="s">
        <v>23</v>
      </c>
      <c r="D1585" t="s">
        <v>24</v>
      </c>
      <c r="E1585">
        <v>11.7</v>
      </c>
      <c r="F1585">
        <v>5.8</v>
      </c>
      <c r="G1585">
        <v>0</v>
      </c>
      <c r="H1585" t="str">
        <f t="shared" si="24"/>
        <v>No Night Usage</v>
      </c>
      <c r="I1585">
        <v>4.7</v>
      </c>
      <c r="J1585" s="3">
        <v>5</v>
      </c>
      <c r="K1585">
        <v>2.4</v>
      </c>
      <c r="L1585" t="s">
        <v>20</v>
      </c>
      <c r="M1585">
        <v>1</v>
      </c>
      <c r="N1585">
        <v>4</v>
      </c>
      <c r="O1585">
        <v>1</v>
      </c>
      <c r="P1585">
        <v>0</v>
      </c>
      <c r="Q1585">
        <v>0</v>
      </c>
      <c r="R1585">
        <v>0</v>
      </c>
      <c r="S1585">
        <v>0</v>
      </c>
      <c r="T1585" t="str">
        <f>IF(mental_health[Sleep_Hours]&lt;5,"Low",IF(mental_health[Sleep_Hours]&lt;7,"Medium","Good"))</f>
        <v>Low</v>
      </c>
      <c r="U1585" t="str">
        <f>IF(mental_health[Stress_Level]&lt;=3,"Low",IF(mental_health[Stress_Level]&lt;=7,"Medium","High"))</f>
        <v>Medium</v>
      </c>
      <c r="V1585" t="str">
        <f>IF(mental_health[Daily_Screen_Time]&lt;=4,"Low",IF(mental_health[Daily_Screen_Time]&lt;=8,"Medium","High"))</f>
        <v>High</v>
      </c>
    </row>
    <row r="1586" spans="1:22" x14ac:dyDescent="0.3">
      <c r="A1586">
        <v>1585</v>
      </c>
      <c r="B1586">
        <v>45</v>
      </c>
      <c r="C1586" t="s">
        <v>23</v>
      </c>
      <c r="D1586" t="s">
        <v>22</v>
      </c>
      <c r="E1586">
        <v>11.6</v>
      </c>
      <c r="F1586">
        <v>5</v>
      </c>
      <c r="G1586">
        <v>0</v>
      </c>
      <c r="H1586" t="str">
        <f t="shared" si="24"/>
        <v>No Night Usage</v>
      </c>
      <c r="I1586">
        <v>4</v>
      </c>
      <c r="J1586" s="3">
        <v>10</v>
      </c>
      <c r="K1586">
        <v>9.6</v>
      </c>
      <c r="L1586" t="s">
        <v>21</v>
      </c>
      <c r="M1586">
        <v>7</v>
      </c>
      <c r="N1586">
        <v>3</v>
      </c>
      <c r="O1586">
        <v>1</v>
      </c>
      <c r="P1586">
        <v>0</v>
      </c>
      <c r="Q1586">
        <v>1</v>
      </c>
      <c r="R1586">
        <v>1</v>
      </c>
      <c r="S1586">
        <v>1</v>
      </c>
      <c r="T1586" t="str">
        <f>IF(mental_health[Sleep_Hours]&lt;5,"Low",IF(mental_health[Sleep_Hours]&lt;7,"Medium","Good"))</f>
        <v>Low</v>
      </c>
      <c r="U1586" t="str">
        <f>IF(mental_health[Stress_Level]&lt;=3,"Low",IF(mental_health[Stress_Level]&lt;=7,"Medium","High"))</f>
        <v>High</v>
      </c>
      <c r="V1586" t="str">
        <f>IF(mental_health[Daily_Screen_Time]&lt;=4,"Low",IF(mental_health[Daily_Screen_Time]&lt;=8,"Medium","High"))</f>
        <v>High</v>
      </c>
    </row>
    <row r="1587" spans="1:22" x14ac:dyDescent="0.3">
      <c r="A1587">
        <v>1586</v>
      </c>
      <c r="B1587">
        <v>22</v>
      </c>
      <c r="C1587" t="s">
        <v>23</v>
      </c>
      <c r="D1587" t="s">
        <v>19</v>
      </c>
      <c r="E1587">
        <v>4.5</v>
      </c>
      <c r="F1587">
        <v>3.8</v>
      </c>
      <c r="G1587">
        <v>0</v>
      </c>
      <c r="H1587" t="str">
        <f t="shared" si="24"/>
        <v>No Night Usage</v>
      </c>
      <c r="I1587">
        <v>4.2</v>
      </c>
      <c r="J1587" s="3">
        <v>7</v>
      </c>
      <c r="K1587">
        <v>3</v>
      </c>
      <c r="L1587" t="s">
        <v>25</v>
      </c>
      <c r="M1587">
        <v>7</v>
      </c>
      <c r="N1587">
        <v>4</v>
      </c>
      <c r="O1587">
        <v>1</v>
      </c>
      <c r="P1587">
        <v>1</v>
      </c>
      <c r="Q1587">
        <v>1</v>
      </c>
      <c r="R1587">
        <v>1</v>
      </c>
      <c r="S1587">
        <v>0</v>
      </c>
      <c r="T1587" t="str">
        <f>IF(mental_health[Sleep_Hours]&lt;5,"Low",IF(mental_health[Sleep_Hours]&lt;7,"Medium","Good"))</f>
        <v>Low</v>
      </c>
      <c r="U1587" t="str">
        <f>IF(mental_health[Stress_Level]&lt;=3,"Low",IF(mental_health[Stress_Level]&lt;=7,"Medium","High"))</f>
        <v>Medium</v>
      </c>
      <c r="V1587" t="str">
        <f>IF(mental_health[Daily_Screen_Time]&lt;=4,"Low",IF(mental_health[Daily_Screen_Time]&lt;=8,"Medium","High"))</f>
        <v>Medium</v>
      </c>
    </row>
    <row r="1588" spans="1:22" x14ac:dyDescent="0.3">
      <c r="A1588">
        <v>1587</v>
      </c>
      <c r="B1588">
        <v>25</v>
      </c>
      <c r="C1588" t="s">
        <v>18</v>
      </c>
      <c r="D1588" t="s">
        <v>22</v>
      </c>
      <c r="E1588">
        <v>5.5</v>
      </c>
      <c r="F1588">
        <v>3.5</v>
      </c>
      <c r="G1588">
        <v>0</v>
      </c>
      <c r="H1588" t="str">
        <f t="shared" si="24"/>
        <v>No Night Usage</v>
      </c>
      <c r="I1588">
        <v>8.8000000000000007</v>
      </c>
      <c r="J1588" s="3">
        <v>3</v>
      </c>
      <c r="K1588">
        <v>6</v>
      </c>
      <c r="L1588" t="s">
        <v>20</v>
      </c>
      <c r="M1588">
        <v>4</v>
      </c>
      <c r="N1588">
        <v>0</v>
      </c>
      <c r="O1588">
        <v>1</v>
      </c>
      <c r="P1588">
        <v>0</v>
      </c>
      <c r="Q1588">
        <v>0</v>
      </c>
      <c r="R1588">
        <v>0</v>
      </c>
      <c r="S1588">
        <v>0</v>
      </c>
      <c r="T1588" t="str">
        <f>IF(mental_health[Sleep_Hours]&lt;5,"Low",IF(mental_health[Sleep_Hours]&lt;7,"Medium","Good"))</f>
        <v>Good</v>
      </c>
      <c r="U1588" t="str">
        <f>IF(mental_health[Stress_Level]&lt;=3,"Low",IF(mental_health[Stress_Level]&lt;=7,"Medium","High"))</f>
        <v>Low</v>
      </c>
      <c r="V1588" t="str">
        <f>IF(mental_health[Daily_Screen_Time]&lt;=4,"Low",IF(mental_health[Daily_Screen_Time]&lt;=8,"Medium","High"))</f>
        <v>Medium</v>
      </c>
    </row>
    <row r="1589" spans="1:22" x14ac:dyDescent="0.3">
      <c r="A1589">
        <v>1588</v>
      </c>
      <c r="B1589">
        <v>56</v>
      </c>
      <c r="C1589" t="s">
        <v>18</v>
      </c>
      <c r="D1589" t="s">
        <v>22</v>
      </c>
      <c r="E1589">
        <v>11</v>
      </c>
      <c r="F1589">
        <v>2.5</v>
      </c>
      <c r="G1589">
        <v>0</v>
      </c>
      <c r="H1589" t="str">
        <f t="shared" si="24"/>
        <v>No Night Usage</v>
      </c>
      <c r="I1589">
        <v>3.9</v>
      </c>
      <c r="J1589" s="3">
        <v>2</v>
      </c>
      <c r="K1589">
        <v>3</v>
      </c>
      <c r="L1589" t="s">
        <v>20</v>
      </c>
      <c r="M1589">
        <v>4</v>
      </c>
      <c r="N1589">
        <v>0</v>
      </c>
      <c r="O1589">
        <v>0</v>
      </c>
      <c r="P1589">
        <v>0</v>
      </c>
      <c r="Q1589">
        <v>0</v>
      </c>
      <c r="R1589">
        <v>1</v>
      </c>
      <c r="S1589">
        <v>0</v>
      </c>
      <c r="T1589" t="str">
        <f>IF(mental_health[Sleep_Hours]&lt;5,"Low",IF(mental_health[Sleep_Hours]&lt;7,"Medium","Good"))</f>
        <v>Low</v>
      </c>
      <c r="U1589" t="str">
        <f>IF(mental_health[Stress_Level]&lt;=3,"Low",IF(mental_health[Stress_Level]&lt;=7,"Medium","High"))</f>
        <v>Low</v>
      </c>
      <c r="V1589" t="str">
        <f>IF(mental_health[Daily_Screen_Time]&lt;=4,"Low",IF(mental_health[Daily_Screen_Time]&lt;=8,"Medium","High"))</f>
        <v>High</v>
      </c>
    </row>
    <row r="1590" spans="1:22" x14ac:dyDescent="0.3">
      <c r="A1590">
        <v>1589</v>
      </c>
      <c r="B1590">
        <v>47</v>
      </c>
      <c r="C1590" t="s">
        <v>23</v>
      </c>
      <c r="D1590" t="s">
        <v>24</v>
      </c>
      <c r="E1590">
        <v>11.7</v>
      </c>
      <c r="F1590">
        <v>5.7</v>
      </c>
      <c r="G1590">
        <v>0</v>
      </c>
      <c r="H1590" t="str">
        <f t="shared" si="24"/>
        <v>No Night Usage</v>
      </c>
      <c r="I1590">
        <v>4.5999999999999996</v>
      </c>
      <c r="J1590" s="3">
        <v>5</v>
      </c>
      <c r="K1590">
        <v>10.4</v>
      </c>
      <c r="L1590" t="s">
        <v>21</v>
      </c>
      <c r="M1590">
        <v>10</v>
      </c>
      <c r="N1590">
        <v>2</v>
      </c>
      <c r="O1590">
        <v>1</v>
      </c>
      <c r="P1590">
        <v>0</v>
      </c>
      <c r="Q1590">
        <v>1</v>
      </c>
      <c r="R1590">
        <v>0</v>
      </c>
      <c r="S1590">
        <v>0</v>
      </c>
      <c r="T1590" t="str">
        <f>IF(mental_health[Sleep_Hours]&lt;5,"Low",IF(mental_health[Sleep_Hours]&lt;7,"Medium","Good"))</f>
        <v>Low</v>
      </c>
      <c r="U1590" t="str">
        <f>IF(mental_health[Stress_Level]&lt;=3,"Low",IF(mental_health[Stress_Level]&lt;=7,"Medium","High"))</f>
        <v>Medium</v>
      </c>
      <c r="V1590" t="str">
        <f>IF(mental_health[Daily_Screen_Time]&lt;=4,"Low",IF(mental_health[Daily_Screen_Time]&lt;=8,"Medium","High"))</f>
        <v>High</v>
      </c>
    </row>
    <row r="1591" spans="1:22" x14ac:dyDescent="0.3">
      <c r="A1591">
        <v>1590</v>
      </c>
      <c r="B1591">
        <v>49</v>
      </c>
      <c r="C1591" t="s">
        <v>23</v>
      </c>
      <c r="D1591" t="s">
        <v>19</v>
      </c>
      <c r="E1591">
        <v>6.4</v>
      </c>
      <c r="F1591">
        <v>7.8</v>
      </c>
      <c r="G1591">
        <v>1</v>
      </c>
      <c r="H1591" t="str">
        <f t="shared" si="24"/>
        <v>Night Usage</v>
      </c>
      <c r="I1591">
        <v>6.5</v>
      </c>
      <c r="J1591" s="3">
        <v>3</v>
      </c>
      <c r="K1591">
        <v>7.5</v>
      </c>
      <c r="L1591" t="s">
        <v>21</v>
      </c>
      <c r="M1591">
        <v>5</v>
      </c>
      <c r="N1591">
        <v>0</v>
      </c>
      <c r="O1591">
        <v>1</v>
      </c>
      <c r="P1591">
        <v>1</v>
      </c>
      <c r="Q1591">
        <v>0</v>
      </c>
      <c r="R1591">
        <v>0</v>
      </c>
      <c r="S1591">
        <v>0</v>
      </c>
      <c r="T1591" t="str">
        <f>IF(mental_health[Sleep_Hours]&lt;5,"Low",IF(mental_health[Sleep_Hours]&lt;7,"Medium","Good"))</f>
        <v>Medium</v>
      </c>
      <c r="U1591" t="str">
        <f>IF(mental_health[Stress_Level]&lt;=3,"Low",IF(mental_health[Stress_Level]&lt;=7,"Medium","High"))</f>
        <v>Low</v>
      </c>
      <c r="V1591" t="str">
        <f>IF(mental_health[Daily_Screen_Time]&lt;=4,"Low",IF(mental_health[Daily_Screen_Time]&lt;=8,"Medium","High"))</f>
        <v>Medium</v>
      </c>
    </row>
    <row r="1592" spans="1:22" x14ac:dyDescent="0.3">
      <c r="A1592">
        <v>1591</v>
      </c>
      <c r="B1592">
        <v>43</v>
      </c>
      <c r="C1592" t="s">
        <v>23</v>
      </c>
      <c r="D1592" t="s">
        <v>19</v>
      </c>
      <c r="E1592">
        <v>5.2</v>
      </c>
      <c r="F1592">
        <v>2.2000000000000002</v>
      </c>
      <c r="G1592">
        <v>1</v>
      </c>
      <c r="H1592" t="str">
        <f t="shared" si="24"/>
        <v>Night Usage</v>
      </c>
      <c r="I1592">
        <v>6.7</v>
      </c>
      <c r="J1592" s="3">
        <v>5</v>
      </c>
      <c r="K1592">
        <v>8.9</v>
      </c>
      <c r="L1592" t="s">
        <v>20</v>
      </c>
      <c r="M1592">
        <v>2</v>
      </c>
      <c r="N1592">
        <v>4</v>
      </c>
      <c r="O1592">
        <v>0</v>
      </c>
      <c r="P1592">
        <v>0</v>
      </c>
      <c r="Q1592">
        <v>1</v>
      </c>
      <c r="R1592">
        <v>1</v>
      </c>
      <c r="S1592">
        <v>1</v>
      </c>
      <c r="T1592" t="str">
        <f>IF(mental_health[Sleep_Hours]&lt;5,"Low",IF(mental_health[Sleep_Hours]&lt;7,"Medium","Good"))</f>
        <v>Medium</v>
      </c>
      <c r="U1592" t="str">
        <f>IF(mental_health[Stress_Level]&lt;=3,"Low",IF(mental_health[Stress_Level]&lt;=7,"Medium","High"))</f>
        <v>Medium</v>
      </c>
      <c r="V1592" t="str">
        <f>IF(mental_health[Daily_Screen_Time]&lt;=4,"Low",IF(mental_health[Daily_Screen_Time]&lt;=8,"Medium","High"))</f>
        <v>Medium</v>
      </c>
    </row>
    <row r="1593" spans="1:22" x14ac:dyDescent="0.3">
      <c r="A1593">
        <v>1592</v>
      </c>
      <c r="B1593">
        <v>30</v>
      </c>
      <c r="C1593" t="s">
        <v>23</v>
      </c>
      <c r="D1593" t="s">
        <v>19</v>
      </c>
      <c r="E1593">
        <v>7.3</v>
      </c>
      <c r="F1593">
        <v>5.2</v>
      </c>
      <c r="G1593">
        <v>0</v>
      </c>
      <c r="H1593" t="str">
        <f t="shared" si="24"/>
        <v>No Night Usage</v>
      </c>
      <c r="I1593">
        <v>3.9</v>
      </c>
      <c r="J1593" s="3">
        <v>9</v>
      </c>
      <c r="K1593">
        <v>8.8000000000000007</v>
      </c>
      <c r="L1593" t="s">
        <v>21</v>
      </c>
      <c r="M1593">
        <v>9</v>
      </c>
      <c r="N1593">
        <v>4</v>
      </c>
      <c r="O1593">
        <v>1</v>
      </c>
      <c r="P1593">
        <v>1</v>
      </c>
      <c r="Q1593">
        <v>1</v>
      </c>
      <c r="R1593">
        <v>1</v>
      </c>
      <c r="S1593">
        <v>0</v>
      </c>
      <c r="T1593" t="str">
        <f>IF(mental_health[Sleep_Hours]&lt;5,"Low",IF(mental_health[Sleep_Hours]&lt;7,"Medium","Good"))</f>
        <v>Low</v>
      </c>
      <c r="U1593" t="str">
        <f>IF(mental_health[Stress_Level]&lt;=3,"Low",IF(mental_health[Stress_Level]&lt;=7,"Medium","High"))</f>
        <v>High</v>
      </c>
      <c r="V1593" t="str">
        <f>IF(mental_health[Daily_Screen_Time]&lt;=4,"Low",IF(mental_health[Daily_Screen_Time]&lt;=8,"Medium","High"))</f>
        <v>Medium</v>
      </c>
    </row>
    <row r="1594" spans="1:22" x14ac:dyDescent="0.3">
      <c r="A1594">
        <v>1593</v>
      </c>
      <c r="B1594">
        <v>45</v>
      </c>
      <c r="C1594" t="s">
        <v>23</v>
      </c>
      <c r="D1594" t="s">
        <v>19</v>
      </c>
      <c r="E1594">
        <v>8.9</v>
      </c>
      <c r="F1594">
        <v>4</v>
      </c>
      <c r="G1594">
        <v>1</v>
      </c>
      <c r="H1594" t="str">
        <f t="shared" si="24"/>
        <v>Night Usage</v>
      </c>
      <c r="I1594">
        <v>7.8</v>
      </c>
      <c r="J1594" s="3">
        <v>10</v>
      </c>
      <c r="K1594">
        <v>10.4</v>
      </c>
      <c r="L1594" t="s">
        <v>20</v>
      </c>
      <c r="M1594">
        <v>10</v>
      </c>
      <c r="N1594">
        <v>0</v>
      </c>
      <c r="O1594">
        <v>1</v>
      </c>
      <c r="P1594">
        <v>1</v>
      </c>
      <c r="Q1594">
        <v>0</v>
      </c>
      <c r="R1594">
        <v>1</v>
      </c>
      <c r="S1594">
        <v>1</v>
      </c>
      <c r="T1594" t="str">
        <f>IF(mental_health[Sleep_Hours]&lt;5,"Low",IF(mental_health[Sleep_Hours]&lt;7,"Medium","Good"))</f>
        <v>Good</v>
      </c>
      <c r="U1594" t="str">
        <f>IF(mental_health[Stress_Level]&lt;=3,"Low",IF(mental_health[Stress_Level]&lt;=7,"Medium","High"))</f>
        <v>High</v>
      </c>
      <c r="V1594" t="str">
        <f>IF(mental_health[Daily_Screen_Time]&lt;=4,"Low",IF(mental_health[Daily_Screen_Time]&lt;=8,"Medium","High"))</f>
        <v>High</v>
      </c>
    </row>
    <row r="1595" spans="1:22" x14ac:dyDescent="0.3">
      <c r="A1595">
        <v>1594</v>
      </c>
      <c r="B1595">
        <v>52</v>
      </c>
      <c r="C1595" t="s">
        <v>18</v>
      </c>
      <c r="D1595" t="s">
        <v>22</v>
      </c>
      <c r="E1595">
        <v>4.7</v>
      </c>
      <c r="F1595">
        <v>4.0999999999999996</v>
      </c>
      <c r="G1595">
        <v>1</v>
      </c>
      <c r="H1595" t="str">
        <f t="shared" si="24"/>
        <v>Night Usage</v>
      </c>
      <c r="I1595">
        <v>7.7</v>
      </c>
      <c r="J1595" s="3">
        <v>1</v>
      </c>
      <c r="K1595">
        <v>3.3</v>
      </c>
      <c r="L1595" t="s">
        <v>25</v>
      </c>
      <c r="M1595">
        <v>4</v>
      </c>
      <c r="N1595">
        <v>1</v>
      </c>
      <c r="O1595">
        <v>0</v>
      </c>
      <c r="P1595">
        <v>1</v>
      </c>
      <c r="Q1595">
        <v>1</v>
      </c>
      <c r="R1595">
        <v>0</v>
      </c>
      <c r="S1595">
        <v>0</v>
      </c>
      <c r="T1595" t="str">
        <f>IF(mental_health[Sleep_Hours]&lt;5,"Low",IF(mental_health[Sleep_Hours]&lt;7,"Medium","Good"))</f>
        <v>Good</v>
      </c>
      <c r="U1595" t="str">
        <f>IF(mental_health[Stress_Level]&lt;=3,"Low",IF(mental_health[Stress_Level]&lt;=7,"Medium","High"))</f>
        <v>Low</v>
      </c>
      <c r="V1595" t="str">
        <f>IF(mental_health[Daily_Screen_Time]&lt;=4,"Low",IF(mental_health[Daily_Screen_Time]&lt;=8,"Medium","High"))</f>
        <v>Medium</v>
      </c>
    </row>
    <row r="1596" spans="1:22" x14ac:dyDescent="0.3">
      <c r="A1596">
        <v>1595</v>
      </c>
      <c r="B1596">
        <v>44</v>
      </c>
      <c r="C1596" t="s">
        <v>18</v>
      </c>
      <c r="D1596" t="s">
        <v>22</v>
      </c>
      <c r="E1596">
        <v>9.4</v>
      </c>
      <c r="F1596">
        <v>2.8</v>
      </c>
      <c r="G1596">
        <v>1</v>
      </c>
      <c r="H1596" t="str">
        <f t="shared" si="24"/>
        <v>Night Usage</v>
      </c>
      <c r="I1596">
        <v>4.4000000000000004</v>
      </c>
      <c r="J1596" s="3">
        <v>4</v>
      </c>
      <c r="K1596">
        <v>8.6</v>
      </c>
      <c r="L1596" t="s">
        <v>21</v>
      </c>
      <c r="M1596">
        <v>9</v>
      </c>
      <c r="N1596">
        <v>4</v>
      </c>
      <c r="O1596">
        <v>1</v>
      </c>
      <c r="P1596">
        <v>1</v>
      </c>
      <c r="Q1596">
        <v>1</v>
      </c>
      <c r="R1596">
        <v>1</v>
      </c>
      <c r="S1596">
        <v>1</v>
      </c>
      <c r="T1596" t="str">
        <f>IF(mental_health[Sleep_Hours]&lt;5,"Low",IF(mental_health[Sleep_Hours]&lt;7,"Medium","Good"))</f>
        <v>Low</v>
      </c>
      <c r="U1596" t="str">
        <f>IF(mental_health[Stress_Level]&lt;=3,"Low",IF(mental_health[Stress_Level]&lt;=7,"Medium","High"))</f>
        <v>Medium</v>
      </c>
      <c r="V1596" t="str">
        <f>IF(mental_health[Daily_Screen_Time]&lt;=4,"Low",IF(mental_health[Daily_Screen_Time]&lt;=8,"Medium","High"))</f>
        <v>High</v>
      </c>
    </row>
    <row r="1597" spans="1:22" x14ac:dyDescent="0.3">
      <c r="A1597">
        <v>1596</v>
      </c>
      <c r="B1597">
        <v>37</v>
      </c>
      <c r="C1597" t="s">
        <v>18</v>
      </c>
      <c r="D1597" t="s">
        <v>24</v>
      </c>
      <c r="E1597">
        <v>2.5</v>
      </c>
      <c r="F1597">
        <v>6.8</v>
      </c>
      <c r="G1597">
        <v>1</v>
      </c>
      <c r="H1597" t="str">
        <f t="shared" si="24"/>
        <v>Night Usage</v>
      </c>
      <c r="I1597">
        <v>4.7</v>
      </c>
      <c r="J1597" s="3">
        <v>10</v>
      </c>
      <c r="K1597">
        <v>7.8</v>
      </c>
      <c r="L1597" t="s">
        <v>21</v>
      </c>
      <c r="M1597">
        <v>3</v>
      </c>
      <c r="N1597">
        <v>2</v>
      </c>
      <c r="O1597">
        <v>1</v>
      </c>
      <c r="P1597">
        <v>0</v>
      </c>
      <c r="Q1597">
        <v>0</v>
      </c>
      <c r="R1597">
        <v>1</v>
      </c>
      <c r="S1597">
        <v>1</v>
      </c>
      <c r="T1597" t="str">
        <f>IF(mental_health[Sleep_Hours]&lt;5,"Low",IF(mental_health[Sleep_Hours]&lt;7,"Medium","Good"))</f>
        <v>Low</v>
      </c>
      <c r="U1597" t="str">
        <f>IF(mental_health[Stress_Level]&lt;=3,"Low",IF(mental_health[Stress_Level]&lt;=7,"Medium","High"))</f>
        <v>High</v>
      </c>
      <c r="V1597" t="str">
        <f>IF(mental_health[Daily_Screen_Time]&lt;=4,"Low",IF(mental_health[Daily_Screen_Time]&lt;=8,"Medium","High"))</f>
        <v>Low</v>
      </c>
    </row>
    <row r="1598" spans="1:22" x14ac:dyDescent="0.3">
      <c r="A1598">
        <v>1597</v>
      </c>
      <c r="B1598">
        <v>19</v>
      </c>
      <c r="C1598" t="s">
        <v>18</v>
      </c>
      <c r="D1598" t="s">
        <v>22</v>
      </c>
      <c r="E1598">
        <v>2.5</v>
      </c>
      <c r="F1598">
        <v>4.4000000000000004</v>
      </c>
      <c r="G1598">
        <v>1</v>
      </c>
      <c r="H1598" t="str">
        <f t="shared" si="24"/>
        <v>Night Usage</v>
      </c>
      <c r="I1598">
        <v>8.6</v>
      </c>
      <c r="J1598" s="3">
        <v>5</v>
      </c>
      <c r="K1598">
        <v>2.2999999999999998</v>
      </c>
      <c r="L1598" t="s">
        <v>25</v>
      </c>
      <c r="M1598">
        <v>9</v>
      </c>
      <c r="N1598">
        <v>1</v>
      </c>
      <c r="O1598">
        <v>0</v>
      </c>
      <c r="P1598">
        <v>0</v>
      </c>
      <c r="Q1598">
        <v>0</v>
      </c>
      <c r="R1598">
        <v>0</v>
      </c>
      <c r="S1598">
        <v>1</v>
      </c>
      <c r="T1598" t="str">
        <f>IF(mental_health[Sleep_Hours]&lt;5,"Low",IF(mental_health[Sleep_Hours]&lt;7,"Medium","Good"))</f>
        <v>Good</v>
      </c>
      <c r="U1598" t="str">
        <f>IF(mental_health[Stress_Level]&lt;=3,"Low",IF(mental_health[Stress_Level]&lt;=7,"Medium","High"))</f>
        <v>Medium</v>
      </c>
      <c r="V1598" t="str">
        <f>IF(mental_health[Daily_Screen_Time]&lt;=4,"Low",IF(mental_health[Daily_Screen_Time]&lt;=8,"Medium","High"))</f>
        <v>Low</v>
      </c>
    </row>
    <row r="1599" spans="1:22" x14ac:dyDescent="0.3">
      <c r="A1599">
        <v>1598</v>
      </c>
      <c r="B1599">
        <v>35</v>
      </c>
      <c r="C1599" t="s">
        <v>23</v>
      </c>
      <c r="D1599" t="s">
        <v>22</v>
      </c>
      <c r="E1599">
        <v>5.9</v>
      </c>
      <c r="F1599">
        <v>4.8</v>
      </c>
      <c r="G1599">
        <v>1</v>
      </c>
      <c r="H1599" t="str">
        <f t="shared" si="24"/>
        <v>Night Usage</v>
      </c>
      <c r="I1599">
        <v>8</v>
      </c>
      <c r="J1599" s="3">
        <v>2</v>
      </c>
      <c r="K1599">
        <v>4</v>
      </c>
      <c r="L1599" t="s">
        <v>20</v>
      </c>
      <c r="M1599">
        <v>1</v>
      </c>
      <c r="N1599">
        <v>0</v>
      </c>
      <c r="O1599">
        <v>1</v>
      </c>
      <c r="P1599">
        <v>1</v>
      </c>
      <c r="Q1599">
        <v>1</v>
      </c>
      <c r="R1599">
        <v>0</v>
      </c>
      <c r="S1599">
        <v>0</v>
      </c>
      <c r="T1599" t="str">
        <f>IF(mental_health[Sleep_Hours]&lt;5,"Low",IF(mental_health[Sleep_Hours]&lt;7,"Medium","Good"))</f>
        <v>Good</v>
      </c>
      <c r="U1599" t="str">
        <f>IF(mental_health[Stress_Level]&lt;=3,"Low",IF(mental_health[Stress_Level]&lt;=7,"Medium","High"))</f>
        <v>Low</v>
      </c>
      <c r="V1599" t="str">
        <f>IF(mental_health[Daily_Screen_Time]&lt;=4,"Low",IF(mental_health[Daily_Screen_Time]&lt;=8,"Medium","High"))</f>
        <v>Medium</v>
      </c>
    </row>
    <row r="1600" spans="1:22" x14ac:dyDescent="0.3">
      <c r="A1600">
        <v>1599</v>
      </c>
      <c r="B1600">
        <v>47</v>
      </c>
      <c r="C1600" t="s">
        <v>18</v>
      </c>
      <c r="D1600" t="s">
        <v>24</v>
      </c>
      <c r="E1600">
        <v>5.5</v>
      </c>
      <c r="F1600">
        <v>3.1</v>
      </c>
      <c r="G1600">
        <v>0</v>
      </c>
      <c r="H1600" t="str">
        <f t="shared" si="24"/>
        <v>No Night Usage</v>
      </c>
      <c r="I1600">
        <v>7.2</v>
      </c>
      <c r="J1600" s="3">
        <v>2</v>
      </c>
      <c r="K1600">
        <v>4.7</v>
      </c>
      <c r="L1600" t="s">
        <v>20</v>
      </c>
      <c r="M1600">
        <v>7</v>
      </c>
      <c r="N1600">
        <v>3</v>
      </c>
      <c r="O1600">
        <v>1</v>
      </c>
      <c r="P1600">
        <v>0</v>
      </c>
      <c r="Q1600">
        <v>0</v>
      </c>
      <c r="R1600">
        <v>0</v>
      </c>
      <c r="S1600">
        <v>0</v>
      </c>
      <c r="T1600" t="str">
        <f>IF(mental_health[Sleep_Hours]&lt;5,"Low",IF(mental_health[Sleep_Hours]&lt;7,"Medium","Good"))</f>
        <v>Good</v>
      </c>
      <c r="U1600" t="str">
        <f>IF(mental_health[Stress_Level]&lt;=3,"Low",IF(mental_health[Stress_Level]&lt;=7,"Medium","High"))</f>
        <v>Low</v>
      </c>
      <c r="V1600" t="str">
        <f>IF(mental_health[Daily_Screen_Time]&lt;=4,"Low",IF(mental_health[Daily_Screen_Time]&lt;=8,"Medium","High"))</f>
        <v>Medium</v>
      </c>
    </row>
    <row r="1601" spans="1:22" x14ac:dyDescent="0.3">
      <c r="A1601">
        <v>1600</v>
      </c>
      <c r="B1601">
        <v>51</v>
      </c>
      <c r="C1601" t="s">
        <v>23</v>
      </c>
      <c r="D1601" t="s">
        <v>24</v>
      </c>
      <c r="E1601">
        <v>5.2</v>
      </c>
      <c r="F1601">
        <v>2.2999999999999998</v>
      </c>
      <c r="G1601">
        <v>0</v>
      </c>
      <c r="H1601" t="str">
        <f t="shared" si="24"/>
        <v>No Night Usage</v>
      </c>
      <c r="I1601">
        <v>3.5</v>
      </c>
      <c r="J1601" s="3">
        <v>1</v>
      </c>
      <c r="K1601">
        <v>2.7</v>
      </c>
      <c r="L1601" t="s">
        <v>21</v>
      </c>
      <c r="M1601">
        <v>4</v>
      </c>
      <c r="N1601">
        <v>4</v>
      </c>
      <c r="O1601">
        <v>0</v>
      </c>
      <c r="P1601">
        <v>0</v>
      </c>
      <c r="Q1601">
        <v>1</v>
      </c>
      <c r="R1601">
        <v>0</v>
      </c>
      <c r="S1601">
        <v>0</v>
      </c>
      <c r="T1601" t="str">
        <f>IF(mental_health[Sleep_Hours]&lt;5,"Low",IF(mental_health[Sleep_Hours]&lt;7,"Medium","Good"))</f>
        <v>Low</v>
      </c>
      <c r="U1601" t="str">
        <f>IF(mental_health[Stress_Level]&lt;=3,"Low",IF(mental_health[Stress_Level]&lt;=7,"Medium","High"))</f>
        <v>Low</v>
      </c>
      <c r="V1601" t="str">
        <f>IF(mental_health[Daily_Screen_Time]&lt;=4,"Low",IF(mental_health[Daily_Screen_Time]&lt;=8,"Medium","High"))</f>
        <v>Medium</v>
      </c>
    </row>
    <row r="1602" spans="1:22" x14ac:dyDescent="0.3">
      <c r="A1602">
        <v>1601</v>
      </c>
      <c r="B1602">
        <v>19</v>
      </c>
      <c r="C1602" t="s">
        <v>23</v>
      </c>
      <c r="D1602" t="s">
        <v>24</v>
      </c>
      <c r="E1602">
        <v>6.9</v>
      </c>
      <c r="F1602">
        <v>1.6</v>
      </c>
      <c r="G1602">
        <v>0</v>
      </c>
      <c r="H1602" t="str">
        <f t="shared" ref="H1602:H1665" si="25">IF(G1602=1,"Night Usage","No Night Usage")</f>
        <v>No Night Usage</v>
      </c>
      <c r="I1602">
        <v>5.5</v>
      </c>
      <c r="J1602" s="3">
        <v>8</v>
      </c>
      <c r="K1602">
        <v>5.5</v>
      </c>
      <c r="L1602" t="s">
        <v>20</v>
      </c>
      <c r="M1602">
        <v>7</v>
      </c>
      <c r="N1602">
        <v>3</v>
      </c>
      <c r="O1602">
        <v>0</v>
      </c>
      <c r="P1602">
        <v>0</v>
      </c>
      <c r="Q1602">
        <v>0</v>
      </c>
      <c r="R1602">
        <v>1</v>
      </c>
      <c r="S1602">
        <v>0</v>
      </c>
      <c r="T1602" t="str">
        <f>IF(mental_health[Sleep_Hours]&lt;5,"Low",IF(mental_health[Sleep_Hours]&lt;7,"Medium","Good"))</f>
        <v>Medium</v>
      </c>
      <c r="U1602" t="str">
        <f>IF(mental_health[Stress_Level]&lt;=3,"Low",IF(mental_health[Stress_Level]&lt;=7,"Medium","High"))</f>
        <v>High</v>
      </c>
      <c r="V1602" t="str">
        <f>IF(mental_health[Daily_Screen_Time]&lt;=4,"Low",IF(mental_health[Daily_Screen_Time]&lt;=8,"Medium","High"))</f>
        <v>Medium</v>
      </c>
    </row>
    <row r="1603" spans="1:22" x14ac:dyDescent="0.3">
      <c r="A1603">
        <v>1602</v>
      </c>
      <c r="B1603">
        <v>42</v>
      </c>
      <c r="C1603" t="s">
        <v>23</v>
      </c>
      <c r="D1603" t="s">
        <v>22</v>
      </c>
      <c r="E1603">
        <v>5.2</v>
      </c>
      <c r="F1603">
        <v>6</v>
      </c>
      <c r="G1603">
        <v>1</v>
      </c>
      <c r="H1603" t="str">
        <f t="shared" si="25"/>
        <v>Night Usage</v>
      </c>
      <c r="I1603">
        <v>6.4</v>
      </c>
      <c r="J1603" s="3">
        <v>2</v>
      </c>
      <c r="K1603">
        <v>2.2999999999999998</v>
      </c>
      <c r="L1603" t="s">
        <v>20</v>
      </c>
      <c r="M1603">
        <v>10</v>
      </c>
      <c r="N1603">
        <v>2</v>
      </c>
      <c r="O1603">
        <v>1</v>
      </c>
      <c r="P1603">
        <v>0</v>
      </c>
      <c r="Q1603">
        <v>0</v>
      </c>
      <c r="R1603">
        <v>0</v>
      </c>
      <c r="S1603">
        <v>0</v>
      </c>
      <c r="T1603" t="str">
        <f>IF(mental_health[Sleep_Hours]&lt;5,"Low",IF(mental_health[Sleep_Hours]&lt;7,"Medium","Good"))</f>
        <v>Medium</v>
      </c>
      <c r="U1603" t="str">
        <f>IF(mental_health[Stress_Level]&lt;=3,"Low",IF(mental_health[Stress_Level]&lt;=7,"Medium","High"))</f>
        <v>Low</v>
      </c>
      <c r="V1603" t="str">
        <f>IF(mental_health[Daily_Screen_Time]&lt;=4,"Low",IF(mental_health[Daily_Screen_Time]&lt;=8,"Medium","High"))</f>
        <v>Medium</v>
      </c>
    </row>
    <row r="1604" spans="1:22" x14ac:dyDescent="0.3">
      <c r="A1604">
        <v>1603</v>
      </c>
      <c r="B1604">
        <v>32</v>
      </c>
      <c r="C1604" t="s">
        <v>18</v>
      </c>
      <c r="D1604" t="s">
        <v>22</v>
      </c>
      <c r="E1604">
        <v>3.9</v>
      </c>
      <c r="F1604">
        <v>2.4</v>
      </c>
      <c r="G1604">
        <v>0</v>
      </c>
      <c r="H1604" t="str">
        <f t="shared" si="25"/>
        <v>No Night Usage</v>
      </c>
      <c r="I1604">
        <v>4.0999999999999996</v>
      </c>
      <c r="J1604" s="3">
        <v>3</v>
      </c>
      <c r="K1604">
        <v>7.5</v>
      </c>
      <c r="L1604" t="s">
        <v>25</v>
      </c>
      <c r="M1604">
        <v>6</v>
      </c>
      <c r="N1604">
        <v>1</v>
      </c>
      <c r="O1604">
        <v>1</v>
      </c>
      <c r="P1604">
        <v>1</v>
      </c>
      <c r="Q1604">
        <v>1</v>
      </c>
      <c r="R1604">
        <v>0</v>
      </c>
      <c r="S1604">
        <v>0</v>
      </c>
      <c r="T1604" t="str">
        <f>IF(mental_health[Sleep_Hours]&lt;5,"Low",IF(mental_health[Sleep_Hours]&lt;7,"Medium","Good"))</f>
        <v>Low</v>
      </c>
      <c r="U1604" t="str">
        <f>IF(mental_health[Stress_Level]&lt;=3,"Low",IF(mental_health[Stress_Level]&lt;=7,"Medium","High"))</f>
        <v>Low</v>
      </c>
      <c r="V1604" t="str">
        <f>IF(mental_health[Daily_Screen_Time]&lt;=4,"Low",IF(mental_health[Daily_Screen_Time]&lt;=8,"Medium","High"))</f>
        <v>Low</v>
      </c>
    </row>
    <row r="1605" spans="1:22" x14ac:dyDescent="0.3">
      <c r="A1605">
        <v>1604</v>
      </c>
      <c r="B1605">
        <v>27</v>
      </c>
      <c r="C1605" t="s">
        <v>23</v>
      </c>
      <c r="D1605" t="s">
        <v>24</v>
      </c>
      <c r="E1605">
        <v>5.0999999999999996</v>
      </c>
      <c r="F1605">
        <v>5.8</v>
      </c>
      <c r="G1605">
        <v>0</v>
      </c>
      <c r="H1605" t="str">
        <f t="shared" si="25"/>
        <v>No Night Usage</v>
      </c>
      <c r="I1605">
        <v>5.7</v>
      </c>
      <c r="J1605" s="3">
        <v>2</v>
      </c>
      <c r="K1605">
        <v>4.0999999999999996</v>
      </c>
      <c r="L1605" t="s">
        <v>25</v>
      </c>
      <c r="M1605">
        <v>4</v>
      </c>
      <c r="N1605">
        <v>3</v>
      </c>
      <c r="O1605">
        <v>1</v>
      </c>
      <c r="P1605">
        <v>0</v>
      </c>
      <c r="Q1605">
        <v>1</v>
      </c>
      <c r="R1605">
        <v>0</v>
      </c>
      <c r="S1605">
        <v>0</v>
      </c>
      <c r="T1605" t="str">
        <f>IF(mental_health[Sleep_Hours]&lt;5,"Low",IF(mental_health[Sleep_Hours]&lt;7,"Medium","Good"))</f>
        <v>Medium</v>
      </c>
      <c r="U1605" t="str">
        <f>IF(mental_health[Stress_Level]&lt;=3,"Low",IF(mental_health[Stress_Level]&lt;=7,"Medium","High"))</f>
        <v>Low</v>
      </c>
      <c r="V1605" t="str">
        <f>IF(mental_health[Daily_Screen_Time]&lt;=4,"Low",IF(mental_health[Daily_Screen_Time]&lt;=8,"Medium","High"))</f>
        <v>Medium</v>
      </c>
    </row>
    <row r="1606" spans="1:22" x14ac:dyDescent="0.3">
      <c r="A1606">
        <v>1605</v>
      </c>
      <c r="B1606">
        <v>37</v>
      </c>
      <c r="C1606" t="s">
        <v>18</v>
      </c>
      <c r="D1606" t="s">
        <v>24</v>
      </c>
      <c r="E1606">
        <v>11.7</v>
      </c>
      <c r="F1606">
        <v>3.7</v>
      </c>
      <c r="G1606">
        <v>0</v>
      </c>
      <c r="H1606" t="str">
        <f t="shared" si="25"/>
        <v>No Night Usage</v>
      </c>
      <c r="I1606">
        <v>6.6</v>
      </c>
      <c r="J1606" s="3">
        <v>4</v>
      </c>
      <c r="K1606">
        <v>4.9000000000000004</v>
      </c>
      <c r="L1606" t="s">
        <v>25</v>
      </c>
      <c r="M1606">
        <v>4</v>
      </c>
      <c r="N1606">
        <v>2</v>
      </c>
      <c r="O1606">
        <v>0</v>
      </c>
      <c r="P1606">
        <v>0</v>
      </c>
      <c r="Q1606">
        <v>1</v>
      </c>
      <c r="R1606">
        <v>0</v>
      </c>
      <c r="S1606">
        <v>0</v>
      </c>
      <c r="T1606" t="str">
        <f>IF(mental_health[Sleep_Hours]&lt;5,"Low",IF(mental_health[Sleep_Hours]&lt;7,"Medium","Good"))</f>
        <v>Medium</v>
      </c>
      <c r="U1606" t="str">
        <f>IF(mental_health[Stress_Level]&lt;=3,"Low",IF(mental_health[Stress_Level]&lt;=7,"Medium","High"))</f>
        <v>Medium</v>
      </c>
      <c r="V1606" t="str">
        <f>IF(mental_health[Daily_Screen_Time]&lt;=4,"Low",IF(mental_health[Daily_Screen_Time]&lt;=8,"Medium","High"))</f>
        <v>High</v>
      </c>
    </row>
    <row r="1607" spans="1:22" x14ac:dyDescent="0.3">
      <c r="A1607">
        <v>1606</v>
      </c>
      <c r="B1607">
        <v>32</v>
      </c>
      <c r="C1607" t="s">
        <v>18</v>
      </c>
      <c r="D1607" t="s">
        <v>24</v>
      </c>
      <c r="E1607">
        <v>6.1</v>
      </c>
      <c r="F1607">
        <v>3.9</v>
      </c>
      <c r="G1607">
        <v>1</v>
      </c>
      <c r="H1607" t="str">
        <f t="shared" si="25"/>
        <v>Night Usage</v>
      </c>
      <c r="I1607">
        <v>5</v>
      </c>
      <c r="J1607" s="3">
        <v>1</v>
      </c>
      <c r="K1607">
        <v>11.1</v>
      </c>
      <c r="L1607" t="s">
        <v>21</v>
      </c>
      <c r="M1607">
        <v>8</v>
      </c>
      <c r="N1607">
        <v>3</v>
      </c>
      <c r="O1607">
        <v>1</v>
      </c>
      <c r="P1607">
        <v>1</v>
      </c>
      <c r="Q1607">
        <v>1</v>
      </c>
      <c r="R1607">
        <v>1</v>
      </c>
      <c r="S1607">
        <v>1</v>
      </c>
      <c r="T1607" t="str">
        <f>IF(mental_health[Sleep_Hours]&lt;5,"Low",IF(mental_health[Sleep_Hours]&lt;7,"Medium","Good"))</f>
        <v>Medium</v>
      </c>
      <c r="U1607" t="str">
        <f>IF(mental_health[Stress_Level]&lt;=3,"Low",IF(mental_health[Stress_Level]&lt;=7,"Medium","High"))</f>
        <v>Low</v>
      </c>
      <c r="V1607" t="str">
        <f>IF(mental_health[Daily_Screen_Time]&lt;=4,"Low",IF(mental_health[Daily_Screen_Time]&lt;=8,"Medium","High"))</f>
        <v>Medium</v>
      </c>
    </row>
    <row r="1608" spans="1:22" x14ac:dyDescent="0.3">
      <c r="A1608">
        <v>1607</v>
      </c>
      <c r="B1608">
        <v>25</v>
      </c>
      <c r="C1608" t="s">
        <v>23</v>
      </c>
      <c r="D1608" t="s">
        <v>22</v>
      </c>
      <c r="E1608">
        <v>6.4</v>
      </c>
      <c r="F1608">
        <v>4.3</v>
      </c>
      <c r="G1608">
        <v>0</v>
      </c>
      <c r="H1608" t="str">
        <f t="shared" si="25"/>
        <v>No Night Usage</v>
      </c>
      <c r="I1608">
        <v>7.7</v>
      </c>
      <c r="J1608" s="3">
        <v>3</v>
      </c>
      <c r="K1608">
        <v>7</v>
      </c>
      <c r="L1608" t="s">
        <v>25</v>
      </c>
      <c r="M1608">
        <v>7</v>
      </c>
      <c r="N1608">
        <v>3</v>
      </c>
      <c r="O1608">
        <v>1</v>
      </c>
      <c r="P1608">
        <v>0</v>
      </c>
      <c r="Q1608">
        <v>0</v>
      </c>
      <c r="R1608">
        <v>0</v>
      </c>
      <c r="S1608">
        <v>0</v>
      </c>
      <c r="T1608" t="str">
        <f>IF(mental_health[Sleep_Hours]&lt;5,"Low",IF(mental_health[Sleep_Hours]&lt;7,"Medium","Good"))</f>
        <v>Good</v>
      </c>
      <c r="U1608" t="str">
        <f>IF(mental_health[Stress_Level]&lt;=3,"Low",IF(mental_health[Stress_Level]&lt;=7,"Medium","High"))</f>
        <v>Low</v>
      </c>
      <c r="V1608" t="str">
        <f>IF(mental_health[Daily_Screen_Time]&lt;=4,"Low",IF(mental_health[Daily_Screen_Time]&lt;=8,"Medium","High"))</f>
        <v>Medium</v>
      </c>
    </row>
    <row r="1609" spans="1:22" x14ac:dyDescent="0.3">
      <c r="A1609">
        <v>1608</v>
      </c>
      <c r="B1609">
        <v>16</v>
      </c>
      <c r="C1609" t="s">
        <v>23</v>
      </c>
      <c r="D1609" t="s">
        <v>22</v>
      </c>
      <c r="E1609">
        <v>7.8</v>
      </c>
      <c r="F1609">
        <v>3.6</v>
      </c>
      <c r="G1609">
        <v>1</v>
      </c>
      <c r="H1609" t="str">
        <f t="shared" si="25"/>
        <v>Night Usage</v>
      </c>
      <c r="I1609">
        <v>8</v>
      </c>
      <c r="J1609" s="3">
        <v>5</v>
      </c>
      <c r="K1609">
        <v>4.7</v>
      </c>
      <c r="L1609" t="s">
        <v>25</v>
      </c>
      <c r="M1609">
        <v>4</v>
      </c>
      <c r="N1609">
        <v>2</v>
      </c>
      <c r="O1609">
        <v>0</v>
      </c>
      <c r="P1609">
        <v>0</v>
      </c>
      <c r="Q1609">
        <v>1</v>
      </c>
      <c r="R1609">
        <v>0</v>
      </c>
      <c r="S1609">
        <v>1</v>
      </c>
      <c r="T1609" t="str">
        <f>IF(mental_health[Sleep_Hours]&lt;5,"Low",IF(mental_health[Sleep_Hours]&lt;7,"Medium","Good"))</f>
        <v>Good</v>
      </c>
      <c r="U1609" t="str">
        <f>IF(mental_health[Stress_Level]&lt;=3,"Low",IF(mental_health[Stress_Level]&lt;=7,"Medium","High"))</f>
        <v>Medium</v>
      </c>
      <c r="V1609" t="str">
        <f>IF(mental_health[Daily_Screen_Time]&lt;=4,"Low",IF(mental_health[Daily_Screen_Time]&lt;=8,"Medium","High"))</f>
        <v>Medium</v>
      </c>
    </row>
    <row r="1610" spans="1:22" x14ac:dyDescent="0.3">
      <c r="A1610">
        <v>1609</v>
      </c>
      <c r="B1610">
        <v>37</v>
      </c>
      <c r="C1610" t="s">
        <v>23</v>
      </c>
      <c r="D1610" t="s">
        <v>19</v>
      </c>
      <c r="E1610">
        <v>11.8</v>
      </c>
      <c r="F1610">
        <v>1.7</v>
      </c>
      <c r="G1610">
        <v>0</v>
      </c>
      <c r="H1610" t="str">
        <f t="shared" si="25"/>
        <v>No Night Usage</v>
      </c>
      <c r="I1610">
        <v>4.9000000000000004</v>
      </c>
      <c r="J1610" s="3">
        <v>10</v>
      </c>
      <c r="K1610">
        <v>8</v>
      </c>
      <c r="L1610" t="s">
        <v>20</v>
      </c>
      <c r="M1610">
        <v>6</v>
      </c>
      <c r="N1610">
        <v>4</v>
      </c>
      <c r="O1610">
        <v>1</v>
      </c>
      <c r="P1610">
        <v>0</v>
      </c>
      <c r="Q1610">
        <v>1</v>
      </c>
      <c r="R1610">
        <v>1</v>
      </c>
      <c r="S1610">
        <v>1</v>
      </c>
      <c r="T1610" t="str">
        <f>IF(mental_health[Sleep_Hours]&lt;5,"Low",IF(mental_health[Sleep_Hours]&lt;7,"Medium","Good"))</f>
        <v>Low</v>
      </c>
      <c r="U1610" t="str">
        <f>IF(mental_health[Stress_Level]&lt;=3,"Low",IF(mental_health[Stress_Level]&lt;=7,"Medium","High"))</f>
        <v>High</v>
      </c>
      <c r="V1610" t="str">
        <f>IF(mental_health[Daily_Screen_Time]&lt;=4,"Low",IF(mental_health[Daily_Screen_Time]&lt;=8,"Medium","High"))</f>
        <v>High</v>
      </c>
    </row>
    <row r="1611" spans="1:22" x14ac:dyDescent="0.3">
      <c r="A1611">
        <v>1610</v>
      </c>
      <c r="B1611">
        <v>41</v>
      </c>
      <c r="C1611" t="s">
        <v>18</v>
      </c>
      <c r="D1611" t="s">
        <v>22</v>
      </c>
      <c r="E1611">
        <v>4.4000000000000004</v>
      </c>
      <c r="F1611">
        <v>3.2</v>
      </c>
      <c r="G1611">
        <v>0</v>
      </c>
      <c r="H1611" t="str">
        <f t="shared" si="25"/>
        <v>No Night Usage</v>
      </c>
      <c r="I1611">
        <v>8</v>
      </c>
      <c r="J1611" s="3">
        <v>1</v>
      </c>
      <c r="K1611">
        <v>4</v>
      </c>
      <c r="L1611" t="s">
        <v>25</v>
      </c>
      <c r="M1611">
        <v>6</v>
      </c>
      <c r="N1611">
        <v>3</v>
      </c>
      <c r="O1611">
        <v>1</v>
      </c>
      <c r="P1611">
        <v>1</v>
      </c>
      <c r="Q1611">
        <v>0</v>
      </c>
      <c r="R1611">
        <v>0</v>
      </c>
      <c r="S1611">
        <v>0</v>
      </c>
      <c r="T1611" t="str">
        <f>IF(mental_health[Sleep_Hours]&lt;5,"Low",IF(mental_health[Sleep_Hours]&lt;7,"Medium","Good"))</f>
        <v>Good</v>
      </c>
      <c r="U1611" t="str">
        <f>IF(mental_health[Stress_Level]&lt;=3,"Low",IF(mental_health[Stress_Level]&lt;=7,"Medium","High"))</f>
        <v>Low</v>
      </c>
      <c r="V1611" t="str">
        <f>IF(mental_health[Daily_Screen_Time]&lt;=4,"Low",IF(mental_health[Daily_Screen_Time]&lt;=8,"Medium","High"))</f>
        <v>Medium</v>
      </c>
    </row>
    <row r="1612" spans="1:22" x14ac:dyDescent="0.3">
      <c r="A1612">
        <v>1611</v>
      </c>
      <c r="B1612">
        <v>33</v>
      </c>
      <c r="C1612" t="s">
        <v>23</v>
      </c>
      <c r="D1612" t="s">
        <v>22</v>
      </c>
      <c r="E1612">
        <v>8.8000000000000007</v>
      </c>
      <c r="F1612">
        <v>5.6</v>
      </c>
      <c r="G1612">
        <v>0</v>
      </c>
      <c r="H1612" t="str">
        <f t="shared" si="25"/>
        <v>No Night Usage</v>
      </c>
      <c r="I1612">
        <v>3.6</v>
      </c>
      <c r="J1612" s="3">
        <v>4</v>
      </c>
      <c r="K1612">
        <v>2.7</v>
      </c>
      <c r="L1612" t="s">
        <v>21</v>
      </c>
      <c r="M1612">
        <v>1</v>
      </c>
      <c r="N1612">
        <v>2</v>
      </c>
      <c r="O1612">
        <v>1</v>
      </c>
      <c r="P1612">
        <v>0</v>
      </c>
      <c r="Q1612">
        <v>1</v>
      </c>
      <c r="R1612">
        <v>0</v>
      </c>
      <c r="S1612">
        <v>1</v>
      </c>
      <c r="T1612" t="str">
        <f>IF(mental_health[Sleep_Hours]&lt;5,"Low",IF(mental_health[Sleep_Hours]&lt;7,"Medium","Good"))</f>
        <v>Low</v>
      </c>
      <c r="U1612" t="str">
        <f>IF(mental_health[Stress_Level]&lt;=3,"Low",IF(mental_health[Stress_Level]&lt;=7,"Medium","High"))</f>
        <v>Medium</v>
      </c>
      <c r="V1612" t="str">
        <f>IF(mental_health[Daily_Screen_Time]&lt;=4,"Low",IF(mental_health[Daily_Screen_Time]&lt;=8,"Medium","High"))</f>
        <v>High</v>
      </c>
    </row>
    <row r="1613" spans="1:22" x14ac:dyDescent="0.3">
      <c r="A1613">
        <v>1612</v>
      </c>
      <c r="B1613">
        <v>29</v>
      </c>
      <c r="C1613" t="s">
        <v>18</v>
      </c>
      <c r="D1613" t="s">
        <v>22</v>
      </c>
      <c r="E1613">
        <v>9.1999999999999993</v>
      </c>
      <c r="F1613">
        <v>5.7</v>
      </c>
      <c r="G1613">
        <v>1</v>
      </c>
      <c r="H1613" t="str">
        <f t="shared" si="25"/>
        <v>Night Usage</v>
      </c>
      <c r="I1613">
        <v>8</v>
      </c>
      <c r="J1613" s="3">
        <v>6</v>
      </c>
      <c r="K1613">
        <v>2.2000000000000002</v>
      </c>
      <c r="L1613" t="s">
        <v>25</v>
      </c>
      <c r="M1613">
        <v>2</v>
      </c>
      <c r="N1613">
        <v>3</v>
      </c>
      <c r="O1613">
        <v>0</v>
      </c>
      <c r="P1613">
        <v>0</v>
      </c>
      <c r="Q1613">
        <v>0</v>
      </c>
      <c r="R1613">
        <v>1</v>
      </c>
      <c r="S1613">
        <v>1</v>
      </c>
      <c r="T1613" t="str">
        <f>IF(mental_health[Sleep_Hours]&lt;5,"Low",IF(mental_health[Sleep_Hours]&lt;7,"Medium","Good"))</f>
        <v>Good</v>
      </c>
      <c r="U1613" t="str">
        <f>IF(mental_health[Stress_Level]&lt;=3,"Low",IF(mental_health[Stress_Level]&lt;=7,"Medium","High"))</f>
        <v>Medium</v>
      </c>
      <c r="V1613" t="str">
        <f>IF(mental_health[Daily_Screen_Time]&lt;=4,"Low",IF(mental_health[Daily_Screen_Time]&lt;=8,"Medium","High"))</f>
        <v>High</v>
      </c>
    </row>
    <row r="1614" spans="1:22" x14ac:dyDescent="0.3">
      <c r="A1614">
        <v>1613</v>
      </c>
      <c r="B1614">
        <v>44</v>
      </c>
      <c r="C1614" t="s">
        <v>23</v>
      </c>
      <c r="D1614" t="s">
        <v>24</v>
      </c>
      <c r="E1614">
        <v>8.1</v>
      </c>
      <c r="F1614">
        <v>3</v>
      </c>
      <c r="G1614">
        <v>1</v>
      </c>
      <c r="H1614" t="str">
        <f t="shared" si="25"/>
        <v>Night Usage</v>
      </c>
      <c r="I1614">
        <v>3.9</v>
      </c>
      <c r="J1614" s="3">
        <v>4</v>
      </c>
      <c r="K1614">
        <v>11.5</v>
      </c>
      <c r="L1614" t="s">
        <v>21</v>
      </c>
      <c r="M1614">
        <v>4</v>
      </c>
      <c r="N1614">
        <v>4</v>
      </c>
      <c r="O1614">
        <v>0</v>
      </c>
      <c r="P1614">
        <v>1</v>
      </c>
      <c r="Q1614">
        <v>1</v>
      </c>
      <c r="R1614">
        <v>0</v>
      </c>
      <c r="S1614">
        <v>1</v>
      </c>
      <c r="T1614" t="str">
        <f>IF(mental_health[Sleep_Hours]&lt;5,"Low",IF(mental_health[Sleep_Hours]&lt;7,"Medium","Good"))</f>
        <v>Low</v>
      </c>
      <c r="U1614" t="str">
        <f>IF(mental_health[Stress_Level]&lt;=3,"Low",IF(mental_health[Stress_Level]&lt;=7,"Medium","High"))</f>
        <v>Medium</v>
      </c>
      <c r="V1614" t="str">
        <f>IF(mental_health[Daily_Screen_Time]&lt;=4,"Low",IF(mental_health[Daily_Screen_Time]&lt;=8,"Medium","High"))</f>
        <v>High</v>
      </c>
    </row>
    <row r="1615" spans="1:22" x14ac:dyDescent="0.3">
      <c r="A1615">
        <v>1614</v>
      </c>
      <c r="B1615">
        <v>27</v>
      </c>
      <c r="C1615" t="s">
        <v>23</v>
      </c>
      <c r="D1615" t="s">
        <v>22</v>
      </c>
      <c r="E1615">
        <v>2.9</v>
      </c>
      <c r="F1615">
        <v>4.2</v>
      </c>
      <c r="G1615">
        <v>1</v>
      </c>
      <c r="H1615" t="str">
        <f t="shared" si="25"/>
        <v>Night Usage</v>
      </c>
      <c r="I1615">
        <v>3.5</v>
      </c>
      <c r="J1615" s="3">
        <v>7</v>
      </c>
      <c r="K1615">
        <v>9.1999999999999993</v>
      </c>
      <c r="L1615" t="s">
        <v>20</v>
      </c>
      <c r="M1615">
        <v>6</v>
      </c>
      <c r="N1615">
        <v>2</v>
      </c>
      <c r="O1615">
        <v>1</v>
      </c>
      <c r="P1615">
        <v>0</v>
      </c>
      <c r="Q1615">
        <v>0</v>
      </c>
      <c r="R1615">
        <v>1</v>
      </c>
      <c r="S1615">
        <v>1</v>
      </c>
      <c r="T1615" t="str">
        <f>IF(mental_health[Sleep_Hours]&lt;5,"Low",IF(mental_health[Sleep_Hours]&lt;7,"Medium","Good"))</f>
        <v>Low</v>
      </c>
      <c r="U1615" t="str">
        <f>IF(mental_health[Stress_Level]&lt;=3,"Low",IF(mental_health[Stress_Level]&lt;=7,"Medium","High"))</f>
        <v>Medium</v>
      </c>
      <c r="V1615" t="str">
        <f>IF(mental_health[Daily_Screen_Time]&lt;=4,"Low",IF(mental_health[Daily_Screen_Time]&lt;=8,"Medium","High"))</f>
        <v>Low</v>
      </c>
    </row>
    <row r="1616" spans="1:22" x14ac:dyDescent="0.3">
      <c r="A1616">
        <v>1615</v>
      </c>
      <c r="B1616">
        <v>51</v>
      </c>
      <c r="C1616" t="s">
        <v>18</v>
      </c>
      <c r="D1616" t="s">
        <v>24</v>
      </c>
      <c r="E1616">
        <v>8.8000000000000007</v>
      </c>
      <c r="F1616">
        <v>2.4</v>
      </c>
      <c r="G1616">
        <v>1</v>
      </c>
      <c r="H1616" t="str">
        <f t="shared" si="25"/>
        <v>Night Usage</v>
      </c>
      <c r="I1616">
        <v>6.9</v>
      </c>
      <c r="J1616" s="3">
        <v>7</v>
      </c>
      <c r="K1616">
        <v>10</v>
      </c>
      <c r="L1616" t="s">
        <v>20</v>
      </c>
      <c r="M1616">
        <v>6</v>
      </c>
      <c r="N1616">
        <v>3</v>
      </c>
      <c r="O1616">
        <v>1</v>
      </c>
      <c r="P1616">
        <v>1</v>
      </c>
      <c r="Q1616">
        <v>0</v>
      </c>
      <c r="R1616">
        <v>1</v>
      </c>
      <c r="S1616">
        <v>1</v>
      </c>
      <c r="T1616" t="str">
        <f>IF(mental_health[Sleep_Hours]&lt;5,"Low",IF(mental_health[Sleep_Hours]&lt;7,"Medium","Good"))</f>
        <v>Medium</v>
      </c>
      <c r="U1616" t="str">
        <f>IF(mental_health[Stress_Level]&lt;=3,"Low",IF(mental_health[Stress_Level]&lt;=7,"Medium","High"))</f>
        <v>Medium</v>
      </c>
      <c r="V1616" t="str">
        <f>IF(mental_health[Daily_Screen_Time]&lt;=4,"Low",IF(mental_health[Daily_Screen_Time]&lt;=8,"Medium","High"))</f>
        <v>High</v>
      </c>
    </row>
    <row r="1617" spans="1:22" x14ac:dyDescent="0.3">
      <c r="A1617">
        <v>1616</v>
      </c>
      <c r="B1617">
        <v>50</v>
      </c>
      <c r="C1617" t="s">
        <v>18</v>
      </c>
      <c r="D1617" t="s">
        <v>19</v>
      </c>
      <c r="E1617">
        <v>2.6</v>
      </c>
      <c r="F1617">
        <v>2.5</v>
      </c>
      <c r="G1617">
        <v>1</v>
      </c>
      <c r="H1617" t="str">
        <f t="shared" si="25"/>
        <v>Night Usage</v>
      </c>
      <c r="I1617">
        <v>5.8</v>
      </c>
      <c r="J1617" s="3">
        <v>6</v>
      </c>
      <c r="K1617">
        <v>11.8</v>
      </c>
      <c r="L1617" t="s">
        <v>25</v>
      </c>
      <c r="M1617">
        <v>1</v>
      </c>
      <c r="N1617">
        <v>0</v>
      </c>
      <c r="O1617">
        <v>0</v>
      </c>
      <c r="P1617">
        <v>1</v>
      </c>
      <c r="Q1617">
        <v>0</v>
      </c>
      <c r="R1617">
        <v>0</v>
      </c>
      <c r="S1617">
        <v>1</v>
      </c>
      <c r="T1617" t="str">
        <f>IF(mental_health[Sleep_Hours]&lt;5,"Low",IF(mental_health[Sleep_Hours]&lt;7,"Medium","Good"))</f>
        <v>Medium</v>
      </c>
      <c r="U1617" t="str">
        <f>IF(mental_health[Stress_Level]&lt;=3,"Low",IF(mental_health[Stress_Level]&lt;=7,"Medium","High"))</f>
        <v>Medium</v>
      </c>
      <c r="V1617" t="str">
        <f>IF(mental_health[Daily_Screen_Time]&lt;=4,"Low",IF(mental_health[Daily_Screen_Time]&lt;=8,"Medium","High"))</f>
        <v>Low</v>
      </c>
    </row>
    <row r="1618" spans="1:22" x14ac:dyDescent="0.3">
      <c r="A1618">
        <v>1617</v>
      </c>
      <c r="B1618">
        <v>27</v>
      </c>
      <c r="C1618" t="s">
        <v>18</v>
      </c>
      <c r="D1618" t="s">
        <v>19</v>
      </c>
      <c r="E1618">
        <v>8</v>
      </c>
      <c r="F1618">
        <v>1.2</v>
      </c>
      <c r="G1618">
        <v>0</v>
      </c>
      <c r="H1618" t="str">
        <f t="shared" si="25"/>
        <v>No Night Usage</v>
      </c>
      <c r="I1618">
        <v>8.4</v>
      </c>
      <c r="J1618" s="3">
        <v>9</v>
      </c>
      <c r="K1618">
        <v>11.3</v>
      </c>
      <c r="L1618" t="s">
        <v>20</v>
      </c>
      <c r="M1618">
        <v>8</v>
      </c>
      <c r="N1618">
        <v>4</v>
      </c>
      <c r="O1618">
        <v>1</v>
      </c>
      <c r="P1618">
        <v>1</v>
      </c>
      <c r="Q1618">
        <v>1</v>
      </c>
      <c r="R1618">
        <v>1</v>
      </c>
      <c r="S1618">
        <v>1</v>
      </c>
      <c r="T1618" t="str">
        <f>IF(mental_health[Sleep_Hours]&lt;5,"Low",IF(mental_health[Sleep_Hours]&lt;7,"Medium","Good"))</f>
        <v>Good</v>
      </c>
      <c r="U1618" t="str">
        <f>IF(mental_health[Stress_Level]&lt;=3,"Low",IF(mental_health[Stress_Level]&lt;=7,"Medium","High"))</f>
        <v>High</v>
      </c>
      <c r="V1618" t="str">
        <f>IF(mental_health[Daily_Screen_Time]&lt;=4,"Low",IF(mental_health[Daily_Screen_Time]&lt;=8,"Medium","High"))</f>
        <v>Medium</v>
      </c>
    </row>
    <row r="1619" spans="1:22" x14ac:dyDescent="0.3">
      <c r="A1619">
        <v>1618</v>
      </c>
      <c r="B1619">
        <v>22</v>
      </c>
      <c r="C1619" t="s">
        <v>18</v>
      </c>
      <c r="D1619" t="s">
        <v>24</v>
      </c>
      <c r="E1619">
        <v>9.4</v>
      </c>
      <c r="F1619">
        <v>7.3</v>
      </c>
      <c r="G1619">
        <v>0</v>
      </c>
      <c r="H1619" t="str">
        <f t="shared" si="25"/>
        <v>No Night Usage</v>
      </c>
      <c r="I1619">
        <v>5.2</v>
      </c>
      <c r="J1619" s="3">
        <v>2</v>
      </c>
      <c r="K1619">
        <v>9.4</v>
      </c>
      <c r="L1619" t="s">
        <v>25</v>
      </c>
      <c r="M1619">
        <v>2</v>
      </c>
      <c r="N1619">
        <v>3</v>
      </c>
      <c r="O1619">
        <v>0</v>
      </c>
      <c r="P1619">
        <v>0</v>
      </c>
      <c r="Q1619">
        <v>1</v>
      </c>
      <c r="R1619">
        <v>0</v>
      </c>
      <c r="S1619">
        <v>1</v>
      </c>
      <c r="T1619" t="str">
        <f>IF(mental_health[Sleep_Hours]&lt;5,"Low",IF(mental_health[Sleep_Hours]&lt;7,"Medium","Good"))</f>
        <v>Medium</v>
      </c>
      <c r="U1619" t="str">
        <f>IF(mental_health[Stress_Level]&lt;=3,"Low",IF(mental_health[Stress_Level]&lt;=7,"Medium","High"))</f>
        <v>Low</v>
      </c>
      <c r="V1619" t="str">
        <f>IF(mental_health[Daily_Screen_Time]&lt;=4,"Low",IF(mental_health[Daily_Screen_Time]&lt;=8,"Medium","High"))</f>
        <v>High</v>
      </c>
    </row>
    <row r="1620" spans="1:22" x14ac:dyDescent="0.3">
      <c r="A1620">
        <v>1619</v>
      </c>
      <c r="B1620">
        <v>44</v>
      </c>
      <c r="C1620" t="s">
        <v>18</v>
      </c>
      <c r="D1620" t="s">
        <v>24</v>
      </c>
      <c r="E1620">
        <v>4.0999999999999996</v>
      </c>
      <c r="F1620">
        <v>2.5</v>
      </c>
      <c r="G1620">
        <v>1</v>
      </c>
      <c r="H1620" t="str">
        <f t="shared" si="25"/>
        <v>Night Usage</v>
      </c>
      <c r="I1620">
        <v>4.7</v>
      </c>
      <c r="J1620" s="3">
        <v>10</v>
      </c>
      <c r="K1620">
        <v>8.9</v>
      </c>
      <c r="L1620" t="s">
        <v>20</v>
      </c>
      <c r="M1620">
        <v>5</v>
      </c>
      <c r="N1620">
        <v>1</v>
      </c>
      <c r="O1620">
        <v>0</v>
      </c>
      <c r="P1620">
        <v>0</v>
      </c>
      <c r="Q1620">
        <v>1</v>
      </c>
      <c r="R1620">
        <v>1</v>
      </c>
      <c r="S1620">
        <v>1</v>
      </c>
      <c r="T1620" t="str">
        <f>IF(mental_health[Sleep_Hours]&lt;5,"Low",IF(mental_health[Sleep_Hours]&lt;7,"Medium","Good"))</f>
        <v>Low</v>
      </c>
      <c r="U1620" t="str">
        <f>IF(mental_health[Stress_Level]&lt;=3,"Low",IF(mental_health[Stress_Level]&lt;=7,"Medium","High"))</f>
        <v>High</v>
      </c>
      <c r="V1620" t="str">
        <f>IF(mental_health[Daily_Screen_Time]&lt;=4,"Low",IF(mental_health[Daily_Screen_Time]&lt;=8,"Medium","High"))</f>
        <v>Medium</v>
      </c>
    </row>
    <row r="1621" spans="1:22" x14ac:dyDescent="0.3">
      <c r="A1621">
        <v>1620</v>
      </c>
      <c r="B1621">
        <v>26</v>
      </c>
      <c r="C1621" t="s">
        <v>18</v>
      </c>
      <c r="D1621" t="s">
        <v>24</v>
      </c>
      <c r="E1621">
        <v>10.4</v>
      </c>
      <c r="F1621">
        <v>2.6</v>
      </c>
      <c r="G1621">
        <v>1</v>
      </c>
      <c r="H1621" t="str">
        <f t="shared" si="25"/>
        <v>Night Usage</v>
      </c>
      <c r="I1621">
        <v>6</v>
      </c>
      <c r="J1621" s="3">
        <v>8</v>
      </c>
      <c r="K1621">
        <v>5.4</v>
      </c>
      <c r="L1621" t="s">
        <v>21</v>
      </c>
      <c r="M1621">
        <v>4</v>
      </c>
      <c r="N1621">
        <v>2</v>
      </c>
      <c r="O1621">
        <v>0</v>
      </c>
      <c r="P1621">
        <v>0</v>
      </c>
      <c r="Q1621">
        <v>1</v>
      </c>
      <c r="R1621">
        <v>1</v>
      </c>
      <c r="S1621">
        <v>0</v>
      </c>
      <c r="T1621" t="str">
        <f>IF(mental_health[Sleep_Hours]&lt;5,"Low",IF(mental_health[Sleep_Hours]&lt;7,"Medium","Good"))</f>
        <v>Medium</v>
      </c>
      <c r="U1621" t="str">
        <f>IF(mental_health[Stress_Level]&lt;=3,"Low",IF(mental_health[Stress_Level]&lt;=7,"Medium","High"))</f>
        <v>High</v>
      </c>
      <c r="V1621" t="str">
        <f>IF(mental_health[Daily_Screen_Time]&lt;=4,"Low",IF(mental_health[Daily_Screen_Time]&lt;=8,"Medium","High"))</f>
        <v>High</v>
      </c>
    </row>
    <row r="1622" spans="1:22" x14ac:dyDescent="0.3">
      <c r="A1622">
        <v>1621</v>
      </c>
      <c r="B1622">
        <v>48</v>
      </c>
      <c r="C1622" t="s">
        <v>23</v>
      </c>
      <c r="D1622" t="s">
        <v>22</v>
      </c>
      <c r="E1622">
        <v>2.2999999999999998</v>
      </c>
      <c r="F1622">
        <v>3</v>
      </c>
      <c r="G1622">
        <v>0</v>
      </c>
      <c r="H1622" t="str">
        <f t="shared" si="25"/>
        <v>No Night Usage</v>
      </c>
      <c r="I1622">
        <v>5.7</v>
      </c>
      <c r="J1622" s="3">
        <v>8</v>
      </c>
      <c r="K1622">
        <v>3</v>
      </c>
      <c r="L1622" t="s">
        <v>20</v>
      </c>
      <c r="M1622">
        <v>5</v>
      </c>
      <c r="N1622">
        <v>3</v>
      </c>
      <c r="O1622">
        <v>0</v>
      </c>
      <c r="P1622">
        <v>0</v>
      </c>
      <c r="Q1622">
        <v>1</v>
      </c>
      <c r="R1622">
        <v>0</v>
      </c>
      <c r="S1622">
        <v>0</v>
      </c>
      <c r="T1622" t="str">
        <f>IF(mental_health[Sleep_Hours]&lt;5,"Low",IF(mental_health[Sleep_Hours]&lt;7,"Medium","Good"))</f>
        <v>Medium</v>
      </c>
      <c r="U1622" t="str">
        <f>IF(mental_health[Stress_Level]&lt;=3,"Low",IF(mental_health[Stress_Level]&lt;=7,"Medium","High"))</f>
        <v>High</v>
      </c>
      <c r="V1622" t="str">
        <f>IF(mental_health[Daily_Screen_Time]&lt;=4,"Low",IF(mental_health[Daily_Screen_Time]&lt;=8,"Medium","High"))</f>
        <v>Low</v>
      </c>
    </row>
    <row r="1623" spans="1:22" x14ac:dyDescent="0.3">
      <c r="A1623">
        <v>1622</v>
      </c>
      <c r="B1623">
        <v>21</v>
      </c>
      <c r="C1623" t="s">
        <v>23</v>
      </c>
      <c r="D1623" t="s">
        <v>19</v>
      </c>
      <c r="E1623">
        <v>10.4</v>
      </c>
      <c r="F1623">
        <v>1.9</v>
      </c>
      <c r="G1623">
        <v>1</v>
      </c>
      <c r="H1623" t="str">
        <f t="shared" si="25"/>
        <v>Night Usage</v>
      </c>
      <c r="I1623">
        <v>5.0999999999999996</v>
      </c>
      <c r="J1623" s="3">
        <v>10</v>
      </c>
      <c r="K1623">
        <v>7.7</v>
      </c>
      <c r="L1623" t="s">
        <v>25</v>
      </c>
      <c r="M1623">
        <v>5</v>
      </c>
      <c r="N1623">
        <v>4</v>
      </c>
      <c r="O1623">
        <v>0</v>
      </c>
      <c r="P1623">
        <v>0</v>
      </c>
      <c r="Q1623">
        <v>1</v>
      </c>
      <c r="R1623">
        <v>1</v>
      </c>
      <c r="S1623">
        <v>0</v>
      </c>
      <c r="T1623" t="str">
        <f>IF(mental_health[Sleep_Hours]&lt;5,"Low",IF(mental_health[Sleep_Hours]&lt;7,"Medium","Good"))</f>
        <v>Medium</v>
      </c>
      <c r="U1623" t="str">
        <f>IF(mental_health[Stress_Level]&lt;=3,"Low",IF(mental_health[Stress_Level]&lt;=7,"Medium","High"))</f>
        <v>High</v>
      </c>
      <c r="V1623" t="str">
        <f>IF(mental_health[Daily_Screen_Time]&lt;=4,"Low",IF(mental_health[Daily_Screen_Time]&lt;=8,"Medium","High"))</f>
        <v>High</v>
      </c>
    </row>
    <row r="1624" spans="1:22" x14ac:dyDescent="0.3">
      <c r="A1624">
        <v>1623</v>
      </c>
      <c r="B1624">
        <v>30</v>
      </c>
      <c r="C1624" t="s">
        <v>18</v>
      </c>
      <c r="D1624" t="s">
        <v>24</v>
      </c>
      <c r="E1624">
        <v>6.6</v>
      </c>
      <c r="F1624">
        <v>5.5</v>
      </c>
      <c r="G1624">
        <v>0</v>
      </c>
      <c r="H1624" t="str">
        <f t="shared" si="25"/>
        <v>No Night Usage</v>
      </c>
      <c r="I1624">
        <v>7.2</v>
      </c>
      <c r="J1624" s="3">
        <v>4</v>
      </c>
      <c r="K1624">
        <v>7.8</v>
      </c>
      <c r="L1624" t="s">
        <v>25</v>
      </c>
      <c r="M1624">
        <v>10</v>
      </c>
      <c r="N1624">
        <v>4</v>
      </c>
      <c r="O1624">
        <v>1</v>
      </c>
      <c r="P1624">
        <v>1</v>
      </c>
      <c r="Q1624">
        <v>0</v>
      </c>
      <c r="R1624">
        <v>0</v>
      </c>
      <c r="S1624">
        <v>1</v>
      </c>
      <c r="T1624" t="str">
        <f>IF(mental_health[Sleep_Hours]&lt;5,"Low",IF(mental_health[Sleep_Hours]&lt;7,"Medium","Good"))</f>
        <v>Good</v>
      </c>
      <c r="U1624" t="str">
        <f>IF(mental_health[Stress_Level]&lt;=3,"Low",IF(mental_health[Stress_Level]&lt;=7,"Medium","High"))</f>
        <v>Medium</v>
      </c>
      <c r="V1624" t="str">
        <f>IF(mental_health[Daily_Screen_Time]&lt;=4,"Low",IF(mental_health[Daily_Screen_Time]&lt;=8,"Medium","High"))</f>
        <v>Medium</v>
      </c>
    </row>
    <row r="1625" spans="1:22" x14ac:dyDescent="0.3">
      <c r="A1625">
        <v>1624</v>
      </c>
      <c r="B1625">
        <v>47</v>
      </c>
      <c r="C1625" t="s">
        <v>23</v>
      </c>
      <c r="D1625" t="s">
        <v>22</v>
      </c>
      <c r="E1625">
        <v>4.2</v>
      </c>
      <c r="F1625">
        <v>1.5</v>
      </c>
      <c r="G1625">
        <v>1</v>
      </c>
      <c r="H1625" t="str">
        <f t="shared" si="25"/>
        <v>Night Usage</v>
      </c>
      <c r="I1625">
        <v>7.6</v>
      </c>
      <c r="J1625" s="3">
        <v>6</v>
      </c>
      <c r="K1625">
        <v>11.5</v>
      </c>
      <c r="L1625" t="s">
        <v>25</v>
      </c>
      <c r="M1625">
        <v>8</v>
      </c>
      <c r="N1625">
        <v>1</v>
      </c>
      <c r="O1625">
        <v>0</v>
      </c>
      <c r="P1625">
        <v>1</v>
      </c>
      <c r="Q1625">
        <v>0</v>
      </c>
      <c r="R1625">
        <v>0</v>
      </c>
      <c r="S1625">
        <v>1</v>
      </c>
      <c r="T1625" t="str">
        <f>IF(mental_health[Sleep_Hours]&lt;5,"Low",IF(mental_health[Sleep_Hours]&lt;7,"Medium","Good"))</f>
        <v>Good</v>
      </c>
      <c r="U1625" t="str">
        <f>IF(mental_health[Stress_Level]&lt;=3,"Low",IF(mental_health[Stress_Level]&lt;=7,"Medium","High"))</f>
        <v>Medium</v>
      </c>
      <c r="V1625" t="str">
        <f>IF(mental_health[Daily_Screen_Time]&lt;=4,"Low",IF(mental_health[Daily_Screen_Time]&lt;=8,"Medium","High"))</f>
        <v>Medium</v>
      </c>
    </row>
    <row r="1626" spans="1:22" x14ac:dyDescent="0.3">
      <c r="A1626">
        <v>1625</v>
      </c>
      <c r="B1626">
        <v>26</v>
      </c>
      <c r="C1626" t="s">
        <v>18</v>
      </c>
      <c r="D1626" t="s">
        <v>19</v>
      </c>
      <c r="E1626">
        <v>3.3</v>
      </c>
      <c r="F1626">
        <v>1.9</v>
      </c>
      <c r="G1626">
        <v>0</v>
      </c>
      <c r="H1626" t="str">
        <f t="shared" si="25"/>
        <v>No Night Usage</v>
      </c>
      <c r="I1626">
        <v>8.1</v>
      </c>
      <c r="J1626" s="3">
        <v>6</v>
      </c>
      <c r="K1626">
        <v>6.4</v>
      </c>
      <c r="L1626" t="s">
        <v>21</v>
      </c>
      <c r="M1626">
        <v>10</v>
      </c>
      <c r="N1626">
        <v>1</v>
      </c>
      <c r="O1626">
        <v>1</v>
      </c>
      <c r="P1626">
        <v>1</v>
      </c>
      <c r="Q1626">
        <v>0</v>
      </c>
      <c r="R1626">
        <v>1</v>
      </c>
      <c r="S1626">
        <v>1</v>
      </c>
      <c r="T1626" t="str">
        <f>IF(mental_health[Sleep_Hours]&lt;5,"Low",IF(mental_health[Sleep_Hours]&lt;7,"Medium","Good"))</f>
        <v>Good</v>
      </c>
      <c r="U1626" t="str">
        <f>IF(mental_health[Stress_Level]&lt;=3,"Low",IF(mental_health[Stress_Level]&lt;=7,"Medium","High"))</f>
        <v>Medium</v>
      </c>
      <c r="V1626" t="str">
        <f>IF(mental_health[Daily_Screen_Time]&lt;=4,"Low",IF(mental_health[Daily_Screen_Time]&lt;=8,"Medium","High"))</f>
        <v>Low</v>
      </c>
    </row>
    <row r="1627" spans="1:22" x14ac:dyDescent="0.3">
      <c r="A1627">
        <v>1626</v>
      </c>
      <c r="B1627">
        <v>38</v>
      </c>
      <c r="C1627" t="s">
        <v>23</v>
      </c>
      <c r="D1627" t="s">
        <v>22</v>
      </c>
      <c r="E1627">
        <v>11.5</v>
      </c>
      <c r="F1627">
        <v>5.5</v>
      </c>
      <c r="G1627">
        <v>1</v>
      </c>
      <c r="H1627" t="str">
        <f t="shared" si="25"/>
        <v>Night Usage</v>
      </c>
      <c r="I1627">
        <v>8.8000000000000007</v>
      </c>
      <c r="J1627" s="3">
        <v>5</v>
      </c>
      <c r="K1627">
        <v>8.9</v>
      </c>
      <c r="L1627" t="s">
        <v>20</v>
      </c>
      <c r="M1627">
        <v>7</v>
      </c>
      <c r="N1627">
        <v>3</v>
      </c>
      <c r="O1627">
        <v>1</v>
      </c>
      <c r="P1627">
        <v>1</v>
      </c>
      <c r="Q1627">
        <v>0</v>
      </c>
      <c r="R1627">
        <v>0</v>
      </c>
      <c r="S1627">
        <v>0</v>
      </c>
      <c r="T1627" t="str">
        <f>IF(mental_health[Sleep_Hours]&lt;5,"Low",IF(mental_health[Sleep_Hours]&lt;7,"Medium","Good"))</f>
        <v>Good</v>
      </c>
      <c r="U1627" t="str">
        <f>IF(mental_health[Stress_Level]&lt;=3,"Low",IF(mental_health[Stress_Level]&lt;=7,"Medium","High"))</f>
        <v>Medium</v>
      </c>
      <c r="V1627" t="str">
        <f>IF(mental_health[Daily_Screen_Time]&lt;=4,"Low",IF(mental_health[Daily_Screen_Time]&lt;=8,"Medium","High"))</f>
        <v>High</v>
      </c>
    </row>
    <row r="1628" spans="1:22" x14ac:dyDescent="0.3">
      <c r="A1628">
        <v>1627</v>
      </c>
      <c r="B1628">
        <v>41</v>
      </c>
      <c r="C1628" t="s">
        <v>23</v>
      </c>
      <c r="D1628" t="s">
        <v>19</v>
      </c>
      <c r="E1628">
        <v>2.7</v>
      </c>
      <c r="F1628">
        <v>3.4</v>
      </c>
      <c r="G1628">
        <v>1</v>
      </c>
      <c r="H1628" t="str">
        <f t="shared" si="25"/>
        <v>Night Usage</v>
      </c>
      <c r="I1628">
        <v>4.5999999999999996</v>
      </c>
      <c r="J1628" s="3">
        <v>1</v>
      </c>
      <c r="K1628">
        <v>7.7</v>
      </c>
      <c r="L1628" t="s">
        <v>25</v>
      </c>
      <c r="M1628">
        <v>9</v>
      </c>
      <c r="N1628">
        <v>0</v>
      </c>
      <c r="O1628">
        <v>1</v>
      </c>
      <c r="P1628">
        <v>0</v>
      </c>
      <c r="Q1628">
        <v>0</v>
      </c>
      <c r="R1628">
        <v>0</v>
      </c>
      <c r="S1628">
        <v>0</v>
      </c>
      <c r="T1628" t="str">
        <f>IF(mental_health[Sleep_Hours]&lt;5,"Low",IF(mental_health[Sleep_Hours]&lt;7,"Medium","Good"))</f>
        <v>Low</v>
      </c>
      <c r="U1628" t="str">
        <f>IF(mental_health[Stress_Level]&lt;=3,"Low",IF(mental_health[Stress_Level]&lt;=7,"Medium","High"))</f>
        <v>Low</v>
      </c>
      <c r="V1628" t="str">
        <f>IF(mental_health[Daily_Screen_Time]&lt;=4,"Low",IF(mental_health[Daily_Screen_Time]&lt;=8,"Medium","High"))</f>
        <v>Low</v>
      </c>
    </row>
    <row r="1629" spans="1:22" x14ac:dyDescent="0.3">
      <c r="A1629">
        <v>1628</v>
      </c>
      <c r="B1629">
        <v>49</v>
      </c>
      <c r="C1629" t="s">
        <v>18</v>
      </c>
      <c r="D1629" t="s">
        <v>22</v>
      </c>
      <c r="E1629">
        <v>4</v>
      </c>
      <c r="F1629">
        <v>6</v>
      </c>
      <c r="G1629">
        <v>0</v>
      </c>
      <c r="H1629" t="str">
        <f t="shared" si="25"/>
        <v>No Night Usage</v>
      </c>
      <c r="I1629">
        <v>7.3</v>
      </c>
      <c r="J1629" s="3">
        <v>3</v>
      </c>
      <c r="K1629">
        <v>3.8</v>
      </c>
      <c r="L1629" t="s">
        <v>21</v>
      </c>
      <c r="M1629">
        <v>1</v>
      </c>
      <c r="N1629">
        <v>4</v>
      </c>
      <c r="O1629">
        <v>0</v>
      </c>
      <c r="P1629">
        <v>1</v>
      </c>
      <c r="Q1629">
        <v>0</v>
      </c>
      <c r="R1629">
        <v>1</v>
      </c>
      <c r="S1629">
        <v>0</v>
      </c>
      <c r="T1629" t="str">
        <f>IF(mental_health[Sleep_Hours]&lt;5,"Low",IF(mental_health[Sleep_Hours]&lt;7,"Medium","Good"))</f>
        <v>Good</v>
      </c>
      <c r="U1629" t="str">
        <f>IF(mental_health[Stress_Level]&lt;=3,"Low",IF(mental_health[Stress_Level]&lt;=7,"Medium","High"))</f>
        <v>Low</v>
      </c>
      <c r="V1629" t="str">
        <f>IF(mental_health[Daily_Screen_Time]&lt;=4,"Low",IF(mental_health[Daily_Screen_Time]&lt;=8,"Medium","High"))</f>
        <v>Low</v>
      </c>
    </row>
    <row r="1630" spans="1:22" x14ac:dyDescent="0.3">
      <c r="A1630">
        <v>1629</v>
      </c>
      <c r="B1630">
        <v>49</v>
      </c>
      <c r="C1630" t="s">
        <v>18</v>
      </c>
      <c r="D1630" t="s">
        <v>19</v>
      </c>
      <c r="E1630">
        <v>5.5</v>
      </c>
      <c r="F1630">
        <v>4.9000000000000004</v>
      </c>
      <c r="G1630">
        <v>0</v>
      </c>
      <c r="H1630" t="str">
        <f t="shared" si="25"/>
        <v>No Night Usage</v>
      </c>
      <c r="I1630">
        <v>5.4</v>
      </c>
      <c r="J1630" s="3">
        <v>7</v>
      </c>
      <c r="K1630">
        <v>7.9</v>
      </c>
      <c r="L1630" t="s">
        <v>21</v>
      </c>
      <c r="M1630">
        <v>6</v>
      </c>
      <c r="N1630">
        <v>0</v>
      </c>
      <c r="O1630">
        <v>1</v>
      </c>
      <c r="P1630">
        <v>1</v>
      </c>
      <c r="Q1630">
        <v>0</v>
      </c>
      <c r="R1630">
        <v>0</v>
      </c>
      <c r="S1630">
        <v>0</v>
      </c>
      <c r="T1630" t="str">
        <f>IF(mental_health[Sleep_Hours]&lt;5,"Low",IF(mental_health[Sleep_Hours]&lt;7,"Medium","Good"))</f>
        <v>Medium</v>
      </c>
      <c r="U1630" t="str">
        <f>IF(mental_health[Stress_Level]&lt;=3,"Low",IF(mental_health[Stress_Level]&lt;=7,"Medium","High"))</f>
        <v>Medium</v>
      </c>
      <c r="V1630" t="str">
        <f>IF(mental_health[Daily_Screen_Time]&lt;=4,"Low",IF(mental_health[Daily_Screen_Time]&lt;=8,"Medium","High"))</f>
        <v>Medium</v>
      </c>
    </row>
    <row r="1631" spans="1:22" x14ac:dyDescent="0.3">
      <c r="A1631">
        <v>1630</v>
      </c>
      <c r="B1631">
        <v>44</v>
      </c>
      <c r="C1631" t="s">
        <v>18</v>
      </c>
      <c r="D1631" t="s">
        <v>19</v>
      </c>
      <c r="E1631">
        <v>8.1999999999999993</v>
      </c>
      <c r="F1631">
        <v>2.8</v>
      </c>
      <c r="G1631">
        <v>1</v>
      </c>
      <c r="H1631" t="str">
        <f t="shared" si="25"/>
        <v>Night Usage</v>
      </c>
      <c r="I1631">
        <v>7.1</v>
      </c>
      <c r="J1631" s="3">
        <v>8</v>
      </c>
      <c r="K1631">
        <v>7.4</v>
      </c>
      <c r="L1631" t="s">
        <v>21</v>
      </c>
      <c r="M1631">
        <v>6</v>
      </c>
      <c r="N1631">
        <v>0</v>
      </c>
      <c r="O1631">
        <v>1</v>
      </c>
      <c r="P1631">
        <v>0</v>
      </c>
      <c r="Q1631">
        <v>0</v>
      </c>
      <c r="R1631">
        <v>1</v>
      </c>
      <c r="S1631">
        <v>1</v>
      </c>
      <c r="T1631" t="str">
        <f>IF(mental_health[Sleep_Hours]&lt;5,"Low",IF(mental_health[Sleep_Hours]&lt;7,"Medium","Good"))</f>
        <v>Good</v>
      </c>
      <c r="U1631" t="str">
        <f>IF(mental_health[Stress_Level]&lt;=3,"Low",IF(mental_health[Stress_Level]&lt;=7,"Medium","High"))</f>
        <v>High</v>
      </c>
      <c r="V1631" t="str">
        <f>IF(mental_health[Daily_Screen_Time]&lt;=4,"Low",IF(mental_health[Daily_Screen_Time]&lt;=8,"Medium","High"))</f>
        <v>High</v>
      </c>
    </row>
    <row r="1632" spans="1:22" x14ac:dyDescent="0.3">
      <c r="A1632">
        <v>1631</v>
      </c>
      <c r="B1632">
        <v>19</v>
      </c>
      <c r="C1632" t="s">
        <v>23</v>
      </c>
      <c r="D1632" t="s">
        <v>22</v>
      </c>
      <c r="E1632">
        <v>7.4</v>
      </c>
      <c r="F1632">
        <v>5.6</v>
      </c>
      <c r="G1632">
        <v>1</v>
      </c>
      <c r="H1632" t="str">
        <f t="shared" si="25"/>
        <v>Night Usage</v>
      </c>
      <c r="I1632">
        <v>5.9</v>
      </c>
      <c r="J1632" s="3">
        <v>2</v>
      </c>
      <c r="K1632">
        <v>6.9</v>
      </c>
      <c r="L1632" t="s">
        <v>20</v>
      </c>
      <c r="M1632">
        <v>2</v>
      </c>
      <c r="N1632">
        <v>3</v>
      </c>
      <c r="O1632">
        <v>1</v>
      </c>
      <c r="P1632">
        <v>1</v>
      </c>
      <c r="Q1632">
        <v>0</v>
      </c>
      <c r="R1632">
        <v>1</v>
      </c>
      <c r="S1632">
        <v>1</v>
      </c>
      <c r="T1632" t="str">
        <f>IF(mental_health[Sleep_Hours]&lt;5,"Low",IF(mental_health[Sleep_Hours]&lt;7,"Medium","Good"))</f>
        <v>Medium</v>
      </c>
      <c r="U1632" t="str">
        <f>IF(mental_health[Stress_Level]&lt;=3,"Low",IF(mental_health[Stress_Level]&lt;=7,"Medium","High"))</f>
        <v>Low</v>
      </c>
      <c r="V1632" t="str">
        <f>IF(mental_health[Daily_Screen_Time]&lt;=4,"Low",IF(mental_health[Daily_Screen_Time]&lt;=8,"Medium","High"))</f>
        <v>Medium</v>
      </c>
    </row>
    <row r="1633" spans="1:22" x14ac:dyDescent="0.3">
      <c r="A1633">
        <v>1632</v>
      </c>
      <c r="B1633">
        <v>32</v>
      </c>
      <c r="C1633" t="s">
        <v>18</v>
      </c>
      <c r="D1633" t="s">
        <v>24</v>
      </c>
      <c r="E1633">
        <v>3.3</v>
      </c>
      <c r="F1633">
        <v>1.8</v>
      </c>
      <c r="G1633">
        <v>0</v>
      </c>
      <c r="H1633" t="str">
        <f t="shared" si="25"/>
        <v>No Night Usage</v>
      </c>
      <c r="I1633">
        <v>9</v>
      </c>
      <c r="J1633" s="3">
        <v>3</v>
      </c>
      <c r="K1633">
        <v>7.1</v>
      </c>
      <c r="L1633" t="s">
        <v>20</v>
      </c>
      <c r="M1633">
        <v>8</v>
      </c>
      <c r="N1633">
        <v>2</v>
      </c>
      <c r="O1633">
        <v>0</v>
      </c>
      <c r="P1633">
        <v>0</v>
      </c>
      <c r="Q1633">
        <v>0</v>
      </c>
      <c r="R1633">
        <v>1</v>
      </c>
      <c r="S1633">
        <v>0</v>
      </c>
      <c r="T1633" t="str">
        <f>IF(mental_health[Sleep_Hours]&lt;5,"Low",IF(mental_health[Sleep_Hours]&lt;7,"Medium","Good"))</f>
        <v>Good</v>
      </c>
      <c r="U1633" t="str">
        <f>IF(mental_health[Stress_Level]&lt;=3,"Low",IF(mental_health[Stress_Level]&lt;=7,"Medium","High"))</f>
        <v>Low</v>
      </c>
      <c r="V1633" t="str">
        <f>IF(mental_health[Daily_Screen_Time]&lt;=4,"Low",IF(mental_health[Daily_Screen_Time]&lt;=8,"Medium","High"))</f>
        <v>Low</v>
      </c>
    </row>
    <row r="1634" spans="1:22" x14ac:dyDescent="0.3">
      <c r="A1634">
        <v>1633</v>
      </c>
      <c r="B1634">
        <v>50</v>
      </c>
      <c r="C1634" t="s">
        <v>23</v>
      </c>
      <c r="D1634" t="s">
        <v>19</v>
      </c>
      <c r="E1634">
        <v>4.9000000000000004</v>
      </c>
      <c r="F1634">
        <v>4.8</v>
      </c>
      <c r="G1634">
        <v>1</v>
      </c>
      <c r="H1634" t="str">
        <f t="shared" si="25"/>
        <v>Night Usage</v>
      </c>
      <c r="I1634">
        <v>7.4</v>
      </c>
      <c r="J1634" s="3">
        <v>4</v>
      </c>
      <c r="K1634">
        <v>3.6</v>
      </c>
      <c r="L1634" t="s">
        <v>20</v>
      </c>
      <c r="M1634">
        <v>6</v>
      </c>
      <c r="N1634">
        <v>2</v>
      </c>
      <c r="O1634">
        <v>1</v>
      </c>
      <c r="P1634">
        <v>0</v>
      </c>
      <c r="Q1634">
        <v>0</v>
      </c>
      <c r="R1634">
        <v>0</v>
      </c>
      <c r="S1634">
        <v>0</v>
      </c>
      <c r="T1634" t="str">
        <f>IF(mental_health[Sleep_Hours]&lt;5,"Low",IF(mental_health[Sleep_Hours]&lt;7,"Medium","Good"))</f>
        <v>Good</v>
      </c>
      <c r="U1634" t="str">
        <f>IF(mental_health[Stress_Level]&lt;=3,"Low",IF(mental_health[Stress_Level]&lt;=7,"Medium","High"))</f>
        <v>Medium</v>
      </c>
      <c r="V1634" t="str">
        <f>IF(mental_health[Daily_Screen_Time]&lt;=4,"Low",IF(mental_health[Daily_Screen_Time]&lt;=8,"Medium","High"))</f>
        <v>Medium</v>
      </c>
    </row>
    <row r="1635" spans="1:22" x14ac:dyDescent="0.3">
      <c r="A1635">
        <v>1634</v>
      </c>
      <c r="B1635">
        <v>28</v>
      </c>
      <c r="C1635" t="s">
        <v>18</v>
      </c>
      <c r="D1635" t="s">
        <v>24</v>
      </c>
      <c r="E1635">
        <v>4.4000000000000004</v>
      </c>
      <c r="F1635">
        <v>4.0999999999999996</v>
      </c>
      <c r="G1635">
        <v>0</v>
      </c>
      <c r="H1635" t="str">
        <f t="shared" si="25"/>
        <v>No Night Usage</v>
      </c>
      <c r="I1635">
        <v>8.6999999999999993</v>
      </c>
      <c r="J1635" s="3">
        <v>5</v>
      </c>
      <c r="K1635">
        <v>6.6</v>
      </c>
      <c r="L1635" t="s">
        <v>21</v>
      </c>
      <c r="M1635">
        <v>10</v>
      </c>
      <c r="N1635">
        <v>2</v>
      </c>
      <c r="O1635">
        <v>0</v>
      </c>
      <c r="P1635">
        <v>0</v>
      </c>
      <c r="Q1635">
        <v>0</v>
      </c>
      <c r="R1635">
        <v>0</v>
      </c>
      <c r="S1635">
        <v>0</v>
      </c>
      <c r="T1635" t="str">
        <f>IF(mental_health[Sleep_Hours]&lt;5,"Low",IF(mental_health[Sleep_Hours]&lt;7,"Medium","Good"))</f>
        <v>Good</v>
      </c>
      <c r="U1635" t="str">
        <f>IF(mental_health[Stress_Level]&lt;=3,"Low",IF(mental_health[Stress_Level]&lt;=7,"Medium","High"))</f>
        <v>Medium</v>
      </c>
      <c r="V1635" t="str">
        <f>IF(mental_health[Daily_Screen_Time]&lt;=4,"Low",IF(mental_health[Daily_Screen_Time]&lt;=8,"Medium","High"))</f>
        <v>Medium</v>
      </c>
    </row>
    <row r="1636" spans="1:22" x14ac:dyDescent="0.3">
      <c r="A1636">
        <v>1635</v>
      </c>
      <c r="B1636">
        <v>56</v>
      </c>
      <c r="C1636" t="s">
        <v>23</v>
      </c>
      <c r="D1636" t="s">
        <v>22</v>
      </c>
      <c r="E1636">
        <v>4.0999999999999996</v>
      </c>
      <c r="F1636">
        <v>2.9</v>
      </c>
      <c r="G1636">
        <v>0</v>
      </c>
      <c r="H1636" t="str">
        <f t="shared" si="25"/>
        <v>No Night Usage</v>
      </c>
      <c r="I1636">
        <v>8</v>
      </c>
      <c r="J1636" s="3">
        <v>3</v>
      </c>
      <c r="K1636">
        <v>8.1</v>
      </c>
      <c r="L1636" t="s">
        <v>20</v>
      </c>
      <c r="M1636">
        <v>9</v>
      </c>
      <c r="N1636">
        <v>1</v>
      </c>
      <c r="O1636">
        <v>0</v>
      </c>
      <c r="P1636">
        <v>1</v>
      </c>
      <c r="Q1636">
        <v>0</v>
      </c>
      <c r="R1636">
        <v>0</v>
      </c>
      <c r="S1636">
        <v>0</v>
      </c>
      <c r="T1636" t="str">
        <f>IF(mental_health[Sleep_Hours]&lt;5,"Low",IF(mental_health[Sleep_Hours]&lt;7,"Medium","Good"))</f>
        <v>Good</v>
      </c>
      <c r="U1636" t="str">
        <f>IF(mental_health[Stress_Level]&lt;=3,"Low",IF(mental_health[Stress_Level]&lt;=7,"Medium","High"))</f>
        <v>Low</v>
      </c>
      <c r="V1636" t="str">
        <f>IF(mental_health[Daily_Screen_Time]&lt;=4,"Low",IF(mental_health[Daily_Screen_Time]&lt;=8,"Medium","High"))</f>
        <v>Medium</v>
      </c>
    </row>
    <row r="1637" spans="1:22" x14ac:dyDescent="0.3">
      <c r="A1637">
        <v>1636</v>
      </c>
      <c r="B1637">
        <v>54</v>
      </c>
      <c r="C1637" t="s">
        <v>23</v>
      </c>
      <c r="D1637" t="s">
        <v>24</v>
      </c>
      <c r="E1637">
        <v>6.1</v>
      </c>
      <c r="F1637">
        <v>5.2</v>
      </c>
      <c r="G1637">
        <v>1</v>
      </c>
      <c r="H1637" t="str">
        <f t="shared" si="25"/>
        <v>Night Usage</v>
      </c>
      <c r="I1637">
        <v>8.4</v>
      </c>
      <c r="J1637" s="3">
        <v>5</v>
      </c>
      <c r="K1637">
        <v>6.9</v>
      </c>
      <c r="L1637" t="s">
        <v>25</v>
      </c>
      <c r="M1637">
        <v>10</v>
      </c>
      <c r="N1637">
        <v>4</v>
      </c>
      <c r="O1637">
        <v>1</v>
      </c>
      <c r="P1637">
        <v>1</v>
      </c>
      <c r="Q1637">
        <v>0</v>
      </c>
      <c r="R1637">
        <v>0</v>
      </c>
      <c r="S1637">
        <v>0</v>
      </c>
      <c r="T1637" t="str">
        <f>IF(mental_health[Sleep_Hours]&lt;5,"Low",IF(mental_health[Sleep_Hours]&lt;7,"Medium","Good"))</f>
        <v>Good</v>
      </c>
      <c r="U1637" t="str">
        <f>IF(mental_health[Stress_Level]&lt;=3,"Low",IF(mental_health[Stress_Level]&lt;=7,"Medium","High"))</f>
        <v>Medium</v>
      </c>
      <c r="V1637" t="str">
        <f>IF(mental_health[Daily_Screen_Time]&lt;=4,"Low",IF(mental_health[Daily_Screen_Time]&lt;=8,"Medium","High"))</f>
        <v>Medium</v>
      </c>
    </row>
    <row r="1638" spans="1:22" x14ac:dyDescent="0.3">
      <c r="A1638">
        <v>1637</v>
      </c>
      <c r="B1638">
        <v>30</v>
      </c>
      <c r="C1638" t="s">
        <v>18</v>
      </c>
      <c r="D1638" t="s">
        <v>24</v>
      </c>
      <c r="E1638">
        <v>9</v>
      </c>
      <c r="F1638">
        <v>7.1</v>
      </c>
      <c r="G1638">
        <v>0</v>
      </c>
      <c r="H1638" t="str">
        <f t="shared" si="25"/>
        <v>No Night Usage</v>
      </c>
      <c r="I1638">
        <v>7.9</v>
      </c>
      <c r="J1638" s="3">
        <v>8</v>
      </c>
      <c r="K1638">
        <v>6.9</v>
      </c>
      <c r="L1638" t="s">
        <v>21</v>
      </c>
      <c r="M1638">
        <v>5</v>
      </c>
      <c r="N1638">
        <v>1</v>
      </c>
      <c r="O1638">
        <v>1</v>
      </c>
      <c r="P1638">
        <v>1</v>
      </c>
      <c r="Q1638">
        <v>1</v>
      </c>
      <c r="R1638">
        <v>0</v>
      </c>
      <c r="S1638">
        <v>0</v>
      </c>
      <c r="T1638" t="str">
        <f>IF(mental_health[Sleep_Hours]&lt;5,"Low",IF(mental_health[Sleep_Hours]&lt;7,"Medium","Good"))</f>
        <v>Good</v>
      </c>
      <c r="U1638" t="str">
        <f>IF(mental_health[Stress_Level]&lt;=3,"Low",IF(mental_health[Stress_Level]&lt;=7,"Medium","High"))</f>
        <v>High</v>
      </c>
      <c r="V1638" t="str">
        <f>IF(mental_health[Daily_Screen_Time]&lt;=4,"Low",IF(mental_health[Daily_Screen_Time]&lt;=8,"Medium","High"))</f>
        <v>High</v>
      </c>
    </row>
    <row r="1639" spans="1:22" x14ac:dyDescent="0.3">
      <c r="A1639">
        <v>1638</v>
      </c>
      <c r="B1639">
        <v>44</v>
      </c>
      <c r="C1639" t="s">
        <v>23</v>
      </c>
      <c r="D1639" t="s">
        <v>24</v>
      </c>
      <c r="E1639">
        <v>4.2</v>
      </c>
      <c r="F1639">
        <v>8</v>
      </c>
      <c r="G1639">
        <v>0</v>
      </c>
      <c r="H1639" t="str">
        <f t="shared" si="25"/>
        <v>No Night Usage</v>
      </c>
      <c r="I1639">
        <v>5.8</v>
      </c>
      <c r="J1639" s="3">
        <v>8</v>
      </c>
      <c r="K1639">
        <v>2.8</v>
      </c>
      <c r="L1639" t="s">
        <v>20</v>
      </c>
      <c r="M1639">
        <v>7</v>
      </c>
      <c r="N1639">
        <v>4</v>
      </c>
      <c r="O1639">
        <v>0</v>
      </c>
      <c r="P1639">
        <v>1</v>
      </c>
      <c r="Q1639">
        <v>0</v>
      </c>
      <c r="R1639">
        <v>1</v>
      </c>
      <c r="S1639">
        <v>0</v>
      </c>
      <c r="T1639" t="str">
        <f>IF(mental_health[Sleep_Hours]&lt;5,"Low",IF(mental_health[Sleep_Hours]&lt;7,"Medium","Good"))</f>
        <v>Medium</v>
      </c>
      <c r="U1639" t="str">
        <f>IF(mental_health[Stress_Level]&lt;=3,"Low",IF(mental_health[Stress_Level]&lt;=7,"Medium","High"))</f>
        <v>High</v>
      </c>
      <c r="V1639" t="str">
        <f>IF(mental_health[Daily_Screen_Time]&lt;=4,"Low",IF(mental_health[Daily_Screen_Time]&lt;=8,"Medium","High"))</f>
        <v>Medium</v>
      </c>
    </row>
    <row r="1640" spans="1:22" x14ac:dyDescent="0.3">
      <c r="A1640">
        <v>1639</v>
      </c>
      <c r="B1640">
        <v>44</v>
      </c>
      <c r="C1640" t="s">
        <v>23</v>
      </c>
      <c r="D1640" t="s">
        <v>24</v>
      </c>
      <c r="E1640">
        <v>5.7</v>
      </c>
      <c r="F1640">
        <v>5.3</v>
      </c>
      <c r="G1640">
        <v>1</v>
      </c>
      <c r="H1640" t="str">
        <f t="shared" si="25"/>
        <v>Night Usage</v>
      </c>
      <c r="I1640">
        <v>4.5</v>
      </c>
      <c r="J1640" s="3">
        <v>2</v>
      </c>
      <c r="K1640">
        <v>3.9</v>
      </c>
      <c r="L1640" t="s">
        <v>21</v>
      </c>
      <c r="M1640">
        <v>6</v>
      </c>
      <c r="N1640">
        <v>4</v>
      </c>
      <c r="O1640">
        <v>0</v>
      </c>
      <c r="P1640">
        <v>1</v>
      </c>
      <c r="Q1640">
        <v>0</v>
      </c>
      <c r="R1640">
        <v>0</v>
      </c>
      <c r="S1640">
        <v>1</v>
      </c>
      <c r="T1640" t="str">
        <f>IF(mental_health[Sleep_Hours]&lt;5,"Low",IF(mental_health[Sleep_Hours]&lt;7,"Medium","Good"))</f>
        <v>Low</v>
      </c>
      <c r="U1640" t="str">
        <f>IF(mental_health[Stress_Level]&lt;=3,"Low",IF(mental_health[Stress_Level]&lt;=7,"Medium","High"))</f>
        <v>Low</v>
      </c>
      <c r="V1640" t="str">
        <f>IF(mental_health[Daily_Screen_Time]&lt;=4,"Low",IF(mental_health[Daily_Screen_Time]&lt;=8,"Medium","High"))</f>
        <v>Medium</v>
      </c>
    </row>
    <row r="1641" spans="1:22" x14ac:dyDescent="0.3">
      <c r="A1641">
        <v>1640</v>
      </c>
      <c r="B1641">
        <v>26</v>
      </c>
      <c r="C1641" t="s">
        <v>18</v>
      </c>
      <c r="D1641" t="s">
        <v>24</v>
      </c>
      <c r="E1641">
        <v>5.9</v>
      </c>
      <c r="F1641">
        <v>3.8</v>
      </c>
      <c r="G1641">
        <v>0</v>
      </c>
      <c r="H1641" t="str">
        <f t="shared" si="25"/>
        <v>No Night Usage</v>
      </c>
      <c r="I1641">
        <v>5.2</v>
      </c>
      <c r="J1641" s="3">
        <v>6</v>
      </c>
      <c r="K1641">
        <v>5.2</v>
      </c>
      <c r="L1641" t="s">
        <v>21</v>
      </c>
      <c r="M1641">
        <v>5</v>
      </c>
      <c r="N1641">
        <v>4</v>
      </c>
      <c r="O1641">
        <v>1</v>
      </c>
      <c r="P1641">
        <v>1</v>
      </c>
      <c r="Q1641">
        <v>1</v>
      </c>
      <c r="R1641">
        <v>0</v>
      </c>
      <c r="S1641">
        <v>0</v>
      </c>
      <c r="T1641" t="str">
        <f>IF(mental_health[Sleep_Hours]&lt;5,"Low",IF(mental_health[Sleep_Hours]&lt;7,"Medium","Good"))</f>
        <v>Medium</v>
      </c>
      <c r="U1641" t="str">
        <f>IF(mental_health[Stress_Level]&lt;=3,"Low",IF(mental_health[Stress_Level]&lt;=7,"Medium","High"))</f>
        <v>Medium</v>
      </c>
      <c r="V1641" t="str">
        <f>IF(mental_health[Daily_Screen_Time]&lt;=4,"Low",IF(mental_health[Daily_Screen_Time]&lt;=8,"Medium","High"))</f>
        <v>Medium</v>
      </c>
    </row>
    <row r="1642" spans="1:22" x14ac:dyDescent="0.3">
      <c r="A1642">
        <v>1641</v>
      </c>
      <c r="B1642">
        <v>47</v>
      </c>
      <c r="C1642" t="s">
        <v>23</v>
      </c>
      <c r="D1642" t="s">
        <v>19</v>
      </c>
      <c r="E1642">
        <v>11.8</v>
      </c>
      <c r="F1642">
        <v>2.6</v>
      </c>
      <c r="G1642">
        <v>0</v>
      </c>
      <c r="H1642" t="str">
        <f t="shared" si="25"/>
        <v>No Night Usage</v>
      </c>
      <c r="I1642">
        <v>3.1</v>
      </c>
      <c r="J1642" s="3">
        <v>4</v>
      </c>
      <c r="K1642">
        <v>6.2</v>
      </c>
      <c r="L1642" t="s">
        <v>20</v>
      </c>
      <c r="M1642">
        <v>6</v>
      </c>
      <c r="N1642">
        <v>3</v>
      </c>
      <c r="O1642">
        <v>1</v>
      </c>
      <c r="P1642">
        <v>0</v>
      </c>
      <c r="Q1642">
        <v>0</v>
      </c>
      <c r="R1642">
        <v>0</v>
      </c>
      <c r="S1642">
        <v>0</v>
      </c>
      <c r="T1642" t="str">
        <f>IF(mental_health[Sleep_Hours]&lt;5,"Low",IF(mental_health[Sleep_Hours]&lt;7,"Medium","Good"))</f>
        <v>Low</v>
      </c>
      <c r="U1642" t="str">
        <f>IF(mental_health[Stress_Level]&lt;=3,"Low",IF(mental_health[Stress_Level]&lt;=7,"Medium","High"))</f>
        <v>Medium</v>
      </c>
      <c r="V1642" t="str">
        <f>IF(mental_health[Daily_Screen_Time]&lt;=4,"Low",IF(mental_health[Daily_Screen_Time]&lt;=8,"Medium","High"))</f>
        <v>High</v>
      </c>
    </row>
    <row r="1643" spans="1:22" x14ac:dyDescent="0.3">
      <c r="A1643">
        <v>1642</v>
      </c>
      <c r="B1643">
        <v>17</v>
      </c>
      <c r="C1643" t="s">
        <v>18</v>
      </c>
      <c r="D1643" t="s">
        <v>19</v>
      </c>
      <c r="E1643">
        <v>11.5</v>
      </c>
      <c r="F1643">
        <v>2.8</v>
      </c>
      <c r="G1643">
        <v>0</v>
      </c>
      <c r="H1643" t="str">
        <f t="shared" si="25"/>
        <v>No Night Usage</v>
      </c>
      <c r="I1643">
        <v>6.1</v>
      </c>
      <c r="J1643" s="3">
        <v>9</v>
      </c>
      <c r="K1643">
        <v>7.9</v>
      </c>
      <c r="L1643" t="s">
        <v>21</v>
      </c>
      <c r="M1643">
        <v>4</v>
      </c>
      <c r="N1643">
        <v>2</v>
      </c>
      <c r="O1643">
        <v>1</v>
      </c>
      <c r="P1643">
        <v>0</v>
      </c>
      <c r="Q1643">
        <v>1</v>
      </c>
      <c r="R1643">
        <v>1</v>
      </c>
      <c r="S1643">
        <v>0</v>
      </c>
      <c r="T1643" t="str">
        <f>IF(mental_health[Sleep_Hours]&lt;5,"Low",IF(mental_health[Sleep_Hours]&lt;7,"Medium","Good"))</f>
        <v>Medium</v>
      </c>
      <c r="U1643" t="str">
        <f>IF(mental_health[Stress_Level]&lt;=3,"Low",IF(mental_health[Stress_Level]&lt;=7,"Medium","High"))</f>
        <v>High</v>
      </c>
      <c r="V1643" t="str">
        <f>IF(mental_health[Daily_Screen_Time]&lt;=4,"Low",IF(mental_health[Daily_Screen_Time]&lt;=8,"Medium","High"))</f>
        <v>High</v>
      </c>
    </row>
    <row r="1644" spans="1:22" x14ac:dyDescent="0.3">
      <c r="A1644">
        <v>1643</v>
      </c>
      <c r="B1644">
        <v>29</v>
      </c>
      <c r="C1644" t="s">
        <v>18</v>
      </c>
      <c r="D1644" t="s">
        <v>19</v>
      </c>
      <c r="E1644">
        <v>10</v>
      </c>
      <c r="F1644">
        <v>4.4000000000000004</v>
      </c>
      <c r="G1644">
        <v>0</v>
      </c>
      <c r="H1644" t="str">
        <f t="shared" si="25"/>
        <v>No Night Usage</v>
      </c>
      <c r="I1644">
        <v>6</v>
      </c>
      <c r="J1644" s="3">
        <v>10</v>
      </c>
      <c r="K1644">
        <v>10.6</v>
      </c>
      <c r="L1644" t="s">
        <v>20</v>
      </c>
      <c r="M1644">
        <v>3</v>
      </c>
      <c r="N1644">
        <v>1</v>
      </c>
      <c r="O1644">
        <v>1</v>
      </c>
      <c r="P1644">
        <v>1</v>
      </c>
      <c r="Q1644">
        <v>1</v>
      </c>
      <c r="R1644">
        <v>1</v>
      </c>
      <c r="S1644">
        <v>1</v>
      </c>
      <c r="T1644" t="str">
        <f>IF(mental_health[Sleep_Hours]&lt;5,"Low",IF(mental_health[Sleep_Hours]&lt;7,"Medium","Good"))</f>
        <v>Medium</v>
      </c>
      <c r="U1644" t="str">
        <f>IF(mental_health[Stress_Level]&lt;=3,"Low",IF(mental_health[Stress_Level]&lt;=7,"Medium","High"))</f>
        <v>High</v>
      </c>
      <c r="V1644" t="str">
        <f>IF(mental_health[Daily_Screen_Time]&lt;=4,"Low",IF(mental_health[Daily_Screen_Time]&lt;=8,"Medium","High"))</f>
        <v>High</v>
      </c>
    </row>
    <row r="1645" spans="1:22" x14ac:dyDescent="0.3">
      <c r="A1645">
        <v>1644</v>
      </c>
      <c r="B1645">
        <v>35</v>
      </c>
      <c r="C1645" t="s">
        <v>18</v>
      </c>
      <c r="D1645" t="s">
        <v>22</v>
      </c>
      <c r="E1645">
        <v>4.4000000000000004</v>
      </c>
      <c r="F1645">
        <v>3.6</v>
      </c>
      <c r="G1645">
        <v>1</v>
      </c>
      <c r="H1645" t="str">
        <f t="shared" si="25"/>
        <v>Night Usage</v>
      </c>
      <c r="I1645">
        <v>6.2</v>
      </c>
      <c r="J1645" s="3">
        <v>2</v>
      </c>
      <c r="K1645">
        <v>3.6</v>
      </c>
      <c r="L1645" t="s">
        <v>20</v>
      </c>
      <c r="M1645">
        <v>1</v>
      </c>
      <c r="N1645">
        <v>1</v>
      </c>
      <c r="O1645">
        <v>1</v>
      </c>
      <c r="P1645">
        <v>1</v>
      </c>
      <c r="Q1645">
        <v>0</v>
      </c>
      <c r="R1645">
        <v>1</v>
      </c>
      <c r="S1645">
        <v>1</v>
      </c>
      <c r="T1645" t="str">
        <f>IF(mental_health[Sleep_Hours]&lt;5,"Low",IF(mental_health[Sleep_Hours]&lt;7,"Medium","Good"))</f>
        <v>Medium</v>
      </c>
      <c r="U1645" t="str">
        <f>IF(mental_health[Stress_Level]&lt;=3,"Low",IF(mental_health[Stress_Level]&lt;=7,"Medium","High"))</f>
        <v>Low</v>
      </c>
      <c r="V1645" t="str">
        <f>IF(mental_health[Daily_Screen_Time]&lt;=4,"Low",IF(mental_health[Daily_Screen_Time]&lt;=8,"Medium","High"))</f>
        <v>Medium</v>
      </c>
    </row>
    <row r="1646" spans="1:22" x14ac:dyDescent="0.3">
      <c r="A1646">
        <v>1645</v>
      </c>
      <c r="B1646">
        <v>37</v>
      </c>
      <c r="C1646" t="s">
        <v>18</v>
      </c>
      <c r="D1646" t="s">
        <v>24</v>
      </c>
      <c r="E1646">
        <v>2.7</v>
      </c>
      <c r="F1646">
        <v>7.4</v>
      </c>
      <c r="G1646">
        <v>0</v>
      </c>
      <c r="H1646" t="str">
        <f t="shared" si="25"/>
        <v>No Night Usage</v>
      </c>
      <c r="I1646">
        <v>8.8000000000000007</v>
      </c>
      <c r="J1646" s="3">
        <v>8</v>
      </c>
      <c r="K1646">
        <v>2.2000000000000002</v>
      </c>
      <c r="L1646" t="s">
        <v>20</v>
      </c>
      <c r="M1646">
        <v>1</v>
      </c>
      <c r="N1646">
        <v>3</v>
      </c>
      <c r="O1646">
        <v>0</v>
      </c>
      <c r="P1646">
        <v>0</v>
      </c>
      <c r="Q1646">
        <v>1</v>
      </c>
      <c r="R1646">
        <v>1</v>
      </c>
      <c r="S1646">
        <v>1</v>
      </c>
      <c r="T1646" t="str">
        <f>IF(mental_health[Sleep_Hours]&lt;5,"Low",IF(mental_health[Sleep_Hours]&lt;7,"Medium","Good"))</f>
        <v>Good</v>
      </c>
      <c r="U1646" t="str">
        <f>IF(mental_health[Stress_Level]&lt;=3,"Low",IF(mental_health[Stress_Level]&lt;=7,"Medium","High"))</f>
        <v>High</v>
      </c>
      <c r="V1646" t="str">
        <f>IF(mental_health[Daily_Screen_Time]&lt;=4,"Low",IF(mental_health[Daily_Screen_Time]&lt;=8,"Medium","High"))</f>
        <v>Low</v>
      </c>
    </row>
    <row r="1647" spans="1:22" x14ac:dyDescent="0.3">
      <c r="A1647">
        <v>1646</v>
      </c>
      <c r="B1647">
        <v>26</v>
      </c>
      <c r="C1647" t="s">
        <v>23</v>
      </c>
      <c r="D1647" t="s">
        <v>19</v>
      </c>
      <c r="E1647">
        <v>5.2</v>
      </c>
      <c r="F1647">
        <v>3.6</v>
      </c>
      <c r="G1647">
        <v>1</v>
      </c>
      <c r="H1647" t="str">
        <f t="shared" si="25"/>
        <v>Night Usage</v>
      </c>
      <c r="I1647">
        <v>8.5</v>
      </c>
      <c r="J1647" s="3">
        <v>1</v>
      </c>
      <c r="K1647">
        <v>6.5</v>
      </c>
      <c r="L1647" t="s">
        <v>21</v>
      </c>
      <c r="M1647">
        <v>6</v>
      </c>
      <c r="N1647">
        <v>4</v>
      </c>
      <c r="O1647">
        <v>0</v>
      </c>
      <c r="P1647">
        <v>0</v>
      </c>
      <c r="Q1647">
        <v>0</v>
      </c>
      <c r="R1647">
        <v>0</v>
      </c>
      <c r="S1647">
        <v>0</v>
      </c>
      <c r="T1647" t="str">
        <f>IF(mental_health[Sleep_Hours]&lt;5,"Low",IF(mental_health[Sleep_Hours]&lt;7,"Medium","Good"))</f>
        <v>Good</v>
      </c>
      <c r="U1647" t="str">
        <f>IF(mental_health[Stress_Level]&lt;=3,"Low",IF(mental_health[Stress_Level]&lt;=7,"Medium","High"))</f>
        <v>Low</v>
      </c>
      <c r="V1647" t="str">
        <f>IF(mental_health[Daily_Screen_Time]&lt;=4,"Low",IF(mental_health[Daily_Screen_Time]&lt;=8,"Medium","High"))</f>
        <v>Medium</v>
      </c>
    </row>
    <row r="1648" spans="1:22" x14ac:dyDescent="0.3">
      <c r="A1648">
        <v>1647</v>
      </c>
      <c r="B1648">
        <v>42</v>
      </c>
      <c r="C1648" t="s">
        <v>23</v>
      </c>
      <c r="D1648" t="s">
        <v>22</v>
      </c>
      <c r="E1648">
        <v>4.7</v>
      </c>
      <c r="F1648">
        <v>3.6</v>
      </c>
      <c r="G1648">
        <v>0</v>
      </c>
      <c r="H1648" t="str">
        <f t="shared" si="25"/>
        <v>No Night Usage</v>
      </c>
      <c r="I1648">
        <v>4</v>
      </c>
      <c r="J1648" s="3">
        <v>6</v>
      </c>
      <c r="K1648">
        <v>6.3</v>
      </c>
      <c r="L1648" t="s">
        <v>21</v>
      </c>
      <c r="M1648">
        <v>9</v>
      </c>
      <c r="N1648">
        <v>2</v>
      </c>
      <c r="O1648">
        <v>0</v>
      </c>
      <c r="P1648">
        <v>0</v>
      </c>
      <c r="Q1648">
        <v>0</v>
      </c>
      <c r="R1648">
        <v>1</v>
      </c>
      <c r="S1648">
        <v>1</v>
      </c>
      <c r="T1648" t="str">
        <f>IF(mental_health[Sleep_Hours]&lt;5,"Low",IF(mental_health[Sleep_Hours]&lt;7,"Medium","Good"))</f>
        <v>Low</v>
      </c>
      <c r="U1648" t="str">
        <f>IF(mental_health[Stress_Level]&lt;=3,"Low",IF(mental_health[Stress_Level]&lt;=7,"Medium","High"))</f>
        <v>Medium</v>
      </c>
      <c r="V1648" t="str">
        <f>IF(mental_health[Daily_Screen_Time]&lt;=4,"Low",IF(mental_health[Daily_Screen_Time]&lt;=8,"Medium","High"))</f>
        <v>Medium</v>
      </c>
    </row>
    <row r="1649" spans="1:22" x14ac:dyDescent="0.3">
      <c r="A1649">
        <v>1648</v>
      </c>
      <c r="B1649">
        <v>18</v>
      </c>
      <c r="C1649" t="s">
        <v>23</v>
      </c>
      <c r="D1649" t="s">
        <v>19</v>
      </c>
      <c r="E1649">
        <v>7.1</v>
      </c>
      <c r="F1649">
        <v>3.7</v>
      </c>
      <c r="G1649">
        <v>1</v>
      </c>
      <c r="H1649" t="str">
        <f t="shared" si="25"/>
        <v>Night Usage</v>
      </c>
      <c r="I1649">
        <v>5.2</v>
      </c>
      <c r="J1649" s="3">
        <v>10</v>
      </c>
      <c r="K1649">
        <v>7.5</v>
      </c>
      <c r="L1649" t="s">
        <v>20</v>
      </c>
      <c r="M1649">
        <v>8</v>
      </c>
      <c r="N1649">
        <v>0</v>
      </c>
      <c r="O1649">
        <v>0</v>
      </c>
      <c r="P1649">
        <v>1</v>
      </c>
      <c r="Q1649">
        <v>0</v>
      </c>
      <c r="R1649">
        <v>1</v>
      </c>
      <c r="S1649">
        <v>1</v>
      </c>
      <c r="T1649" t="str">
        <f>IF(mental_health[Sleep_Hours]&lt;5,"Low",IF(mental_health[Sleep_Hours]&lt;7,"Medium","Good"))</f>
        <v>Medium</v>
      </c>
      <c r="U1649" t="str">
        <f>IF(mental_health[Stress_Level]&lt;=3,"Low",IF(mental_health[Stress_Level]&lt;=7,"Medium","High"))</f>
        <v>High</v>
      </c>
      <c r="V1649" t="str">
        <f>IF(mental_health[Daily_Screen_Time]&lt;=4,"Low",IF(mental_health[Daily_Screen_Time]&lt;=8,"Medium","High"))</f>
        <v>Medium</v>
      </c>
    </row>
    <row r="1650" spans="1:22" x14ac:dyDescent="0.3">
      <c r="A1650">
        <v>1649</v>
      </c>
      <c r="B1650">
        <v>32</v>
      </c>
      <c r="C1650" t="s">
        <v>18</v>
      </c>
      <c r="D1650" t="s">
        <v>19</v>
      </c>
      <c r="E1650">
        <v>9.8000000000000007</v>
      </c>
      <c r="F1650">
        <v>6.9</v>
      </c>
      <c r="G1650">
        <v>0</v>
      </c>
      <c r="H1650" t="str">
        <f t="shared" si="25"/>
        <v>No Night Usage</v>
      </c>
      <c r="I1650">
        <v>5.5</v>
      </c>
      <c r="J1650" s="3">
        <v>1</v>
      </c>
      <c r="K1650">
        <v>10.3</v>
      </c>
      <c r="L1650" t="s">
        <v>21</v>
      </c>
      <c r="M1650">
        <v>2</v>
      </c>
      <c r="N1650">
        <v>0</v>
      </c>
      <c r="O1650">
        <v>0</v>
      </c>
      <c r="P1650">
        <v>1</v>
      </c>
      <c r="Q1650">
        <v>0</v>
      </c>
      <c r="R1650">
        <v>0</v>
      </c>
      <c r="S1650">
        <v>0</v>
      </c>
      <c r="T1650" t="str">
        <f>IF(mental_health[Sleep_Hours]&lt;5,"Low",IF(mental_health[Sleep_Hours]&lt;7,"Medium","Good"))</f>
        <v>Medium</v>
      </c>
      <c r="U1650" t="str">
        <f>IF(mental_health[Stress_Level]&lt;=3,"Low",IF(mental_health[Stress_Level]&lt;=7,"Medium","High"))</f>
        <v>Low</v>
      </c>
      <c r="V1650" t="str">
        <f>IF(mental_health[Daily_Screen_Time]&lt;=4,"Low",IF(mental_health[Daily_Screen_Time]&lt;=8,"Medium","High"))</f>
        <v>High</v>
      </c>
    </row>
    <row r="1651" spans="1:22" x14ac:dyDescent="0.3">
      <c r="A1651">
        <v>1650</v>
      </c>
      <c r="B1651">
        <v>59</v>
      </c>
      <c r="C1651" t="s">
        <v>23</v>
      </c>
      <c r="D1651" t="s">
        <v>24</v>
      </c>
      <c r="E1651">
        <v>10.6</v>
      </c>
      <c r="F1651">
        <v>5.6</v>
      </c>
      <c r="G1651">
        <v>1</v>
      </c>
      <c r="H1651" t="str">
        <f t="shared" si="25"/>
        <v>Night Usage</v>
      </c>
      <c r="I1651">
        <v>5.2</v>
      </c>
      <c r="J1651" s="3">
        <v>2</v>
      </c>
      <c r="K1651">
        <v>10</v>
      </c>
      <c r="L1651" t="s">
        <v>20</v>
      </c>
      <c r="M1651">
        <v>9</v>
      </c>
      <c r="N1651">
        <v>3</v>
      </c>
      <c r="O1651">
        <v>1</v>
      </c>
      <c r="P1651">
        <v>1</v>
      </c>
      <c r="Q1651">
        <v>0</v>
      </c>
      <c r="R1651">
        <v>0</v>
      </c>
      <c r="S1651">
        <v>0</v>
      </c>
      <c r="T1651" t="str">
        <f>IF(mental_health[Sleep_Hours]&lt;5,"Low",IF(mental_health[Sleep_Hours]&lt;7,"Medium","Good"))</f>
        <v>Medium</v>
      </c>
      <c r="U1651" t="str">
        <f>IF(mental_health[Stress_Level]&lt;=3,"Low",IF(mental_health[Stress_Level]&lt;=7,"Medium","High"))</f>
        <v>Low</v>
      </c>
      <c r="V1651" t="str">
        <f>IF(mental_health[Daily_Screen_Time]&lt;=4,"Low",IF(mental_health[Daily_Screen_Time]&lt;=8,"Medium","High"))</f>
        <v>High</v>
      </c>
    </row>
    <row r="1652" spans="1:22" x14ac:dyDescent="0.3">
      <c r="A1652">
        <v>1651</v>
      </c>
      <c r="B1652">
        <v>43</v>
      </c>
      <c r="C1652" t="s">
        <v>23</v>
      </c>
      <c r="D1652" t="s">
        <v>22</v>
      </c>
      <c r="E1652">
        <v>10.4</v>
      </c>
      <c r="F1652">
        <v>5.3</v>
      </c>
      <c r="G1652">
        <v>0</v>
      </c>
      <c r="H1652" t="str">
        <f t="shared" si="25"/>
        <v>No Night Usage</v>
      </c>
      <c r="I1652">
        <v>7.8</v>
      </c>
      <c r="J1652" s="3">
        <v>3</v>
      </c>
      <c r="K1652">
        <v>3</v>
      </c>
      <c r="L1652" t="s">
        <v>25</v>
      </c>
      <c r="M1652">
        <v>8</v>
      </c>
      <c r="N1652">
        <v>2</v>
      </c>
      <c r="O1652">
        <v>0</v>
      </c>
      <c r="P1652">
        <v>0</v>
      </c>
      <c r="Q1652">
        <v>0</v>
      </c>
      <c r="R1652">
        <v>0</v>
      </c>
      <c r="S1652">
        <v>0</v>
      </c>
      <c r="T1652" t="str">
        <f>IF(mental_health[Sleep_Hours]&lt;5,"Low",IF(mental_health[Sleep_Hours]&lt;7,"Medium","Good"))</f>
        <v>Good</v>
      </c>
      <c r="U1652" t="str">
        <f>IF(mental_health[Stress_Level]&lt;=3,"Low",IF(mental_health[Stress_Level]&lt;=7,"Medium","High"))</f>
        <v>Low</v>
      </c>
      <c r="V1652" t="str">
        <f>IF(mental_health[Daily_Screen_Time]&lt;=4,"Low",IF(mental_health[Daily_Screen_Time]&lt;=8,"Medium","High"))</f>
        <v>High</v>
      </c>
    </row>
    <row r="1653" spans="1:22" x14ac:dyDescent="0.3">
      <c r="A1653">
        <v>1652</v>
      </c>
      <c r="B1653">
        <v>44</v>
      </c>
      <c r="C1653" t="s">
        <v>18</v>
      </c>
      <c r="D1653" t="s">
        <v>24</v>
      </c>
      <c r="E1653">
        <v>5.6</v>
      </c>
      <c r="F1653">
        <v>3.3</v>
      </c>
      <c r="G1653">
        <v>0</v>
      </c>
      <c r="H1653" t="str">
        <f t="shared" si="25"/>
        <v>No Night Usage</v>
      </c>
      <c r="I1653">
        <v>6.1</v>
      </c>
      <c r="J1653" s="3">
        <v>9</v>
      </c>
      <c r="K1653">
        <v>11.3</v>
      </c>
      <c r="L1653" t="s">
        <v>21</v>
      </c>
      <c r="M1653">
        <v>9</v>
      </c>
      <c r="N1653">
        <v>0</v>
      </c>
      <c r="O1653">
        <v>1</v>
      </c>
      <c r="P1653">
        <v>1</v>
      </c>
      <c r="Q1653">
        <v>1</v>
      </c>
      <c r="R1653">
        <v>0</v>
      </c>
      <c r="S1653">
        <v>0</v>
      </c>
      <c r="T1653" t="str">
        <f>IF(mental_health[Sleep_Hours]&lt;5,"Low",IF(mental_health[Sleep_Hours]&lt;7,"Medium","Good"))</f>
        <v>Medium</v>
      </c>
      <c r="U1653" t="str">
        <f>IF(mental_health[Stress_Level]&lt;=3,"Low",IF(mental_health[Stress_Level]&lt;=7,"Medium","High"))</f>
        <v>High</v>
      </c>
      <c r="V1653" t="str">
        <f>IF(mental_health[Daily_Screen_Time]&lt;=4,"Low",IF(mental_health[Daily_Screen_Time]&lt;=8,"Medium","High"))</f>
        <v>Medium</v>
      </c>
    </row>
    <row r="1654" spans="1:22" x14ac:dyDescent="0.3">
      <c r="A1654">
        <v>1653</v>
      </c>
      <c r="B1654">
        <v>36</v>
      </c>
      <c r="C1654" t="s">
        <v>18</v>
      </c>
      <c r="D1654" t="s">
        <v>24</v>
      </c>
      <c r="E1654">
        <v>8.9</v>
      </c>
      <c r="F1654">
        <v>6.7</v>
      </c>
      <c r="G1654">
        <v>0</v>
      </c>
      <c r="H1654" t="str">
        <f t="shared" si="25"/>
        <v>No Night Usage</v>
      </c>
      <c r="I1654">
        <v>6.4</v>
      </c>
      <c r="J1654" s="3">
        <v>5</v>
      </c>
      <c r="K1654">
        <v>3.1</v>
      </c>
      <c r="L1654" t="s">
        <v>21</v>
      </c>
      <c r="M1654">
        <v>4</v>
      </c>
      <c r="N1654">
        <v>0</v>
      </c>
      <c r="O1654">
        <v>0</v>
      </c>
      <c r="P1654">
        <v>1</v>
      </c>
      <c r="Q1654">
        <v>1</v>
      </c>
      <c r="R1654">
        <v>0</v>
      </c>
      <c r="S1654">
        <v>0</v>
      </c>
      <c r="T1654" t="str">
        <f>IF(mental_health[Sleep_Hours]&lt;5,"Low",IF(mental_health[Sleep_Hours]&lt;7,"Medium","Good"))</f>
        <v>Medium</v>
      </c>
      <c r="U1654" t="str">
        <f>IF(mental_health[Stress_Level]&lt;=3,"Low",IF(mental_health[Stress_Level]&lt;=7,"Medium","High"))</f>
        <v>Medium</v>
      </c>
      <c r="V1654" t="str">
        <f>IF(mental_health[Daily_Screen_Time]&lt;=4,"Low",IF(mental_health[Daily_Screen_Time]&lt;=8,"Medium","High"))</f>
        <v>High</v>
      </c>
    </row>
    <row r="1655" spans="1:22" x14ac:dyDescent="0.3">
      <c r="A1655">
        <v>1654</v>
      </c>
      <c r="B1655">
        <v>31</v>
      </c>
      <c r="C1655" t="s">
        <v>23</v>
      </c>
      <c r="D1655" t="s">
        <v>19</v>
      </c>
      <c r="E1655">
        <v>5.0999999999999996</v>
      </c>
      <c r="F1655">
        <v>1.3</v>
      </c>
      <c r="G1655">
        <v>0</v>
      </c>
      <c r="H1655" t="str">
        <f t="shared" si="25"/>
        <v>No Night Usage</v>
      </c>
      <c r="I1655">
        <v>8.1</v>
      </c>
      <c r="J1655" s="3">
        <v>10</v>
      </c>
      <c r="K1655">
        <v>8.3000000000000007</v>
      </c>
      <c r="L1655" t="s">
        <v>25</v>
      </c>
      <c r="M1655">
        <v>9</v>
      </c>
      <c r="N1655">
        <v>1</v>
      </c>
      <c r="O1655">
        <v>0</v>
      </c>
      <c r="P1655">
        <v>1</v>
      </c>
      <c r="Q1655">
        <v>0</v>
      </c>
      <c r="R1655">
        <v>1</v>
      </c>
      <c r="S1655">
        <v>0</v>
      </c>
      <c r="T1655" t="str">
        <f>IF(mental_health[Sleep_Hours]&lt;5,"Low",IF(mental_health[Sleep_Hours]&lt;7,"Medium","Good"))</f>
        <v>Good</v>
      </c>
      <c r="U1655" t="str">
        <f>IF(mental_health[Stress_Level]&lt;=3,"Low",IF(mental_health[Stress_Level]&lt;=7,"Medium","High"))</f>
        <v>High</v>
      </c>
      <c r="V1655" t="str">
        <f>IF(mental_health[Daily_Screen_Time]&lt;=4,"Low",IF(mental_health[Daily_Screen_Time]&lt;=8,"Medium","High"))</f>
        <v>Medium</v>
      </c>
    </row>
    <row r="1656" spans="1:22" x14ac:dyDescent="0.3">
      <c r="A1656">
        <v>1655</v>
      </c>
      <c r="B1656">
        <v>52</v>
      </c>
      <c r="C1656" t="s">
        <v>18</v>
      </c>
      <c r="D1656" t="s">
        <v>24</v>
      </c>
      <c r="E1656">
        <v>2.6</v>
      </c>
      <c r="F1656">
        <v>7.1</v>
      </c>
      <c r="G1656">
        <v>1</v>
      </c>
      <c r="H1656" t="str">
        <f t="shared" si="25"/>
        <v>Night Usage</v>
      </c>
      <c r="I1656">
        <v>7.8</v>
      </c>
      <c r="J1656" s="3">
        <v>10</v>
      </c>
      <c r="K1656">
        <v>8.6999999999999993</v>
      </c>
      <c r="L1656" t="s">
        <v>25</v>
      </c>
      <c r="M1656">
        <v>2</v>
      </c>
      <c r="N1656">
        <v>2</v>
      </c>
      <c r="O1656">
        <v>1</v>
      </c>
      <c r="P1656">
        <v>1</v>
      </c>
      <c r="Q1656">
        <v>0</v>
      </c>
      <c r="R1656">
        <v>0</v>
      </c>
      <c r="S1656">
        <v>1</v>
      </c>
      <c r="T1656" t="str">
        <f>IF(mental_health[Sleep_Hours]&lt;5,"Low",IF(mental_health[Sleep_Hours]&lt;7,"Medium","Good"))</f>
        <v>Good</v>
      </c>
      <c r="U1656" t="str">
        <f>IF(mental_health[Stress_Level]&lt;=3,"Low",IF(mental_health[Stress_Level]&lt;=7,"Medium","High"))</f>
        <v>High</v>
      </c>
      <c r="V1656" t="str">
        <f>IF(mental_health[Daily_Screen_Time]&lt;=4,"Low",IF(mental_health[Daily_Screen_Time]&lt;=8,"Medium","High"))</f>
        <v>Low</v>
      </c>
    </row>
    <row r="1657" spans="1:22" x14ac:dyDescent="0.3">
      <c r="A1657">
        <v>1656</v>
      </c>
      <c r="B1657">
        <v>35</v>
      </c>
      <c r="C1657" t="s">
        <v>18</v>
      </c>
      <c r="D1657" t="s">
        <v>22</v>
      </c>
      <c r="E1657">
        <v>9</v>
      </c>
      <c r="F1657">
        <v>4.5999999999999996</v>
      </c>
      <c r="G1657">
        <v>1</v>
      </c>
      <c r="H1657" t="str">
        <f t="shared" si="25"/>
        <v>Night Usage</v>
      </c>
      <c r="I1657">
        <v>3.8</v>
      </c>
      <c r="J1657" s="3">
        <v>2</v>
      </c>
      <c r="K1657">
        <v>8.8000000000000007</v>
      </c>
      <c r="L1657" t="s">
        <v>25</v>
      </c>
      <c r="M1657">
        <v>1</v>
      </c>
      <c r="N1657">
        <v>0</v>
      </c>
      <c r="O1657">
        <v>0</v>
      </c>
      <c r="P1657">
        <v>1</v>
      </c>
      <c r="Q1657">
        <v>1</v>
      </c>
      <c r="R1657">
        <v>0</v>
      </c>
      <c r="S1657">
        <v>1</v>
      </c>
      <c r="T1657" t="str">
        <f>IF(mental_health[Sleep_Hours]&lt;5,"Low",IF(mental_health[Sleep_Hours]&lt;7,"Medium","Good"))</f>
        <v>Low</v>
      </c>
      <c r="U1657" t="str">
        <f>IF(mental_health[Stress_Level]&lt;=3,"Low",IF(mental_health[Stress_Level]&lt;=7,"Medium","High"))</f>
        <v>Low</v>
      </c>
      <c r="V1657" t="str">
        <f>IF(mental_health[Daily_Screen_Time]&lt;=4,"Low",IF(mental_health[Daily_Screen_Time]&lt;=8,"Medium","High"))</f>
        <v>High</v>
      </c>
    </row>
    <row r="1658" spans="1:22" x14ac:dyDescent="0.3">
      <c r="A1658">
        <v>1657</v>
      </c>
      <c r="B1658">
        <v>21</v>
      </c>
      <c r="C1658" t="s">
        <v>18</v>
      </c>
      <c r="D1658" t="s">
        <v>24</v>
      </c>
      <c r="E1658">
        <v>2.1</v>
      </c>
      <c r="F1658">
        <v>3.8</v>
      </c>
      <c r="G1658">
        <v>0</v>
      </c>
      <c r="H1658" t="str">
        <f t="shared" si="25"/>
        <v>No Night Usage</v>
      </c>
      <c r="I1658">
        <v>7.3</v>
      </c>
      <c r="J1658" s="3">
        <v>10</v>
      </c>
      <c r="K1658">
        <v>4.7</v>
      </c>
      <c r="L1658" t="s">
        <v>20</v>
      </c>
      <c r="M1658">
        <v>9</v>
      </c>
      <c r="N1658">
        <v>1</v>
      </c>
      <c r="O1658">
        <v>0</v>
      </c>
      <c r="P1658">
        <v>1</v>
      </c>
      <c r="Q1658">
        <v>1</v>
      </c>
      <c r="R1658">
        <v>0</v>
      </c>
      <c r="S1658">
        <v>0</v>
      </c>
      <c r="T1658" t="str">
        <f>IF(mental_health[Sleep_Hours]&lt;5,"Low",IF(mental_health[Sleep_Hours]&lt;7,"Medium","Good"))</f>
        <v>Good</v>
      </c>
      <c r="U1658" t="str">
        <f>IF(mental_health[Stress_Level]&lt;=3,"Low",IF(mental_health[Stress_Level]&lt;=7,"Medium","High"))</f>
        <v>High</v>
      </c>
      <c r="V1658" t="str">
        <f>IF(mental_health[Daily_Screen_Time]&lt;=4,"Low",IF(mental_health[Daily_Screen_Time]&lt;=8,"Medium","High"))</f>
        <v>Low</v>
      </c>
    </row>
    <row r="1659" spans="1:22" x14ac:dyDescent="0.3">
      <c r="A1659">
        <v>1658</v>
      </c>
      <c r="B1659">
        <v>34</v>
      </c>
      <c r="C1659" t="s">
        <v>18</v>
      </c>
      <c r="D1659" t="s">
        <v>24</v>
      </c>
      <c r="E1659">
        <v>6.1</v>
      </c>
      <c r="F1659">
        <v>4.5</v>
      </c>
      <c r="G1659">
        <v>1</v>
      </c>
      <c r="H1659" t="str">
        <f t="shared" si="25"/>
        <v>Night Usage</v>
      </c>
      <c r="I1659">
        <v>5.6</v>
      </c>
      <c r="J1659" s="3">
        <v>5</v>
      </c>
      <c r="K1659">
        <v>5.3</v>
      </c>
      <c r="L1659" t="s">
        <v>20</v>
      </c>
      <c r="M1659">
        <v>10</v>
      </c>
      <c r="N1659">
        <v>2</v>
      </c>
      <c r="O1659">
        <v>0</v>
      </c>
      <c r="P1659">
        <v>0</v>
      </c>
      <c r="Q1659">
        <v>0</v>
      </c>
      <c r="R1659">
        <v>0</v>
      </c>
      <c r="S1659">
        <v>1</v>
      </c>
      <c r="T1659" t="str">
        <f>IF(mental_health[Sleep_Hours]&lt;5,"Low",IF(mental_health[Sleep_Hours]&lt;7,"Medium","Good"))</f>
        <v>Medium</v>
      </c>
      <c r="U1659" t="str">
        <f>IF(mental_health[Stress_Level]&lt;=3,"Low",IF(mental_health[Stress_Level]&lt;=7,"Medium","High"))</f>
        <v>Medium</v>
      </c>
      <c r="V1659" t="str">
        <f>IF(mental_health[Daily_Screen_Time]&lt;=4,"Low",IF(mental_health[Daily_Screen_Time]&lt;=8,"Medium","High"))</f>
        <v>Medium</v>
      </c>
    </row>
    <row r="1660" spans="1:22" x14ac:dyDescent="0.3">
      <c r="A1660">
        <v>1659</v>
      </c>
      <c r="B1660">
        <v>20</v>
      </c>
      <c r="C1660" t="s">
        <v>23</v>
      </c>
      <c r="D1660" t="s">
        <v>24</v>
      </c>
      <c r="E1660">
        <v>5.3</v>
      </c>
      <c r="F1660">
        <v>5.7</v>
      </c>
      <c r="G1660">
        <v>0</v>
      </c>
      <c r="H1660" t="str">
        <f t="shared" si="25"/>
        <v>No Night Usage</v>
      </c>
      <c r="I1660">
        <v>4.8</v>
      </c>
      <c r="J1660" s="3">
        <v>5</v>
      </c>
      <c r="K1660">
        <v>7.5</v>
      </c>
      <c r="L1660" t="s">
        <v>25</v>
      </c>
      <c r="M1660">
        <v>8</v>
      </c>
      <c r="N1660">
        <v>4</v>
      </c>
      <c r="O1660">
        <v>0</v>
      </c>
      <c r="P1660">
        <v>1</v>
      </c>
      <c r="Q1660">
        <v>0</v>
      </c>
      <c r="R1660">
        <v>1</v>
      </c>
      <c r="S1660">
        <v>0</v>
      </c>
      <c r="T1660" t="str">
        <f>IF(mental_health[Sleep_Hours]&lt;5,"Low",IF(mental_health[Sleep_Hours]&lt;7,"Medium","Good"))</f>
        <v>Low</v>
      </c>
      <c r="U1660" t="str">
        <f>IF(mental_health[Stress_Level]&lt;=3,"Low",IF(mental_health[Stress_Level]&lt;=7,"Medium","High"))</f>
        <v>Medium</v>
      </c>
      <c r="V1660" t="str">
        <f>IF(mental_health[Daily_Screen_Time]&lt;=4,"Low",IF(mental_health[Daily_Screen_Time]&lt;=8,"Medium","High"))</f>
        <v>Medium</v>
      </c>
    </row>
    <row r="1661" spans="1:22" x14ac:dyDescent="0.3">
      <c r="A1661">
        <v>1660</v>
      </c>
      <c r="B1661">
        <v>18</v>
      </c>
      <c r="C1661" t="s">
        <v>18</v>
      </c>
      <c r="D1661" t="s">
        <v>19</v>
      </c>
      <c r="E1661">
        <v>8.9</v>
      </c>
      <c r="F1661">
        <v>1.1000000000000001</v>
      </c>
      <c r="G1661">
        <v>0</v>
      </c>
      <c r="H1661" t="str">
        <f t="shared" si="25"/>
        <v>No Night Usage</v>
      </c>
      <c r="I1661">
        <v>3.3</v>
      </c>
      <c r="J1661" s="3">
        <v>1</v>
      </c>
      <c r="K1661">
        <v>4</v>
      </c>
      <c r="L1661" t="s">
        <v>20</v>
      </c>
      <c r="M1661">
        <v>7</v>
      </c>
      <c r="N1661">
        <v>2</v>
      </c>
      <c r="O1661">
        <v>1</v>
      </c>
      <c r="P1661">
        <v>0</v>
      </c>
      <c r="Q1661">
        <v>0</v>
      </c>
      <c r="R1661">
        <v>0</v>
      </c>
      <c r="S1661">
        <v>0</v>
      </c>
      <c r="T1661" t="str">
        <f>IF(mental_health[Sleep_Hours]&lt;5,"Low",IF(mental_health[Sleep_Hours]&lt;7,"Medium","Good"))</f>
        <v>Low</v>
      </c>
      <c r="U1661" t="str">
        <f>IF(mental_health[Stress_Level]&lt;=3,"Low",IF(mental_health[Stress_Level]&lt;=7,"Medium","High"))</f>
        <v>Low</v>
      </c>
      <c r="V1661" t="str">
        <f>IF(mental_health[Daily_Screen_Time]&lt;=4,"Low",IF(mental_health[Daily_Screen_Time]&lt;=8,"Medium","High"))</f>
        <v>High</v>
      </c>
    </row>
    <row r="1662" spans="1:22" x14ac:dyDescent="0.3">
      <c r="A1662">
        <v>1661</v>
      </c>
      <c r="B1662">
        <v>16</v>
      </c>
      <c r="C1662" t="s">
        <v>18</v>
      </c>
      <c r="D1662" t="s">
        <v>22</v>
      </c>
      <c r="E1662">
        <v>9.6999999999999993</v>
      </c>
      <c r="F1662">
        <v>7.1</v>
      </c>
      <c r="G1662">
        <v>1</v>
      </c>
      <c r="H1662" t="str">
        <f t="shared" si="25"/>
        <v>Night Usage</v>
      </c>
      <c r="I1662">
        <v>5.9</v>
      </c>
      <c r="J1662" s="3">
        <v>3</v>
      </c>
      <c r="K1662">
        <v>2.2000000000000002</v>
      </c>
      <c r="L1662" t="s">
        <v>21</v>
      </c>
      <c r="M1662">
        <v>8</v>
      </c>
      <c r="N1662">
        <v>3</v>
      </c>
      <c r="O1662">
        <v>0</v>
      </c>
      <c r="P1662">
        <v>0</v>
      </c>
      <c r="Q1662">
        <v>0</v>
      </c>
      <c r="R1662">
        <v>1</v>
      </c>
      <c r="S1662">
        <v>0</v>
      </c>
      <c r="T1662" t="str">
        <f>IF(mental_health[Sleep_Hours]&lt;5,"Low",IF(mental_health[Sleep_Hours]&lt;7,"Medium","Good"))</f>
        <v>Medium</v>
      </c>
      <c r="U1662" t="str">
        <f>IF(mental_health[Stress_Level]&lt;=3,"Low",IF(mental_health[Stress_Level]&lt;=7,"Medium","High"))</f>
        <v>Low</v>
      </c>
      <c r="V1662" t="str">
        <f>IF(mental_health[Daily_Screen_Time]&lt;=4,"Low",IF(mental_health[Daily_Screen_Time]&lt;=8,"Medium","High"))</f>
        <v>High</v>
      </c>
    </row>
    <row r="1663" spans="1:22" x14ac:dyDescent="0.3">
      <c r="A1663">
        <v>1662</v>
      </c>
      <c r="B1663">
        <v>53</v>
      </c>
      <c r="C1663" t="s">
        <v>18</v>
      </c>
      <c r="D1663" t="s">
        <v>19</v>
      </c>
      <c r="E1663">
        <v>5</v>
      </c>
      <c r="F1663">
        <v>4.0999999999999996</v>
      </c>
      <c r="G1663">
        <v>1</v>
      </c>
      <c r="H1663" t="str">
        <f t="shared" si="25"/>
        <v>Night Usage</v>
      </c>
      <c r="I1663">
        <v>5.0999999999999996</v>
      </c>
      <c r="J1663" s="3">
        <v>5</v>
      </c>
      <c r="K1663">
        <v>7.6</v>
      </c>
      <c r="L1663" t="s">
        <v>25</v>
      </c>
      <c r="M1663">
        <v>1</v>
      </c>
      <c r="N1663">
        <v>1</v>
      </c>
      <c r="O1663">
        <v>0</v>
      </c>
      <c r="P1663">
        <v>0</v>
      </c>
      <c r="Q1663">
        <v>1</v>
      </c>
      <c r="R1663">
        <v>0</v>
      </c>
      <c r="S1663">
        <v>1</v>
      </c>
      <c r="T1663" t="str">
        <f>IF(mental_health[Sleep_Hours]&lt;5,"Low",IF(mental_health[Sleep_Hours]&lt;7,"Medium","Good"))</f>
        <v>Medium</v>
      </c>
      <c r="U1663" t="str">
        <f>IF(mental_health[Stress_Level]&lt;=3,"Low",IF(mental_health[Stress_Level]&lt;=7,"Medium","High"))</f>
        <v>Medium</v>
      </c>
      <c r="V1663" t="str">
        <f>IF(mental_health[Daily_Screen_Time]&lt;=4,"Low",IF(mental_health[Daily_Screen_Time]&lt;=8,"Medium","High"))</f>
        <v>Medium</v>
      </c>
    </row>
    <row r="1664" spans="1:22" x14ac:dyDescent="0.3">
      <c r="A1664">
        <v>1663</v>
      </c>
      <c r="B1664">
        <v>30</v>
      </c>
      <c r="C1664" t="s">
        <v>18</v>
      </c>
      <c r="D1664" t="s">
        <v>19</v>
      </c>
      <c r="E1664">
        <v>10.1</v>
      </c>
      <c r="F1664">
        <v>3.4</v>
      </c>
      <c r="G1664">
        <v>1</v>
      </c>
      <c r="H1664" t="str">
        <f t="shared" si="25"/>
        <v>Night Usage</v>
      </c>
      <c r="I1664">
        <v>4.5</v>
      </c>
      <c r="J1664" s="3">
        <v>9</v>
      </c>
      <c r="K1664">
        <v>6.7</v>
      </c>
      <c r="L1664" t="s">
        <v>21</v>
      </c>
      <c r="M1664">
        <v>9</v>
      </c>
      <c r="N1664">
        <v>4</v>
      </c>
      <c r="O1664">
        <v>0</v>
      </c>
      <c r="P1664">
        <v>1</v>
      </c>
      <c r="Q1664">
        <v>0</v>
      </c>
      <c r="R1664">
        <v>1</v>
      </c>
      <c r="S1664">
        <v>1</v>
      </c>
      <c r="T1664" t="str">
        <f>IF(mental_health[Sleep_Hours]&lt;5,"Low",IF(mental_health[Sleep_Hours]&lt;7,"Medium","Good"))</f>
        <v>Low</v>
      </c>
      <c r="U1664" t="str">
        <f>IF(mental_health[Stress_Level]&lt;=3,"Low",IF(mental_health[Stress_Level]&lt;=7,"Medium","High"))</f>
        <v>High</v>
      </c>
      <c r="V1664" t="str">
        <f>IF(mental_health[Daily_Screen_Time]&lt;=4,"Low",IF(mental_health[Daily_Screen_Time]&lt;=8,"Medium","High"))</f>
        <v>High</v>
      </c>
    </row>
    <row r="1665" spans="1:22" x14ac:dyDescent="0.3">
      <c r="A1665">
        <v>1664</v>
      </c>
      <c r="B1665">
        <v>49</v>
      </c>
      <c r="C1665" t="s">
        <v>18</v>
      </c>
      <c r="D1665" t="s">
        <v>19</v>
      </c>
      <c r="E1665">
        <v>4.9000000000000004</v>
      </c>
      <c r="F1665">
        <v>2</v>
      </c>
      <c r="G1665">
        <v>0</v>
      </c>
      <c r="H1665" t="str">
        <f t="shared" si="25"/>
        <v>No Night Usage</v>
      </c>
      <c r="I1665">
        <v>7.2</v>
      </c>
      <c r="J1665" s="3">
        <v>10</v>
      </c>
      <c r="K1665">
        <v>8.6</v>
      </c>
      <c r="L1665" t="s">
        <v>20</v>
      </c>
      <c r="M1665">
        <v>10</v>
      </c>
      <c r="N1665">
        <v>1</v>
      </c>
      <c r="O1665">
        <v>0</v>
      </c>
      <c r="P1665">
        <v>1</v>
      </c>
      <c r="Q1665">
        <v>0</v>
      </c>
      <c r="R1665">
        <v>1</v>
      </c>
      <c r="S1665">
        <v>1</v>
      </c>
      <c r="T1665" t="str">
        <f>IF(mental_health[Sleep_Hours]&lt;5,"Low",IF(mental_health[Sleep_Hours]&lt;7,"Medium","Good"))</f>
        <v>Good</v>
      </c>
      <c r="U1665" t="str">
        <f>IF(mental_health[Stress_Level]&lt;=3,"Low",IF(mental_health[Stress_Level]&lt;=7,"Medium","High"))</f>
        <v>High</v>
      </c>
      <c r="V1665" t="str">
        <f>IF(mental_health[Daily_Screen_Time]&lt;=4,"Low",IF(mental_health[Daily_Screen_Time]&lt;=8,"Medium","High"))</f>
        <v>Medium</v>
      </c>
    </row>
    <row r="1666" spans="1:22" x14ac:dyDescent="0.3">
      <c r="A1666">
        <v>1665</v>
      </c>
      <c r="B1666">
        <v>50</v>
      </c>
      <c r="C1666" t="s">
        <v>18</v>
      </c>
      <c r="D1666" t="s">
        <v>19</v>
      </c>
      <c r="E1666">
        <v>6.5</v>
      </c>
      <c r="F1666">
        <v>4.0999999999999996</v>
      </c>
      <c r="G1666">
        <v>0</v>
      </c>
      <c r="H1666" t="str">
        <f t="shared" ref="H1666:H1729" si="26">IF(G1666=1,"Night Usage","No Night Usage")</f>
        <v>No Night Usage</v>
      </c>
      <c r="I1666">
        <v>7.6</v>
      </c>
      <c r="J1666" s="3">
        <v>1</v>
      </c>
      <c r="K1666">
        <v>3.5</v>
      </c>
      <c r="L1666" t="s">
        <v>25</v>
      </c>
      <c r="M1666">
        <v>9</v>
      </c>
      <c r="N1666">
        <v>1</v>
      </c>
      <c r="O1666">
        <v>0</v>
      </c>
      <c r="P1666">
        <v>1</v>
      </c>
      <c r="Q1666">
        <v>0</v>
      </c>
      <c r="R1666">
        <v>1</v>
      </c>
      <c r="S1666">
        <v>1</v>
      </c>
      <c r="T1666" t="str">
        <f>IF(mental_health[Sleep_Hours]&lt;5,"Low",IF(mental_health[Sleep_Hours]&lt;7,"Medium","Good"))</f>
        <v>Good</v>
      </c>
      <c r="U1666" t="str">
        <f>IF(mental_health[Stress_Level]&lt;=3,"Low",IF(mental_health[Stress_Level]&lt;=7,"Medium","High"))</f>
        <v>Low</v>
      </c>
      <c r="V1666" t="str">
        <f>IF(mental_health[Daily_Screen_Time]&lt;=4,"Low",IF(mental_health[Daily_Screen_Time]&lt;=8,"Medium","High"))</f>
        <v>Medium</v>
      </c>
    </row>
    <row r="1667" spans="1:22" x14ac:dyDescent="0.3">
      <c r="A1667">
        <v>1666</v>
      </c>
      <c r="B1667">
        <v>40</v>
      </c>
      <c r="C1667" t="s">
        <v>18</v>
      </c>
      <c r="D1667" t="s">
        <v>19</v>
      </c>
      <c r="E1667">
        <v>9.3000000000000007</v>
      </c>
      <c r="F1667">
        <v>4.5</v>
      </c>
      <c r="G1667">
        <v>1</v>
      </c>
      <c r="H1667" t="str">
        <f t="shared" si="26"/>
        <v>Night Usage</v>
      </c>
      <c r="I1667">
        <v>4.5</v>
      </c>
      <c r="J1667" s="3">
        <v>8</v>
      </c>
      <c r="K1667">
        <v>10.4</v>
      </c>
      <c r="L1667" t="s">
        <v>20</v>
      </c>
      <c r="M1667">
        <v>9</v>
      </c>
      <c r="N1667">
        <v>0</v>
      </c>
      <c r="O1667">
        <v>0</v>
      </c>
      <c r="P1667">
        <v>1</v>
      </c>
      <c r="Q1667">
        <v>1</v>
      </c>
      <c r="R1667">
        <v>0</v>
      </c>
      <c r="S1667">
        <v>0</v>
      </c>
      <c r="T1667" t="str">
        <f>IF(mental_health[Sleep_Hours]&lt;5,"Low",IF(mental_health[Sleep_Hours]&lt;7,"Medium","Good"))</f>
        <v>Low</v>
      </c>
      <c r="U1667" t="str">
        <f>IF(mental_health[Stress_Level]&lt;=3,"Low",IF(mental_health[Stress_Level]&lt;=7,"Medium","High"))</f>
        <v>High</v>
      </c>
      <c r="V1667" t="str">
        <f>IF(mental_health[Daily_Screen_Time]&lt;=4,"Low",IF(mental_health[Daily_Screen_Time]&lt;=8,"Medium","High"))</f>
        <v>High</v>
      </c>
    </row>
    <row r="1668" spans="1:22" x14ac:dyDescent="0.3">
      <c r="A1668">
        <v>1667</v>
      </c>
      <c r="B1668">
        <v>39</v>
      </c>
      <c r="C1668" t="s">
        <v>18</v>
      </c>
      <c r="D1668" t="s">
        <v>22</v>
      </c>
      <c r="E1668">
        <v>8.9</v>
      </c>
      <c r="F1668">
        <v>3.8</v>
      </c>
      <c r="G1668">
        <v>0</v>
      </c>
      <c r="H1668" t="str">
        <f t="shared" si="26"/>
        <v>No Night Usage</v>
      </c>
      <c r="I1668">
        <v>3.3</v>
      </c>
      <c r="J1668" s="3">
        <v>1</v>
      </c>
      <c r="K1668">
        <v>3.5</v>
      </c>
      <c r="L1668" t="s">
        <v>21</v>
      </c>
      <c r="M1668">
        <v>6</v>
      </c>
      <c r="N1668">
        <v>2</v>
      </c>
      <c r="O1668">
        <v>0</v>
      </c>
      <c r="P1668">
        <v>0</v>
      </c>
      <c r="Q1668">
        <v>0</v>
      </c>
      <c r="R1668">
        <v>0</v>
      </c>
      <c r="S1668">
        <v>0</v>
      </c>
      <c r="T1668" t="str">
        <f>IF(mental_health[Sleep_Hours]&lt;5,"Low",IF(mental_health[Sleep_Hours]&lt;7,"Medium","Good"))</f>
        <v>Low</v>
      </c>
      <c r="U1668" t="str">
        <f>IF(mental_health[Stress_Level]&lt;=3,"Low",IF(mental_health[Stress_Level]&lt;=7,"Medium","High"))</f>
        <v>Low</v>
      </c>
      <c r="V1668" t="str">
        <f>IF(mental_health[Daily_Screen_Time]&lt;=4,"Low",IF(mental_health[Daily_Screen_Time]&lt;=8,"Medium","High"))</f>
        <v>High</v>
      </c>
    </row>
    <row r="1669" spans="1:22" x14ac:dyDescent="0.3">
      <c r="A1669">
        <v>1668</v>
      </c>
      <c r="B1669">
        <v>27</v>
      </c>
      <c r="C1669" t="s">
        <v>23</v>
      </c>
      <c r="D1669" t="s">
        <v>24</v>
      </c>
      <c r="E1669">
        <v>11.9</v>
      </c>
      <c r="F1669">
        <v>5.8</v>
      </c>
      <c r="G1669">
        <v>1</v>
      </c>
      <c r="H1669" t="str">
        <f t="shared" si="26"/>
        <v>Night Usage</v>
      </c>
      <c r="I1669">
        <v>8.1</v>
      </c>
      <c r="J1669" s="3">
        <v>9</v>
      </c>
      <c r="K1669">
        <v>10.9</v>
      </c>
      <c r="L1669" t="s">
        <v>20</v>
      </c>
      <c r="M1669">
        <v>4</v>
      </c>
      <c r="N1669">
        <v>1</v>
      </c>
      <c r="O1669">
        <v>0</v>
      </c>
      <c r="P1669">
        <v>1</v>
      </c>
      <c r="Q1669">
        <v>1</v>
      </c>
      <c r="R1669">
        <v>1</v>
      </c>
      <c r="S1669">
        <v>1</v>
      </c>
      <c r="T1669" t="str">
        <f>IF(mental_health[Sleep_Hours]&lt;5,"Low",IF(mental_health[Sleep_Hours]&lt;7,"Medium","Good"))</f>
        <v>Good</v>
      </c>
      <c r="U1669" t="str">
        <f>IF(mental_health[Stress_Level]&lt;=3,"Low",IF(mental_health[Stress_Level]&lt;=7,"Medium","High"))</f>
        <v>High</v>
      </c>
      <c r="V1669" t="str">
        <f>IF(mental_health[Daily_Screen_Time]&lt;=4,"Low",IF(mental_health[Daily_Screen_Time]&lt;=8,"Medium","High"))</f>
        <v>High</v>
      </c>
    </row>
    <row r="1670" spans="1:22" x14ac:dyDescent="0.3">
      <c r="A1670">
        <v>1669</v>
      </c>
      <c r="B1670">
        <v>33</v>
      </c>
      <c r="C1670" t="s">
        <v>18</v>
      </c>
      <c r="D1670" t="s">
        <v>19</v>
      </c>
      <c r="E1670">
        <v>4.3</v>
      </c>
      <c r="F1670">
        <v>3.9</v>
      </c>
      <c r="G1670">
        <v>1</v>
      </c>
      <c r="H1670" t="str">
        <f t="shared" si="26"/>
        <v>Night Usage</v>
      </c>
      <c r="I1670">
        <v>3.1</v>
      </c>
      <c r="J1670" s="3">
        <v>6</v>
      </c>
      <c r="K1670">
        <v>6.5</v>
      </c>
      <c r="L1670" t="s">
        <v>21</v>
      </c>
      <c r="M1670">
        <v>2</v>
      </c>
      <c r="N1670">
        <v>1</v>
      </c>
      <c r="O1670">
        <v>1</v>
      </c>
      <c r="P1670">
        <v>0</v>
      </c>
      <c r="Q1670">
        <v>0</v>
      </c>
      <c r="R1670">
        <v>0</v>
      </c>
      <c r="S1670">
        <v>1</v>
      </c>
      <c r="T1670" t="str">
        <f>IF(mental_health[Sleep_Hours]&lt;5,"Low",IF(mental_health[Sleep_Hours]&lt;7,"Medium","Good"))</f>
        <v>Low</v>
      </c>
      <c r="U1670" t="str">
        <f>IF(mental_health[Stress_Level]&lt;=3,"Low",IF(mental_health[Stress_Level]&lt;=7,"Medium","High"))</f>
        <v>Medium</v>
      </c>
      <c r="V1670" t="str">
        <f>IF(mental_health[Daily_Screen_Time]&lt;=4,"Low",IF(mental_health[Daily_Screen_Time]&lt;=8,"Medium","High"))</f>
        <v>Medium</v>
      </c>
    </row>
    <row r="1671" spans="1:22" x14ac:dyDescent="0.3">
      <c r="A1671">
        <v>1670</v>
      </c>
      <c r="B1671">
        <v>30</v>
      </c>
      <c r="C1671" t="s">
        <v>23</v>
      </c>
      <c r="D1671" t="s">
        <v>19</v>
      </c>
      <c r="E1671">
        <v>8.6</v>
      </c>
      <c r="F1671">
        <v>7.7</v>
      </c>
      <c r="G1671">
        <v>1</v>
      </c>
      <c r="H1671" t="str">
        <f t="shared" si="26"/>
        <v>Night Usage</v>
      </c>
      <c r="I1671">
        <v>8.6</v>
      </c>
      <c r="J1671" s="3">
        <v>1</v>
      </c>
      <c r="K1671">
        <v>7.5</v>
      </c>
      <c r="L1671" t="s">
        <v>20</v>
      </c>
      <c r="M1671">
        <v>4</v>
      </c>
      <c r="N1671">
        <v>3</v>
      </c>
      <c r="O1671">
        <v>1</v>
      </c>
      <c r="P1671">
        <v>1</v>
      </c>
      <c r="Q1671">
        <v>0</v>
      </c>
      <c r="R1671">
        <v>0</v>
      </c>
      <c r="S1671">
        <v>0</v>
      </c>
      <c r="T1671" t="str">
        <f>IF(mental_health[Sleep_Hours]&lt;5,"Low",IF(mental_health[Sleep_Hours]&lt;7,"Medium","Good"))</f>
        <v>Good</v>
      </c>
      <c r="U1671" t="str">
        <f>IF(mental_health[Stress_Level]&lt;=3,"Low",IF(mental_health[Stress_Level]&lt;=7,"Medium","High"))</f>
        <v>Low</v>
      </c>
      <c r="V1671" t="str">
        <f>IF(mental_health[Daily_Screen_Time]&lt;=4,"Low",IF(mental_health[Daily_Screen_Time]&lt;=8,"Medium","High"))</f>
        <v>High</v>
      </c>
    </row>
    <row r="1672" spans="1:22" x14ac:dyDescent="0.3">
      <c r="A1672">
        <v>1671</v>
      </c>
      <c r="B1672">
        <v>59</v>
      </c>
      <c r="C1672" t="s">
        <v>18</v>
      </c>
      <c r="D1672" t="s">
        <v>22</v>
      </c>
      <c r="E1672">
        <v>8.1</v>
      </c>
      <c r="F1672">
        <v>5.2</v>
      </c>
      <c r="G1672">
        <v>1</v>
      </c>
      <c r="H1672" t="str">
        <f t="shared" si="26"/>
        <v>Night Usage</v>
      </c>
      <c r="I1672">
        <v>6.8</v>
      </c>
      <c r="J1672" s="3">
        <v>8</v>
      </c>
      <c r="K1672">
        <v>11</v>
      </c>
      <c r="L1672" t="s">
        <v>21</v>
      </c>
      <c r="M1672">
        <v>7</v>
      </c>
      <c r="N1672">
        <v>3</v>
      </c>
      <c r="O1672">
        <v>1</v>
      </c>
      <c r="P1672">
        <v>1</v>
      </c>
      <c r="Q1672">
        <v>0</v>
      </c>
      <c r="R1672">
        <v>1</v>
      </c>
      <c r="S1672">
        <v>1</v>
      </c>
      <c r="T1672" t="str">
        <f>IF(mental_health[Sleep_Hours]&lt;5,"Low",IF(mental_health[Sleep_Hours]&lt;7,"Medium","Good"))</f>
        <v>Medium</v>
      </c>
      <c r="U1672" t="str">
        <f>IF(mental_health[Stress_Level]&lt;=3,"Low",IF(mental_health[Stress_Level]&lt;=7,"Medium","High"))</f>
        <v>High</v>
      </c>
      <c r="V1672" t="str">
        <f>IF(mental_health[Daily_Screen_Time]&lt;=4,"Low",IF(mental_health[Daily_Screen_Time]&lt;=8,"Medium","High"))</f>
        <v>High</v>
      </c>
    </row>
    <row r="1673" spans="1:22" x14ac:dyDescent="0.3">
      <c r="A1673">
        <v>1672</v>
      </c>
      <c r="B1673">
        <v>31</v>
      </c>
      <c r="C1673" t="s">
        <v>18</v>
      </c>
      <c r="D1673" t="s">
        <v>22</v>
      </c>
      <c r="E1673">
        <v>11.2</v>
      </c>
      <c r="F1673">
        <v>6.7</v>
      </c>
      <c r="G1673">
        <v>1</v>
      </c>
      <c r="H1673" t="str">
        <f t="shared" si="26"/>
        <v>Night Usage</v>
      </c>
      <c r="I1673">
        <v>4.9000000000000004</v>
      </c>
      <c r="J1673" s="3">
        <v>5</v>
      </c>
      <c r="K1673">
        <v>5</v>
      </c>
      <c r="L1673" t="s">
        <v>20</v>
      </c>
      <c r="M1673">
        <v>1</v>
      </c>
      <c r="N1673">
        <v>3</v>
      </c>
      <c r="O1673">
        <v>0</v>
      </c>
      <c r="P1673">
        <v>0</v>
      </c>
      <c r="Q1673">
        <v>0</v>
      </c>
      <c r="R1673">
        <v>1</v>
      </c>
      <c r="S1673">
        <v>0</v>
      </c>
      <c r="T1673" t="str">
        <f>IF(mental_health[Sleep_Hours]&lt;5,"Low",IF(mental_health[Sleep_Hours]&lt;7,"Medium","Good"))</f>
        <v>Low</v>
      </c>
      <c r="U1673" t="str">
        <f>IF(mental_health[Stress_Level]&lt;=3,"Low",IF(mental_health[Stress_Level]&lt;=7,"Medium","High"))</f>
        <v>Medium</v>
      </c>
      <c r="V1673" t="str">
        <f>IF(mental_health[Daily_Screen_Time]&lt;=4,"Low",IF(mental_health[Daily_Screen_Time]&lt;=8,"Medium","High"))</f>
        <v>High</v>
      </c>
    </row>
    <row r="1674" spans="1:22" x14ac:dyDescent="0.3">
      <c r="A1674">
        <v>1673</v>
      </c>
      <c r="B1674">
        <v>42</v>
      </c>
      <c r="C1674" t="s">
        <v>18</v>
      </c>
      <c r="D1674" t="s">
        <v>24</v>
      </c>
      <c r="E1674">
        <v>3.6</v>
      </c>
      <c r="F1674">
        <v>1.8</v>
      </c>
      <c r="G1674">
        <v>1</v>
      </c>
      <c r="H1674" t="str">
        <f t="shared" si="26"/>
        <v>Night Usage</v>
      </c>
      <c r="I1674">
        <v>4.5</v>
      </c>
      <c r="J1674" s="3">
        <v>7</v>
      </c>
      <c r="K1674">
        <v>3.8</v>
      </c>
      <c r="L1674" t="s">
        <v>25</v>
      </c>
      <c r="M1674">
        <v>9</v>
      </c>
      <c r="N1674">
        <v>1</v>
      </c>
      <c r="O1674">
        <v>0</v>
      </c>
      <c r="P1674">
        <v>0</v>
      </c>
      <c r="Q1674">
        <v>0</v>
      </c>
      <c r="R1674">
        <v>0</v>
      </c>
      <c r="S1674">
        <v>1</v>
      </c>
      <c r="T1674" t="str">
        <f>IF(mental_health[Sleep_Hours]&lt;5,"Low",IF(mental_health[Sleep_Hours]&lt;7,"Medium","Good"))</f>
        <v>Low</v>
      </c>
      <c r="U1674" t="str">
        <f>IF(mental_health[Stress_Level]&lt;=3,"Low",IF(mental_health[Stress_Level]&lt;=7,"Medium","High"))</f>
        <v>Medium</v>
      </c>
      <c r="V1674" t="str">
        <f>IF(mental_health[Daily_Screen_Time]&lt;=4,"Low",IF(mental_health[Daily_Screen_Time]&lt;=8,"Medium","High"))</f>
        <v>Low</v>
      </c>
    </row>
    <row r="1675" spans="1:22" x14ac:dyDescent="0.3">
      <c r="A1675">
        <v>1674</v>
      </c>
      <c r="B1675">
        <v>23</v>
      </c>
      <c r="C1675" t="s">
        <v>18</v>
      </c>
      <c r="D1675" t="s">
        <v>22</v>
      </c>
      <c r="E1675">
        <v>9.5</v>
      </c>
      <c r="F1675">
        <v>3.8</v>
      </c>
      <c r="G1675">
        <v>0</v>
      </c>
      <c r="H1675" t="str">
        <f t="shared" si="26"/>
        <v>No Night Usage</v>
      </c>
      <c r="I1675">
        <v>3.1</v>
      </c>
      <c r="J1675" s="3">
        <v>7</v>
      </c>
      <c r="K1675">
        <v>6.5</v>
      </c>
      <c r="L1675" t="s">
        <v>25</v>
      </c>
      <c r="M1675">
        <v>3</v>
      </c>
      <c r="N1675">
        <v>4</v>
      </c>
      <c r="O1675">
        <v>1</v>
      </c>
      <c r="P1675">
        <v>0</v>
      </c>
      <c r="Q1675">
        <v>1</v>
      </c>
      <c r="R1675">
        <v>1</v>
      </c>
      <c r="S1675">
        <v>1</v>
      </c>
      <c r="T1675" t="str">
        <f>IF(mental_health[Sleep_Hours]&lt;5,"Low",IF(mental_health[Sleep_Hours]&lt;7,"Medium","Good"))</f>
        <v>Low</v>
      </c>
      <c r="U1675" t="str">
        <f>IF(mental_health[Stress_Level]&lt;=3,"Low",IF(mental_health[Stress_Level]&lt;=7,"Medium","High"))</f>
        <v>Medium</v>
      </c>
      <c r="V1675" t="str">
        <f>IF(mental_health[Daily_Screen_Time]&lt;=4,"Low",IF(mental_health[Daily_Screen_Time]&lt;=8,"Medium","High"))</f>
        <v>High</v>
      </c>
    </row>
    <row r="1676" spans="1:22" x14ac:dyDescent="0.3">
      <c r="A1676">
        <v>1675</v>
      </c>
      <c r="B1676">
        <v>40</v>
      </c>
      <c r="C1676" t="s">
        <v>23</v>
      </c>
      <c r="D1676" t="s">
        <v>24</v>
      </c>
      <c r="E1676">
        <v>7.7</v>
      </c>
      <c r="F1676">
        <v>3.4</v>
      </c>
      <c r="G1676">
        <v>0</v>
      </c>
      <c r="H1676" t="str">
        <f t="shared" si="26"/>
        <v>No Night Usage</v>
      </c>
      <c r="I1676">
        <v>4.4000000000000004</v>
      </c>
      <c r="J1676" s="3">
        <v>7</v>
      </c>
      <c r="K1676">
        <v>4.4000000000000004</v>
      </c>
      <c r="L1676" t="s">
        <v>20</v>
      </c>
      <c r="M1676">
        <v>4</v>
      </c>
      <c r="N1676">
        <v>2</v>
      </c>
      <c r="O1676">
        <v>1</v>
      </c>
      <c r="P1676">
        <v>1</v>
      </c>
      <c r="Q1676">
        <v>0</v>
      </c>
      <c r="R1676">
        <v>1</v>
      </c>
      <c r="S1676">
        <v>0</v>
      </c>
      <c r="T1676" t="str">
        <f>IF(mental_health[Sleep_Hours]&lt;5,"Low",IF(mental_health[Sleep_Hours]&lt;7,"Medium","Good"))</f>
        <v>Low</v>
      </c>
      <c r="U1676" t="str">
        <f>IF(mental_health[Stress_Level]&lt;=3,"Low",IF(mental_health[Stress_Level]&lt;=7,"Medium","High"))</f>
        <v>Medium</v>
      </c>
      <c r="V1676" t="str">
        <f>IF(mental_health[Daily_Screen_Time]&lt;=4,"Low",IF(mental_health[Daily_Screen_Time]&lt;=8,"Medium","High"))</f>
        <v>Medium</v>
      </c>
    </row>
    <row r="1677" spans="1:22" x14ac:dyDescent="0.3">
      <c r="A1677">
        <v>1676</v>
      </c>
      <c r="B1677">
        <v>32</v>
      </c>
      <c r="C1677" t="s">
        <v>18</v>
      </c>
      <c r="D1677" t="s">
        <v>19</v>
      </c>
      <c r="E1677">
        <v>4.7</v>
      </c>
      <c r="F1677">
        <v>5</v>
      </c>
      <c r="G1677">
        <v>1</v>
      </c>
      <c r="H1677" t="str">
        <f t="shared" si="26"/>
        <v>Night Usage</v>
      </c>
      <c r="I1677">
        <v>3.8</v>
      </c>
      <c r="J1677" s="3">
        <v>6</v>
      </c>
      <c r="K1677">
        <v>7.3</v>
      </c>
      <c r="L1677" t="s">
        <v>21</v>
      </c>
      <c r="M1677">
        <v>5</v>
      </c>
      <c r="N1677">
        <v>1</v>
      </c>
      <c r="O1677">
        <v>1</v>
      </c>
      <c r="P1677">
        <v>0</v>
      </c>
      <c r="Q1677">
        <v>1</v>
      </c>
      <c r="R1677">
        <v>1</v>
      </c>
      <c r="S1677">
        <v>1</v>
      </c>
      <c r="T1677" t="str">
        <f>IF(mental_health[Sleep_Hours]&lt;5,"Low",IF(mental_health[Sleep_Hours]&lt;7,"Medium","Good"))</f>
        <v>Low</v>
      </c>
      <c r="U1677" t="str">
        <f>IF(mental_health[Stress_Level]&lt;=3,"Low",IF(mental_health[Stress_Level]&lt;=7,"Medium","High"))</f>
        <v>Medium</v>
      </c>
      <c r="V1677" t="str">
        <f>IF(mental_health[Daily_Screen_Time]&lt;=4,"Low",IF(mental_health[Daily_Screen_Time]&lt;=8,"Medium","High"))</f>
        <v>Medium</v>
      </c>
    </row>
    <row r="1678" spans="1:22" x14ac:dyDescent="0.3">
      <c r="A1678">
        <v>1677</v>
      </c>
      <c r="B1678">
        <v>44</v>
      </c>
      <c r="C1678" t="s">
        <v>18</v>
      </c>
      <c r="D1678" t="s">
        <v>19</v>
      </c>
      <c r="E1678">
        <v>6.7</v>
      </c>
      <c r="F1678">
        <v>7</v>
      </c>
      <c r="G1678">
        <v>1</v>
      </c>
      <c r="H1678" t="str">
        <f t="shared" si="26"/>
        <v>Night Usage</v>
      </c>
      <c r="I1678">
        <v>6.7</v>
      </c>
      <c r="J1678" s="3">
        <v>8</v>
      </c>
      <c r="K1678">
        <v>4.8</v>
      </c>
      <c r="L1678" t="s">
        <v>20</v>
      </c>
      <c r="M1678">
        <v>3</v>
      </c>
      <c r="N1678">
        <v>0</v>
      </c>
      <c r="O1678">
        <v>1</v>
      </c>
      <c r="P1678">
        <v>0</v>
      </c>
      <c r="Q1678">
        <v>1</v>
      </c>
      <c r="R1678">
        <v>1</v>
      </c>
      <c r="S1678">
        <v>1</v>
      </c>
      <c r="T1678" t="str">
        <f>IF(mental_health[Sleep_Hours]&lt;5,"Low",IF(mental_health[Sleep_Hours]&lt;7,"Medium","Good"))</f>
        <v>Medium</v>
      </c>
      <c r="U1678" t="str">
        <f>IF(mental_health[Stress_Level]&lt;=3,"Low",IF(mental_health[Stress_Level]&lt;=7,"Medium","High"))</f>
        <v>High</v>
      </c>
      <c r="V1678" t="str">
        <f>IF(mental_health[Daily_Screen_Time]&lt;=4,"Low",IF(mental_health[Daily_Screen_Time]&lt;=8,"Medium","High"))</f>
        <v>Medium</v>
      </c>
    </row>
    <row r="1679" spans="1:22" x14ac:dyDescent="0.3">
      <c r="A1679">
        <v>1678</v>
      </c>
      <c r="B1679">
        <v>23</v>
      </c>
      <c r="C1679" t="s">
        <v>23</v>
      </c>
      <c r="D1679" t="s">
        <v>24</v>
      </c>
      <c r="E1679">
        <v>5.3</v>
      </c>
      <c r="F1679">
        <v>1.5</v>
      </c>
      <c r="G1679">
        <v>1</v>
      </c>
      <c r="H1679" t="str">
        <f t="shared" si="26"/>
        <v>Night Usage</v>
      </c>
      <c r="I1679">
        <v>4</v>
      </c>
      <c r="J1679" s="3">
        <v>9</v>
      </c>
      <c r="K1679">
        <v>10.6</v>
      </c>
      <c r="L1679" t="s">
        <v>25</v>
      </c>
      <c r="M1679">
        <v>4</v>
      </c>
      <c r="N1679">
        <v>4</v>
      </c>
      <c r="O1679">
        <v>0</v>
      </c>
      <c r="P1679">
        <v>0</v>
      </c>
      <c r="Q1679">
        <v>1</v>
      </c>
      <c r="R1679">
        <v>1</v>
      </c>
      <c r="S1679">
        <v>1</v>
      </c>
      <c r="T1679" t="str">
        <f>IF(mental_health[Sleep_Hours]&lt;5,"Low",IF(mental_health[Sleep_Hours]&lt;7,"Medium","Good"))</f>
        <v>Low</v>
      </c>
      <c r="U1679" t="str">
        <f>IF(mental_health[Stress_Level]&lt;=3,"Low",IF(mental_health[Stress_Level]&lt;=7,"Medium","High"))</f>
        <v>High</v>
      </c>
      <c r="V1679" t="str">
        <f>IF(mental_health[Daily_Screen_Time]&lt;=4,"Low",IF(mental_health[Daily_Screen_Time]&lt;=8,"Medium","High"))</f>
        <v>Medium</v>
      </c>
    </row>
    <row r="1680" spans="1:22" x14ac:dyDescent="0.3">
      <c r="A1680">
        <v>1679</v>
      </c>
      <c r="B1680">
        <v>30</v>
      </c>
      <c r="C1680" t="s">
        <v>23</v>
      </c>
      <c r="D1680" t="s">
        <v>22</v>
      </c>
      <c r="E1680">
        <v>7.8</v>
      </c>
      <c r="F1680">
        <v>1.5</v>
      </c>
      <c r="G1680">
        <v>0</v>
      </c>
      <c r="H1680" t="str">
        <f t="shared" si="26"/>
        <v>No Night Usage</v>
      </c>
      <c r="I1680">
        <v>6.2</v>
      </c>
      <c r="J1680" s="3">
        <v>2</v>
      </c>
      <c r="K1680">
        <v>8.1</v>
      </c>
      <c r="L1680" t="s">
        <v>21</v>
      </c>
      <c r="M1680">
        <v>5</v>
      </c>
      <c r="N1680">
        <v>4</v>
      </c>
      <c r="O1680">
        <v>1</v>
      </c>
      <c r="P1680">
        <v>1</v>
      </c>
      <c r="Q1680">
        <v>0</v>
      </c>
      <c r="R1680">
        <v>0</v>
      </c>
      <c r="S1680">
        <v>0</v>
      </c>
      <c r="T1680" t="str">
        <f>IF(mental_health[Sleep_Hours]&lt;5,"Low",IF(mental_health[Sleep_Hours]&lt;7,"Medium","Good"))</f>
        <v>Medium</v>
      </c>
      <c r="U1680" t="str">
        <f>IF(mental_health[Stress_Level]&lt;=3,"Low",IF(mental_health[Stress_Level]&lt;=7,"Medium","High"))</f>
        <v>Low</v>
      </c>
      <c r="V1680" t="str">
        <f>IF(mental_health[Daily_Screen_Time]&lt;=4,"Low",IF(mental_health[Daily_Screen_Time]&lt;=8,"Medium","High"))</f>
        <v>Medium</v>
      </c>
    </row>
    <row r="1681" spans="1:22" x14ac:dyDescent="0.3">
      <c r="A1681">
        <v>1680</v>
      </c>
      <c r="B1681">
        <v>42</v>
      </c>
      <c r="C1681" t="s">
        <v>18</v>
      </c>
      <c r="D1681" t="s">
        <v>24</v>
      </c>
      <c r="E1681">
        <v>10.9</v>
      </c>
      <c r="F1681">
        <v>7</v>
      </c>
      <c r="G1681">
        <v>1</v>
      </c>
      <c r="H1681" t="str">
        <f t="shared" si="26"/>
        <v>Night Usage</v>
      </c>
      <c r="I1681">
        <v>6.5</v>
      </c>
      <c r="J1681" s="3">
        <v>7</v>
      </c>
      <c r="K1681">
        <v>2</v>
      </c>
      <c r="L1681" t="s">
        <v>20</v>
      </c>
      <c r="M1681">
        <v>1</v>
      </c>
      <c r="N1681">
        <v>2</v>
      </c>
      <c r="O1681">
        <v>0</v>
      </c>
      <c r="P1681">
        <v>0</v>
      </c>
      <c r="Q1681">
        <v>0</v>
      </c>
      <c r="R1681">
        <v>0</v>
      </c>
      <c r="S1681">
        <v>0</v>
      </c>
      <c r="T1681" t="str">
        <f>IF(mental_health[Sleep_Hours]&lt;5,"Low",IF(mental_health[Sleep_Hours]&lt;7,"Medium","Good"))</f>
        <v>Medium</v>
      </c>
      <c r="U1681" t="str">
        <f>IF(mental_health[Stress_Level]&lt;=3,"Low",IF(mental_health[Stress_Level]&lt;=7,"Medium","High"))</f>
        <v>Medium</v>
      </c>
      <c r="V1681" t="str">
        <f>IF(mental_health[Daily_Screen_Time]&lt;=4,"Low",IF(mental_health[Daily_Screen_Time]&lt;=8,"Medium","High"))</f>
        <v>High</v>
      </c>
    </row>
    <row r="1682" spans="1:22" x14ac:dyDescent="0.3">
      <c r="A1682">
        <v>1681</v>
      </c>
      <c r="B1682">
        <v>22</v>
      </c>
      <c r="C1682" t="s">
        <v>23</v>
      </c>
      <c r="D1682" t="s">
        <v>22</v>
      </c>
      <c r="E1682">
        <v>7.7</v>
      </c>
      <c r="F1682">
        <v>2.5</v>
      </c>
      <c r="G1682">
        <v>1</v>
      </c>
      <c r="H1682" t="str">
        <f t="shared" si="26"/>
        <v>Night Usage</v>
      </c>
      <c r="I1682">
        <v>4.8</v>
      </c>
      <c r="J1682" s="3">
        <v>2</v>
      </c>
      <c r="K1682">
        <v>10.1</v>
      </c>
      <c r="L1682" t="s">
        <v>20</v>
      </c>
      <c r="M1682">
        <v>9</v>
      </c>
      <c r="N1682">
        <v>4</v>
      </c>
      <c r="O1682">
        <v>1</v>
      </c>
      <c r="P1682">
        <v>0</v>
      </c>
      <c r="Q1682">
        <v>1</v>
      </c>
      <c r="R1682">
        <v>0</v>
      </c>
      <c r="S1682">
        <v>0</v>
      </c>
      <c r="T1682" t="str">
        <f>IF(mental_health[Sleep_Hours]&lt;5,"Low",IF(mental_health[Sleep_Hours]&lt;7,"Medium","Good"))</f>
        <v>Low</v>
      </c>
      <c r="U1682" t="str">
        <f>IF(mental_health[Stress_Level]&lt;=3,"Low",IF(mental_health[Stress_Level]&lt;=7,"Medium","High"))</f>
        <v>Low</v>
      </c>
      <c r="V1682" t="str">
        <f>IF(mental_health[Daily_Screen_Time]&lt;=4,"Low",IF(mental_health[Daily_Screen_Time]&lt;=8,"Medium","High"))</f>
        <v>Medium</v>
      </c>
    </row>
    <row r="1683" spans="1:22" x14ac:dyDescent="0.3">
      <c r="A1683">
        <v>1682</v>
      </c>
      <c r="B1683">
        <v>18</v>
      </c>
      <c r="C1683" t="s">
        <v>23</v>
      </c>
      <c r="D1683" t="s">
        <v>19</v>
      </c>
      <c r="E1683">
        <v>8.3000000000000007</v>
      </c>
      <c r="F1683">
        <v>5.7</v>
      </c>
      <c r="G1683">
        <v>1</v>
      </c>
      <c r="H1683" t="str">
        <f t="shared" si="26"/>
        <v>Night Usage</v>
      </c>
      <c r="I1683">
        <v>3.2</v>
      </c>
      <c r="J1683" s="3">
        <v>6</v>
      </c>
      <c r="K1683">
        <v>5.3</v>
      </c>
      <c r="L1683" t="s">
        <v>21</v>
      </c>
      <c r="M1683">
        <v>10</v>
      </c>
      <c r="N1683">
        <v>2</v>
      </c>
      <c r="O1683">
        <v>0</v>
      </c>
      <c r="P1683">
        <v>1</v>
      </c>
      <c r="Q1683">
        <v>1</v>
      </c>
      <c r="R1683">
        <v>1</v>
      </c>
      <c r="S1683">
        <v>0</v>
      </c>
      <c r="T1683" t="str">
        <f>IF(mental_health[Sleep_Hours]&lt;5,"Low",IF(mental_health[Sleep_Hours]&lt;7,"Medium","Good"))</f>
        <v>Low</v>
      </c>
      <c r="U1683" t="str">
        <f>IF(mental_health[Stress_Level]&lt;=3,"Low",IF(mental_health[Stress_Level]&lt;=7,"Medium","High"))</f>
        <v>Medium</v>
      </c>
      <c r="V1683" t="str">
        <f>IF(mental_health[Daily_Screen_Time]&lt;=4,"Low",IF(mental_health[Daily_Screen_Time]&lt;=8,"Medium","High"))</f>
        <v>High</v>
      </c>
    </row>
    <row r="1684" spans="1:22" x14ac:dyDescent="0.3">
      <c r="A1684">
        <v>1683</v>
      </c>
      <c r="B1684">
        <v>44</v>
      </c>
      <c r="C1684" t="s">
        <v>23</v>
      </c>
      <c r="D1684" t="s">
        <v>22</v>
      </c>
      <c r="E1684">
        <v>7.2</v>
      </c>
      <c r="F1684">
        <v>4.8</v>
      </c>
      <c r="G1684">
        <v>0</v>
      </c>
      <c r="H1684" t="str">
        <f t="shared" si="26"/>
        <v>No Night Usage</v>
      </c>
      <c r="I1684">
        <v>3.2</v>
      </c>
      <c r="J1684" s="3">
        <v>2</v>
      </c>
      <c r="K1684">
        <v>5.2</v>
      </c>
      <c r="L1684" t="s">
        <v>20</v>
      </c>
      <c r="M1684">
        <v>10</v>
      </c>
      <c r="N1684">
        <v>4</v>
      </c>
      <c r="O1684">
        <v>0</v>
      </c>
      <c r="P1684">
        <v>0</v>
      </c>
      <c r="Q1684">
        <v>0</v>
      </c>
      <c r="R1684">
        <v>0</v>
      </c>
      <c r="S1684">
        <v>1</v>
      </c>
      <c r="T1684" t="str">
        <f>IF(mental_health[Sleep_Hours]&lt;5,"Low",IF(mental_health[Sleep_Hours]&lt;7,"Medium","Good"))</f>
        <v>Low</v>
      </c>
      <c r="U1684" t="str">
        <f>IF(mental_health[Stress_Level]&lt;=3,"Low",IF(mental_health[Stress_Level]&lt;=7,"Medium","High"))</f>
        <v>Low</v>
      </c>
      <c r="V1684" t="str">
        <f>IF(mental_health[Daily_Screen_Time]&lt;=4,"Low",IF(mental_health[Daily_Screen_Time]&lt;=8,"Medium","High"))</f>
        <v>Medium</v>
      </c>
    </row>
    <row r="1685" spans="1:22" x14ac:dyDescent="0.3">
      <c r="A1685">
        <v>1684</v>
      </c>
      <c r="B1685">
        <v>59</v>
      </c>
      <c r="C1685" t="s">
        <v>18</v>
      </c>
      <c r="D1685" t="s">
        <v>24</v>
      </c>
      <c r="E1685">
        <v>2.5</v>
      </c>
      <c r="F1685">
        <v>6.8</v>
      </c>
      <c r="G1685">
        <v>1</v>
      </c>
      <c r="H1685" t="str">
        <f t="shared" si="26"/>
        <v>Night Usage</v>
      </c>
      <c r="I1685">
        <v>3.2</v>
      </c>
      <c r="J1685" s="3">
        <v>10</v>
      </c>
      <c r="K1685">
        <v>5.8</v>
      </c>
      <c r="L1685" t="s">
        <v>25</v>
      </c>
      <c r="M1685">
        <v>4</v>
      </c>
      <c r="N1685">
        <v>2</v>
      </c>
      <c r="O1685">
        <v>0</v>
      </c>
      <c r="P1685">
        <v>0</v>
      </c>
      <c r="Q1685">
        <v>0</v>
      </c>
      <c r="R1685">
        <v>0</v>
      </c>
      <c r="S1685">
        <v>1</v>
      </c>
      <c r="T1685" t="str">
        <f>IF(mental_health[Sleep_Hours]&lt;5,"Low",IF(mental_health[Sleep_Hours]&lt;7,"Medium","Good"))</f>
        <v>Low</v>
      </c>
      <c r="U1685" t="str">
        <f>IF(mental_health[Stress_Level]&lt;=3,"Low",IF(mental_health[Stress_Level]&lt;=7,"Medium","High"))</f>
        <v>High</v>
      </c>
      <c r="V1685" t="str">
        <f>IF(mental_health[Daily_Screen_Time]&lt;=4,"Low",IF(mental_health[Daily_Screen_Time]&lt;=8,"Medium","High"))</f>
        <v>Low</v>
      </c>
    </row>
    <row r="1686" spans="1:22" x14ac:dyDescent="0.3">
      <c r="A1686">
        <v>1685</v>
      </c>
      <c r="B1686">
        <v>39</v>
      </c>
      <c r="C1686" t="s">
        <v>18</v>
      </c>
      <c r="D1686" t="s">
        <v>24</v>
      </c>
      <c r="E1686">
        <v>4.3</v>
      </c>
      <c r="F1686">
        <v>1.9</v>
      </c>
      <c r="G1686">
        <v>0</v>
      </c>
      <c r="H1686" t="str">
        <f t="shared" si="26"/>
        <v>No Night Usage</v>
      </c>
      <c r="I1686">
        <v>7.4</v>
      </c>
      <c r="J1686" s="3">
        <v>6</v>
      </c>
      <c r="K1686">
        <v>8.3000000000000007</v>
      </c>
      <c r="L1686" t="s">
        <v>25</v>
      </c>
      <c r="M1686">
        <v>9</v>
      </c>
      <c r="N1686">
        <v>3</v>
      </c>
      <c r="O1686">
        <v>0</v>
      </c>
      <c r="P1686">
        <v>0</v>
      </c>
      <c r="Q1686">
        <v>0</v>
      </c>
      <c r="R1686">
        <v>0</v>
      </c>
      <c r="S1686">
        <v>0</v>
      </c>
      <c r="T1686" t="str">
        <f>IF(mental_health[Sleep_Hours]&lt;5,"Low",IF(mental_health[Sleep_Hours]&lt;7,"Medium","Good"))</f>
        <v>Good</v>
      </c>
      <c r="U1686" t="str">
        <f>IF(mental_health[Stress_Level]&lt;=3,"Low",IF(mental_health[Stress_Level]&lt;=7,"Medium","High"))</f>
        <v>Medium</v>
      </c>
      <c r="V1686" t="str">
        <f>IF(mental_health[Daily_Screen_Time]&lt;=4,"Low",IF(mental_health[Daily_Screen_Time]&lt;=8,"Medium","High"))</f>
        <v>Medium</v>
      </c>
    </row>
    <row r="1687" spans="1:22" x14ac:dyDescent="0.3">
      <c r="A1687">
        <v>1686</v>
      </c>
      <c r="B1687">
        <v>18</v>
      </c>
      <c r="C1687" t="s">
        <v>18</v>
      </c>
      <c r="D1687" t="s">
        <v>19</v>
      </c>
      <c r="E1687">
        <v>6.9</v>
      </c>
      <c r="F1687">
        <v>1.9</v>
      </c>
      <c r="G1687">
        <v>0</v>
      </c>
      <c r="H1687" t="str">
        <f t="shared" si="26"/>
        <v>No Night Usage</v>
      </c>
      <c r="I1687">
        <v>4.9000000000000004</v>
      </c>
      <c r="J1687" s="3">
        <v>2</v>
      </c>
      <c r="K1687">
        <v>6.4</v>
      </c>
      <c r="L1687" t="s">
        <v>21</v>
      </c>
      <c r="M1687">
        <v>4</v>
      </c>
      <c r="N1687">
        <v>3</v>
      </c>
      <c r="O1687">
        <v>1</v>
      </c>
      <c r="P1687">
        <v>1</v>
      </c>
      <c r="Q1687">
        <v>1</v>
      </c>
      <c r="R1687">
        <v>0</v>
      </c>
      <c r="S1687">
        <v>0</v>
      </c>
      <c r="T1687" t="str">
        <f>IF(mental_health[Sleep_Hours]&lt;5,"Low",IF(mental_health[Sleep_Hours]&lt;7,"Medium","Good"))</f>
        <v>Low</v>
      </c>
      <c r="U1687" t="str">
        <f>IF(mental_health[Stress_Level]&lt;=3,"Low",IF(mental_health[Stress_Level]&lt;=7,"Medium","High"))</f>
        <v>Low</v>
      </c>
      <c r="V1687" t="str">
        <f>IF(mental_health[Daily_Screen_Time]&lt;=4,"Low",IF(mental_health[Daily_Screen_Time]&lt;=8,"Medium","High"))</f>
        <v>Medium</v>
      </c>
    </row>
    <row r="1688" spans="1:22" x14ac:dyDescent="0.3">
      <c r="A1688">
        <v>1687</v>
      </c>
      <c r="B1688">
        <v>35</v>
      </c>
      <c r="C1688" t="s">
        <v>23</v>
      </c>
      <c r="D1688" t="s">
        <v>22</v>
      </c>
      <c r="E1688">
        <v>5.0999999999999996</v>
      </c>
      <c r="F1688">
        <v>4.9000000000000004</v>
      </c>
      <c r="G1688">
        <v>1</v>
      </c>
      <c r="H1688" t="str">
        <f t="shared" si="26"/>
        <v>Night Usage</v>
      </c>
      <c r="I1688">
        <v>7.8</v>
      </c>
      <c r="J1688" s="3">
        <v>1</v>
      </c>
      <c r="K1688">
        <v>8.3000000000000007</v>
      </c>
      <c r="L1688" t="s">
        <v>20</v>
      </c>
      <c r="M1688">
        <v>1</v>
      </c>
      <c r="N1688">
        <v>4</v>
      </c>
      <c r="O1688">
        <v>0</v>
      </c>
      <c r="P1688">
        <v>0</v>
      </c>
      <c r="Q1688">
        <v>0</v>
      </c>
      <c r="R1688">
        <v>1</v>
      </c>
      <c r="S1688">
        <v>0</v>
      </c>
      <c r="T1688" t="str">
        <f>IF(mental_health[Sleep_Hours]&lt;5,"Low",IF(mental_health[Sleep_Hours]&lt;7,"Medium","Good"))</f>
        <v>Good</v>
      </c>
      <c r="U1688" t="str">
        <f>IF(mental_health[Stress_Level]&lt;=3,"Low",IF(mental_health[Stress_Level]&lt;=7,"Medium","High"))</f>
        <v>Low</v>
      </c>
      <c r="V1688" t="str">
        <f>IF(mental_health[Daily_Screen_Time]&lt;=4,"Low",IF(mental_health[Daily_Screen_Time]&lt;=8,"Medium","High"))</f>
        <v>Medium</v>
      </c>
    </row>
    <row r="1689" spans="1:22" x14ac:dyDescent="0.3">
      <c r="A1689">
        <v>1688</v>
      </c>
      <c r="B1689">
        <v>30</v>
      </c>
      <c r="C1689" t="s">
        <v>18</v>
      </c>
      <c r="D1689" t="s">
        <v>22</v>
      </c>
      <c r="E1689">
        <v>3.8</v>
      </c>
      <c r="F1689">
        <v>7.6</v>
      </c>
      <c r="G1689">
        <v>0</v>
      </c>
      <c r="H1689" t="str">
        <f t="shared" si="26"/>
        <v>No Night Usage</v>
      </c>
      <c r="I1689">
        <v>5.6</v>
      </c>
      <c r="J1689" s="3">
        <v>7</v>
      </c>
      <c r="K1689">
        <v>3.5</v>
      </c>
      <c r="L1689" t="s">
        <v>20</v>
      </c>
      <c r="M1689">
        <v>5</v>
      </c>
      <c r="N1689">
        <v>4</v>
      </c>
      <c r="O1689">
        <v>0</v>
      </c>
      <c r="P1689">
        <v>0</v>
      </c>
      <c r="Q1689">
        <v>0</v>
      </c>
      <c r="R1689">
        <v>0</v>
      </c>
      <c r="S1689">
        <v>1</v>
      </c>
      <c r="T1689" t="str">
        <f>IF(mental_health[Sleep_Hours]&lt;5,"Low",IF(mental_health[Sleep_Hours]&lt;7,"Medium","Good"))</f>
        <v>Medium</v>
      </c>
      <c r="U1689" t="str">
        <f>IF(mental_health[Stress_Level]&lt;=3,"Low",IF(mental_health[Stress_Level]&lt;=7,"Medium","High"))</f>
        <v>Medium</v>
      </c>
      <c r="V1689" t="str">
        <f>IF(mental_health[Daily_Screen_Time]&lt;=4,"Low",IF(mental_health[Daily_Screen_Time]&lt;=8,"Medium","High"))</f>
        <v>Low</v>
      </c>
    </row>
    <row r="1690" spans="1:22" x14ac:dyDescent="0.3">
      <c r="A1690">
        <v>1689</v>
      </c>
      <c r="B1690">
        <v>40</v>
      </c>
      <c r="C1690" t="s">
        <v>23</v>
      </c>
      <c r="D1690" t="s">
        <v>22</v>
      </c>
      <c r="E1690">
        <v>7</v>
      </c>
      <c r="F1690">
        <v>3.9</v>
      </c>
      <c r="G1690">
        <v>0</v>
      </c>
      <c r="H1690" t="str">
        <f t="shared" si="26"/>
        <v>No Night Usage</v>
      </c>
      <c r="I1690">
        <v>5.7</v>
      </c>
      <c r="J1690" s="3">
        <v>3</v>
      </c>
      <c r="K1690">
        <v>11.7</v>
      </c>
      <c r="L1690" t="s">
        <v>25</v>
      </c>
      <c r="M1690">
        <v>9</v>
      </c>
      <c r="N1690">
        <v>2</v>
      </c>
      <c r="O1690">
        <v>1</v>
      </c>
      <c r="P1690">
        <v>0</v>
      </c>
      <c r="Q1690">
        <v>0</v>
      </c>
      <c r="R1690">
        <v>0</v>
      </c>
      <c r="S1690">
        <v>0</v>
      </c>
      <c r="T1690" t="str">
        <f>IF(mental_health[Sleep_Hours]&lt;5,"Low",IF(mental_health[Sleep_Hours]&lt;7,"Medium","Good"))</f>
        <v>Medium</v>
      </c>
      <c r="U1690" t="str">
        <f>IF(mental_health[Stress_Level]&lt;=3,"Low",IF(mental_health[Stress_Level]&lt;=7,"Medium","High"))</f>
        <v>Low</v>
      </c>
      <c r="V1690" t="str">
        <f>IF(mental_health[Daily_Screen_Time]&lt;=4,"Low",IF(mental_health[Daily_Screen_Time]&lt;=8,"Medium","High"))</f>
        <v>Medium</v>
      </c>
    </row>
    <row r="1691" spans="1:22" x14ac:dyDescent="0.3">
      <c r="A1691">
        <v>1690</v>
      </c>
      <c r="B1691">
        <v>45</v>
      </c>
      <c r="C1691" t="s">
        <v>18</v>
      </c>
      <c r="D1691" t="s">
        <v>19</v>
      </c>
      <c r="E1691">
        <v>5.2</v>
      </c>
      <c r="F1691">
        <v>3.3</v>
      </c>
      <c r="G1691">
        <v>0</v>
      </c>
      <c r="H1691" t="str">
        <f t="shared" si="26"/>
        <v>No Night Usage</v>
      </c>
      <c r="I1691">
        <v>6.1</v>
      </c>
      <c r="J1691" s="3">
        <v>4</v>
      </c>
      <c r="K1691">
        <v>9.3000000000000007</v>
      </c>
      <c r="L1691" t="s">
        <v>21</v>
      </c>
      <c r="M1691">
        <v>3</v>
      </c>
      <c r="N1691">
        <v>2</v>
      </c>
      <c r="O1691">
        <v>1</v>
      </c>
      <c r="P1691">
        <v>0</v>
      </c>
      <c r="Q1691">
        <v>1</v>
      </c>
      <c r="R1691">
        <v>0</v>
      </c>
      <c r="S1691">
        <v>1</v>
      </c>
      <c r="T1691" t="str">
        <f>IF(mental_health[Sleep_Hours]&lt;5,"Low",IF(mental_health[Sleep_Hours]&lt;7,"Medium","Good"))</f>
        <v>Medium</v>
      </c>
      <c r="U1691" t="str">
        <f>IF(mental_health[Stress_Level]&lt;=3,"Low",IF(mental_health[Stress_Level]&lt;=7,"Medium","High"))</f>
        <v>Medium</v>
      </c>
      <c r="V1691" t="str">
        <f>IF(mental_health[Daily_Screen_Time]&lt;=4,"Low",IF(mental_health[Daily_Screen_Time]&lt;=8,"Medium","High"))</f>
        <v>Medium</v>
      </c>
    </row>
    <row r="1692" spans="1:22" x14ac:dyDescent="0.3">
      <c r="A1692">
        <v>1691</v>
      </c>
      <c r="B1692">
        <v>29</v>
      </c>
      <c r="C1692" t="s">
        <v>18</v>
      </c>
      <c r="D1692" t="s">
        <v>22</v>
      </c>
      <c r="E1692">
        <v>4.5999999999999996</v>
      </c>
      <c r="F1692">
        <v>5.2</v>
      </c>
      <c r="G1692">
        <v>1</v>
      </c>
      <c r="H1692" t="str">
        <f t="shared" si="26"/>
        <v>Night Usage</v>
      </c>
      <c r="I1692">
        <v>7.3</v>
      </c>
      <c r="J1692" s="3">
        <v>6</v>
      </c>
      <c r="K1692">
        <v>4.5</v>
      </c>
      <c r="L1692" t="s">
        <v>21</v>
      </c>
      <c r="M1692">
        <v>5</v>
      </c>
      <c r="N1692">
        <v>1</v>
      </c>
      <c r="O1692">
        <v>1</v>
      </c>
      <c r="P1692">
        <v>0</v>
      </c>
      <c r="Q1692">
        <v>0</v>
      </c>
      <c r="R1692">
        <v>1</v>
      </c>
      <c r="S1692">
        <v>1</v>
      </c>
      <c r="T1692" t="str">
        <f>IF(mental_health[Sleep_Hours]&lt;5,"Low",IF(mental_health[Sleep_Hours]&lt;7,"Medium","Good"))</f>
        <v>Good</v>
      </c>
      <c r="U1692" t="str">
        <f>IF(mental_health[Stress_Level]&lt;=3,"Low",IF(mental_health[Stress_Level]&lt;=7,"Medium","High"))</f>
        <v>Medium</v>
      </c>
      <c r="V1692" t="str">
        <f>IF(mental_health[Daily_Screen_Time]&lt;=4,"Low",IF(mental_health[Daily_Screen_Time]&lt;=8,"Medium","High"))</f>
        <v>Medium</v>
      </c>
    </row>
    <row r="1693" spans="1:22" x14ac:dyDescent="0.3">
      <c r="A1693">
        <v>1692</v>
      </c>
      <c r="B1693">
        <v>22</v>
      </c>
      <c r="C1693" t="s">
        <v>23</v>
      </c>
      <c r="D1693" t="s">
        <v>24</v>
      </c>
      <c r="E1693">
        <v>6.6</v>
      </c>
      <c r="F1693">
        <v>7.5</v>
      </c>
      <c r="G1693">
        <v>0</v>
      </c>
      <c r="H1693" t="str">
        <f t="shared" si="26"/>
        <v>No Night Usage</v>
      </c>
      <c r="I1693">
        <v>4.5999999999999996</v>
      </c>
      <c r="J1693" s="3">
        <v>5</v>
      </c>
      <c r="K1693">
        <v>9.1999999999999993</v>
      </c>
      <c r="L1693" t="s">
        <v>21</v>
      </c>
      <c r="M1693">
        <v>3</v>
      </c>
      <c r="N1693">
        <v>3</v>
      </c>
      <c r="O1693">
        <v>1</v>
      </c>
      <c r="P1693">
        <v>0</v>
      </c>
      <c r="Q1693">
        <v>1</v>
      </c>
      <c r="R1693">
        <v>0</v>
      </c>
      <c r="S1693">
        <v>1</v>
      </c>
      <c r="T1693" t="str">
        <f>IF(mental_health[Sleep_Hours]&lt;5,"Low",IF(mental_health[Sleep_Hours]&lt;7,"Medium","Good"))</f>
        <v>Low</v>
      </c>
      <c r="U1693" t="str">
        <f>IF(mental_health[Stress_Level]&lt;=3,"Low",IF(mental_health[Stress_Level]&lt;=7,"Medium","High"))</f>
        <v>Medium</v>
      </c>
      <c r="V1693" t="str">
        <f>IF(mental_health[Daily_Screen_Time]&lt;=4,"Low",IF(mental_health[Daily_Screen_Time]&lt;=8,"Medium","High"))</f>
        <v>Medium</v>
      </c>
    </row>
    <row r="1694" spans="1:22" x14ac:dyDescent="0.3">
      <c r="A1694">
        <v>1693</v>
      </c>
      <c r="B1694">
        <v>32</v>
      </c>
      <c r="C1694" t="s">
        <v>18</v>
      </c>
      <c r="D1694" t="s">
        <v>22</v>
      </c>
      <c r="E1694">
        <v>3.3</v>
      </c>
      <c r="F1694">
        <v>6.9</v>
      </c>
      <c r="G1694">
        <v>1</v>
      </c>
      <c r="H1694" t="str">
        <f t="shared" si="26"/>
        <v>Night Usage</v>
      </c>
      <c r="I1694">
        <v>3.7</v>
      </c>
      <c r="J1694" s="3">
        <v>4</v>
      </c>
      <c r="K1694">
        <v>7.8</v>
      </c>
      <c r="L1694" t="s">
        <v>25</v>
      </c>
      <c r="M1694">
        <v>3</v>
      </c>
      <c r="N1694">
        <v>1</v>
      </c>
      <c r="O1694">
        <v>0</v>
      </c>
      <c r="P1694">
        <v>0</v>
      </c>
      <c r="Q1694">
        <v>1</v>
      </c>
      <c r="R1694">
        <v>1</v>
      </c>
      <c r="S1694">
        <v>1</v>
      </c>
      <c r="T1694" t="str">
        <f>IF(mental_health[Sleep_Hours]&lt;5,"Low",IF(mental_health[Sleep_Hours]&lt;7,"Medium","Good"))</f>
        <v>Low</v>
      </c>
      <c r="U1694" t="str">
        <f>IF(mental_health[Stress_Level]&lt;=3,"Low",IF(mental_health[Stress_Level]&lt;=7,"Medium","High"))</f>
        <v>Medium</v>
      </c>
      <c r="V1694" t="str">
        <f>IF(mental_health[Daily_Screen_Time]&lt;=4,"Low",IF(mental_health[Daily_Screen_Time]&lt;=8,"Medium","High"))</f>
        <v>Low</v>
      </c>
    </row>
    <row r="1695" spans="1:22" x14ac:dyDescent="0.3">
      <c r="A1695">
        <v>1694</v>
      </c>
      <c r="B1695">
        <v>59</v>
      </c>
      <c r="C1695" t="s">
        <v>23</v>
      </c>
      <c r="D1695" t="s">
        <v>19</v>
      </c>
      <c r="E1695">
        <v>11.3</v>
      </c>
      <c r="F1695">
        <v>8</v>
      </c>
      <c r="G1695">
        <v>1</v>
      </c>
      <c r="H1695" t="str">
        <f t="shared" si="26"/>
        <v>Night Usage</v>
      </c>
      <c r="I1695">
        <v>6.3</v>
      </c>
      <c r="J1695" s="3">
        <v>9</v>
      </c>
      <c r="K1695">
        <v>3.1</v>
      </c>
      <c r="L1695" t="s">
        <v>25</v>
      </c>
      <c r="M1695">
        <v>1</v>
      </c>
      <c r="N1695">
        <v>1</v>
      </c>
      <c r="O1695">
        <v>1</v>
      </c>
      <c r="P1695">
        <v>1</v>
      </c>
      <c r="Q1695">
        <v>1</v>
      </c>
      <c r="R1695">
        <v>1</v>
      </c>
      <c r="S1695">
        <v>1</v>
      </c>
      <c r="T1695" t="str">
        <f>IF(mental_health[Sleep_Hours]&lt;5,"Low",IF(mental_health[Sleep_Hours]&lt;7,"Medium","Good"))</f>
        <v>Medium</v>
      </c>
      <c r="U1695" t="str">
        <f>IF(mental_health[Stress_Level]&lt;=3,"Low",IF(mental_health[Stress_Level]&lt;=7,"Medium","High"))</f>
        <v>High</v>
      </c>
      <c r="V1695" t="str">
        <f>IF(mental_health[Daily_Screen_Time]&lt;=4,"Low",IF(mental_health[Daily_Screen_Time]&lt;=8,"Medium","High"))</f>
        <v>High</v>
      </c>
    </row>
    <row r="1696" spans="1:22" x14ac:dyDescent="0.3">
      <c r="A1696">
        <v>1695</v>
      </c>
      <c r="B1696">
        <v>35</v>
      </c>
      <c r="C1696" t="s">
        <v>23</v>
      </c>
      <c r="D1696" t="s">
        <v>22</v>
      </c>
      <c r="E1696">
        <v>10.7</v>
      </c>
      <c r="F1696">
        <v>1.2</v>
      </c>
      <c r="G1696">
        <v>1</v>
      </c>
      <c r="H1696" t="str">
        <f t="shared" si="26"/>
        <v>Night Usage</v>
      </c>
      <c r="I1696">
        <v>5</v>
      </c>
      <c r="J1696" s="3">
        <v>6</v>
      </c>
      <c r="K1696">
        <v>3.8</v>
      </c>
      <c r="L1696" t="s">
        <v>21</v>
      </c>
      <c r="M1696">
        <v>2</v>
      </c>
      <c r="N1696">
        <v>0</v>
      </c>
      <c r="O1696">
        <v>0</v>
      </c>
      <c r="P1696">
        <v>1</v>
      </c>
      <c r="Q1696">
        <v>1</v>
      </c>
      <c r="R1696">
        <v>1</v>
      </c>
      <c r="S1696">
        <v>1</v>
      </c>
      <c r="T1696" t="str">
        <f>IF(mental_health[Sleep_Hours]&lt;5,"Low",IF(mental_health[Sleep_Hours]&lt;7,"Medium","Good"))</f>
        <v>Medium</v>
      </c>
      <c r="U1696" t="str">
        <f>IF(mental_health[Stress_Level]&lt;=3,"Low",IF(mental_health[Stress_Level]&lt;=7,"Medium","High"))</f>
        <v>Medium</v>
      </c>
      <c r="V1696" t="str">
        <f>IF(mental_health[Daily_Screen_Time]&lt;=4,"Low",IF(mental_health[Daily_Screen_Time]&lt;=8,"Medium","High"))</f>
        <v>High</v>
      </c>
    </row>
    <row r="1697" spans="1:22" x14ac:dyDescent="0.3">
      <c r="A1697">
        <v>1696</v>
      </c>
      <c r="B1697">
        <v>51</v>
      </c>
      <c r="C1697" t="s">
        <v>18</v>
      </c>
      <c r="D1697" t="s">
        <v>22</v>
      </c>
      <c r="E1697">
        <v>9.1</v>
      </c>
      <c r="F1697">
        <v>1.8</v>
      </c>
      <c r="G1697">
        <v>0</v>
      </c>
      <c r="H1697" t="str">
        <f t="shared" si="26"/>
        <v>No Night Usage</v>
      </c>
      <c r="I1697">
        <v>5.7</v>
      </c>
      <c r="J1697" s="3">
        <v>6</v>
      </c>
      <c r="K1697">
        <v>2.4</v>
      </c>
      <c r="L1697" t="s">
        <v>21</v>
      </c>
      <c r="M1697">
        <v>2</v>
      </c>
      <c r="N1697">
        <v>2</v>
      </c>
      <c r="O1697">
        <v>1</v>
      </c>
      <c r="P1697">
        <v>1</v>
      </c>
      <c r="Q1697">
        <v>0</v>
      </c>
      <c r="R1697">
        <v>1</v>
      </c>
      <c r="S1697">
        <v>0</v>
      </c>
      <c r="T1697" t="str">
        <f>IF(mental_health[Sleep_Hours]&lt;5,"Low",IF(mental_health[Sleep_Hours]&lt;7,"Medium","Good"))</f>
        <v>Medium</v>
      </c>
      <c r="U1697" t="str">
        <f>IF(mental_health[Stress_Level]&lt;=3,"Low",IF(mental_health[Stress_Level]&lt;=7,"Medium","High"))</f>
        <v>Medium</v>
      </c>
      <c r="V1697" t="str">
        <f>IF(mental_health[Daily_Screen_Time]&lt;=4,"Low",IF(mental_health[Daily_Screen_Time]&lt;=8,"Medium","High"))</f>
        <v>High</v>
      </c>
    </row>
    <row r="1698" spans="1:22" x14ac:dyDescent="0.3">
      <c r="A1698">
        <v>1697</v>
      </c>
      <c r="B1698">
        <v>24</v>
      </c>
      <c r="C1698" t="s">
        <v>23</v>
      </c>
      <c r="D1698" t="s">
        <v>24</v>
      </c>
      <c r="E1698">
        <v>3.1</v>
      </c>
      <c r="F1698">
        <v>5.3</v>
      </c>
      <c r="G1698">
        <v>1</v>
      </c>
      <c r="H1698" t="str">
        <f t="shared" si="26"/>
        <v>Night Usage</v>
      </c>
      <c r="I1698">
        <v>6.9</v>
      </c>
      <c r="J1698" s="3">
        <v>2</v>
      </c>
      <c r="K1698">
        <v>10.1</v>
      </c>
      <c r="L1698" t="s">
        <v>20</v>
      </c>
      <c r="M1698">
        <v>9</v>
      </c>
      <c r="N1698">
        <v>0</v>
      </c>
      <c r="O1698">
        <v>0</v>
      </c>
      <c r="P1698">
        <v>0</v>
      </c>
      <c r="Q1698">
        <v>1</v>
      </c>
      <c r="R1698">
        <v>0</v>
      </c>
      <c r="S1698">
        <v>1</v>
      </c>
      <c r="T1698" t="str">
        <f>IF(mental_health[Sleep_Hours]&lt;5,"Low",IF(mental_health[Sleep_Hours]&lt;7,"Medium","Good"))</f>
        <v>Medium</v>
      </c>
      <c r="U1698" t="str">
        <f>IF(mental_health[Stress_Level]&lt;=3,"Low",IF(mental_health[Stress_Level]&lt;=7,"Medium","High"))</f>
        <v>Low</v>
      </c>
      <c r="V1698" t="str">
        <f>IF(mental_health[Daily_Screen_Time]&lt;=4,"Low",IF(mental_health[Daily_Screen_Time]&lt;=8,"Medium","High"))</f>
        <v>Low</v>
      </c>
    </row>
    <row r="1699" spans="1:22" x14ac:dyDescent="0.3">
      <c r="A1699">
        <v>1698</v>
      </c>
      <c r="B1699">
        <v>53</v>
      </c>
      <c r="C1699" t="s">
        <v>18</v>
      </c>
      <c r="D1699" t="s">
        <v>22</v>
      </c>
      <c r="E1699">
        <v>9.8000000000000007</v>
      </c>
      <c r="F1699">
        <v>6.7</v>
      </c>
      <c r="G1699">
        <v>0</v>
      </c>
      <c r="H1699" t="str">
        <f t="shared" si="26"/>
        <v>No Night Usage</v>
      </c>
      <c r="I1699">
        <v>6</v>
      </c>
      <c r="J1699" s="3">
        <v>6</v>
      </c>
      <c r="K1699">
        <v>7.5</v>
      </c>
      <c r="L1699" t="s">
        <v>20</v>
      </c>
      <c r="M1699">
        <v>7</v>
      </c>
      <c r="N1699">
        <v>0</v>
      </c>
      <c r="O1699">
        <v>1</v>
      </c>
      <c r="P1699">
        <v>1</v>
      </c>
      <c r="Q1699">
        <v>1</v>
      </c>
      <c r="R1699">
        <v>1</v>
      </c>
      <c r="S1699">
        <v>0</v>
      </c>
      <c r="T1699" t="str">
        <f>IF(mental_health[Sleep_Hours]&lt;5,"Low",IF(mental_health[Sleep_Hours]&lt;7,"Medium","Good"))</f>
        <v>Medium</v>
      </c>
      <c r="U1699" t="str">
        <f>IF(mental_health[Stress_Level]&lt;=3,"Low",IF(mental_health[Stress_Level]&lt;=7,"Medium","High"))</f>
        <v>Medium</v>
      </c>
      <c r="V1699" t="str">
        <f>IF(mental_health[Daily_Screen_Time]&lt;=4,"Low",IF(mental_health[Daily_Screen_Time]&lt;=8,"Medium","High"))</f>
        <v>High</v>
      </c>
    </row>
    <row r="1700" spans="1:22" x14ac:dyDescent="0.3">
      <c r="A1700">
        <v>1699</v>
      </c>
      <c r="B1700">
        <v>37</v>
      </c>
      <c r="C1700" t="s">
        <v>18</v>
      </c>
      <c r="D1700" t="s">
        <v>24</v>
      </c>
      <c r="E1700">
        <v>10.1</v>
      </c>
      <c r="F1700">
        <v>3</v>
      </c>
      <c r="G1700">
        <v>0</v>
      </c>
      <c r="H1700" t="str">
        <f t="shared" si="26"/>
        <v>No Night Usage</v>
      </c>
      <c r="I1700">
        <v>6.7</v>
      </c>
      <c r="J1700" s="3">
        <v>7</v>
      </c>
      <c r="K1700">
        <v>5.2</v>
      </c>
      <c r="L1700" t="s">
        <v>21</v>
      </c>
      <c r="M1700">
        <v>8</v>
      </c>
      <c r="N1700">
        <v>1</v>
      </c>
      <c r="O1700">
        <v>1</v>
      </c>
      <c r="P1700">
        <v>0</v>
      </c>
      <c r="Q1700">
        <v>1</v>
      </c>
      <c r="R1700">
        <v>1</v>
      </c>
      <c r="S1700">
        <v>0</v>
      </c>
      <c r="T1700" t="str">
        <f>IF(mental_health[Sleep_Hours]&lt;5,"Low",IF(mental_health[Sleep_Hours]&lt;7,"Medium","Good"))</f>
        <v>Medium</v>
      </c>
      <c r="U1700" t="str">
        <f>IF(mental_health[Stress_Level]&lt;=3,"Low",IF(mental_health[Stress_Level]&lt;=7,"Medium","High"))</f>
        <v>Medium</v>
      </c>
      <c r="V1700" t="str">
        <f>IF(mental_health[Daily_Screen_Time]&lt;=4,"Low",IF(mental_health[Daily_Screen_Time]&lt;=8,"Medium","High"))</f>
        <v>High</v>
      </c>
    </row>
    <row r="1701" spans="1:22" x14ac:dyDescent="0.3">
      <c r="A1701">
        <v>1700</v>
      </c>
      <c r="B1701">
        <v>17</v>
      </c>
      <c r="C1701" t="s">
        <v>23</v>
      </c>
      <c r="D1701" t="s">
        <v>24</v>
      </c>
      <c r="E1701">
        <v>9.6999999999999993</v>
      </c>
      <c r="F1701">
        <v>2.7</v>
      </c>
      <c r="G1701">
        <v>0</v>
      </c>
      <c r="H1701" t="str">
        <f t="shared" si="26"/>
        <v>No Night Usage</v>
      </c>
      <c r="I1701">
        <v>6.3</v>
      </c>
      <c r="J1701" s="3">
        <v>8</v>
      </c>
      <c r="K1701">
        <v>3.3</v>
      </c>
      <c r="L1701" t="s">
        <v>25</v>
      </c>
      <c r="M1701">
        <v>2</v>
      </c>
      <c r="N1701">
        <v>0</v>
      </c>
      <c r="O1701">
        <v>1</v>
      </c>
      <c r="P1701">
        <v>0</v>
      </c>
      <c r="Q1701">
        <v>1</v>
      </c>
      <c r="R1701">
        <v>1</v>
      </c>
      <c r="S1701">
        <v>1</v>
      </c>
      <c r="T1701" t="str">
        <f>IF(mental_health[Sleep_Hours]&lt;5,"Low",IF(mental_health[Sleep_Hours]&lt;7,"Medium","Good"))</f>
        <v>Medium</v>
      </c>
      <c r="U1701" t="str">
        <f>IF(mental_health[Stress_Level]&lt;=3,"Low",IF(mental_health[Stress_Level]&lt;=7,"Medium","High"))</f>
        <v>High</v>
      </c>
      <c r="V1701" t="str">
        <f>IF(mental_health[Daily_Screen_Time]&lt;=4,"Low",IF(mental_health[Daily_Screen_Time]&lt;=8,"Medium","High"))</f>
        <v>High</v>
      </c>
    </row>
    <row r="1702" spans="1:22" x14ac:dyDescent="0.3">
      <c r="A1702">
        <v>1701</v>
      </c>
      <c r="B1702">
        <v>39</v>
      </c>
      <c r="C1702" t="s">
        <v>18</v>
      </c>
      <c r="D1702" t="s">
        <v>19</v>
      </c>
      <c r="E1702">
        <v>3.1</v>
      </c>
      <c r="F1702">
        <v>6.5</v>
      </c>
      <c r="G1702">
        <v>0</v>
      </c>
      <c r="H1702" t="str">
        <f t="shared" si="26"/>
        <v>No Night Usage</v>
      </c>
      <c r="I1702">
        <v>7.4</v>
      </c>
      <c r="J1702" s="3">
        <v>8</v>
      </c>
      <c r="K1702">
        <v>6.8</v>
      </c>
      <c r="L1702" t="s">
        <v>25</v>
      </c>
      <c r="M1702">
        <v>9</v>
      </c>
      <c r="N1702">
        <v>2</v>
      </c>
      <c r="O1702">
        <v>1</v>
      </c>
      <c r="P1702">
        <v>0</v>
      </c>
      <c r="Q1702">
        <v>1</v>
      </c>
      <c r="R1702">
        <v>1</v>
      </c>
      <c r="S1702">
        <v>1</v>
      </c>
      <c r="T1702" t="str">
        <f>IF(mental_health[Sleep_Hours]&lt;5,"Low",IF(mental_health[Sleep_Hours]&lt;7,"Medium","Good"))</f>
        <v>Good</v>
      </c>
      <c r="U1702" t="str">
        <f>IF(mental_health[Stress_Level]&lt;=3,"Low",IF(mental_health[Stress_Level]&lt;=7,"Medium","High"))</f>
        <v>High</v>
      </c>
      <c r="V1702" t="str">
        <f>IF(mental_health[Daily_Screen_Time]&lt;=4,"Low",IF(mental_health[Daily_Screen_Time]&lt;=8,"Medium","High"))</f>
        <v>Low</v>
      </c>
    </row>
    <row r="1703" spans="1:22" x14ac:dyDescent="0.3">
      <c r="A1703">
        <v>1702</v>
      </c>
      <c r="B1703">
        <v>23</v>
      </c>
      <c r="C1703" t="s">
        <v>23</v>
      </c>
      <c r="D1703" t="s">
        <v>24</v>
      </c>
      <c r="E1703">
        <v>8.4</v>
      </c>
      <c r="F1703">
        <v>1.4</v>
      </c>
      <c r="G1703">
        <v>1</v>
      </c>
      <c r="H1703" t="str">
        <f t="shared" si="26"/>
        <v>Night Usage</v>
      </c>
      <c r="I1703">
        <v>7.2</v>
      </c>
      <c r="J1703" s="3">
        <v>9</v>
      </c>
      <c r="K1703">
        <v>7.3</v>
      </c>
      <c r="L1703" t="s">
        <v>20</v>
      </c>
      <c r="M1703">
        <v>3</v>
      </c>
      <c r="N1703">
        <v>1</v>
      </c>
      <c r="O1703">
        <v>0</v>
      </c>
      <c r="P1703">
        <v>1</v>
      </c>
      <c r="Q1703">
        <v>1</v>
      </c>
      <c r="R1703">
        <v>1</v>
      </c>
      <c r="S1703">
        <v>0</v>
      </c>
      <c r="T1703" t="str">
        <f>IF(mental_health[Sleep_Hours]&lt;5,"Low",IF(mental_health[Sleep_Hours]&lt;7,"Medium","Good"))</f>
        <v>Good</v>
      </c>
      <c r="U1703" t="str">
        <f>IF(mental_health[Stress_Level]&lt;=3,"Low",IF(mental_health[Stress_Level]&lt;=7,"Medium","High"))</f>
        <v>High</v>
      </c>
      <c r="V1703" t="str">
        <f>IF(mental_health[Daily_Screen_Time]&lt;=4,"Low",IF(mental_health[Daily_Screen_Time]&lt;=8,"Medium","High"))</f>
        <v>High</v>
      </c>
    </row>
    <row r="1704" spans="1:22" x14ac:dyDescent="0.3">
      <c r="A1704">
        <v>1703</v>
      </c>
      <c r="B1704">
        <v>26</v>
      </c>
      <c r="C1704" t="s">
        <v>18</v>
      </c>
      <c r="D1704" t="s">
        <v>24</v>
      </c>
      <c r="E1704">
        <v>10.3</v>
      </c>
      <c r="F1704">
        <v>3.6</v>
      </c>
      <c r="G1704">
        <v>1</v>
      </c>
      <c r="H1704" t="str">
        <f t="shared" si="26"/>
        <v>Night Usage</v>
      </c>
      <c r="I1704">
        <v>6.2</v>
      </c>
      <c r="J1704" s="3">
        <v>10</v>
      </c>
      <c r="K1704">
        <v>9</v>
      </c>
      <c r="L1704" t="s">
        <v>21</v>
      </c>
      <c r="M1704">
        <v>10</v>
      </c>
      <c r="N1704">
        <v>2</v>
      </c>
      <c r="O1704">
        <v>1</v>
      </c>
      <c r="P1704">
        <v>1</v>
      </c>
      <c r="Q1704">
        <v>1</v>
      </c>
      <c r="R1704">
        <v>1</v>
      </c>
      <c r="S1704">
        <v>1</v>
      </c>
      <c r="T1704" t="str">
        <f>IF(mental_health[Sleep_Hours]&lt;5,"Low",IF(mental_health[Sleep_Hours]&lt;7,"Medium","Good"))</f>
        <v>Medium</v>
      </c>
      <c r="U1704" t="str">
        <f>IF(mental_health[Stress_Level]&lt;=3,"Low",IF(mental_health[Stress_Level]&lt;=7,"Medium","High"))</f>
        <v>High</v>
      </c>
      <c r="V1704" t="str">
        <f>IF(mental_health[Daily_Screen_Time]&lt;=4,"Low",IF(mental_health[Daily_Screen_Time]&lt;=8,"Medium","High"))</f>
        <v>High</v>
      </c>
    </row>
    <row r="1705" spans="1:22" x14ac:dyDescent="0.3">
      <c r="A1705">
        <v>1704</v>
      </c>
      <c r="B1705">
        <v>28</v>
      </c>
      <c r="C1705" t="s">
        <v>18</v>
      </c>
      <c r="D1705" t="s">
        <v>19</v>
      </c>
      <c r="E1705">
        <v>7.8</v>
      </c>
      <c r="F1705">
        <v>4.5</v>
      </c>
      <c r="G1705">
        <v>0</v>
      </c>
      <c r="H1705" t="str">
        <f t="shared" si="26"/>
        <v>No Night Usage</v>
      </c>
      <c r="I1705">
        <v>7.1</v>
      </c>
      <c r="J1705" s="3">
        <v>3</v>
      </c>
      <c r="K1705">
        <v>11.7</v>
      </c>
      <c r="L1705" t="s">
        <v>25</v>
      </c>
      <c r="M1705">
        <v>2</v>
      </c>
      <c r="N1705">
        <v>4</v>
      </c>
      <c r="O1705">
        <v>0</v>
      </c>
      <c r="P1705">
        <v>0</v>
      </c>
      <c r="Q1705">
        <v>0</v>
      </c>
      <c r="R1705">
        <v>1</v>
      </c>
      <c r="S1705">
        <v>1</v>
      </c>
      <c r="T1705" t="str">
        <f>IF(mental_health[Sleep_Hours]&lt;5,"Low",IF(mental_health[Sleep_Hours]&lt;7,"Medium","Good"))</f>
        <v>Good</v>
      </c>
      <c r="U1705" t="str">
        <f>IF(mental_health[Stress_Level]&lt;=3,"Low",IF(mental_health[Stress_Level]&lt;=7,"Medium","High"))</f>
        <v>Low</v>
      </c>
      <c r="V1705" t="str">
        <f>IF(mental_health[Daily_Screen_Time]&lt;=4,"Low",IF(mental_health[Daily_Screen_Time]&lt;=8,"Medium","High"))</f>
        <v>Medium</v>
      </c>
    </row>
    <row r="1706" spans="1:22" x14ac:dyDescent="0.3">
      <c r="A1706">
        <v>1705</v>
      </c>
      <c r="B1706">
        <v>32</v>
      </c>
      <c r="C1706" t="s">
        <v>18</v>
      </c>
      <c r="D1706" t="s">
        <v>24</v>
      </c>
      <c r="E1706">
        <v>8.5</v>
      </c>
      <c r="F1706">
        <v>4.9000000000000004</v>
      </c>
      <c r="G1706">
        <v>1</v>
      </c>
      <c r="H1706" t="str">
        <f t="shared" si="26"/>
        <v>Night Usage</v>
      </c>
      <c r="I1706">
        <v>8.1999999999999993</v>
      </c>
      <c r="J1706" s="3">
        <v>10</v>
      </c>
      <c r="K1706">
        <v>6.3</v>
      </c>
      <c r="L1706" t="s">
        <v>25</v>
      </c>
      <c r="M1706">
        <v>1</v>
      </c>
      <c r="N1706">
        <v>0</v>
      </c>
      <c r="O1706">
        <v>0</v>
      </c>
      <c r="P1706">
        <v>0</v>
      </c>
      <c r="Q1706">
        <v>0</v>
      </c>
      <c r="R1706">
        <v>1</v>
      </c>
      <c r="S1706">
        <v>1</v>
      </c>
      <c r="T1706" t="str">
        <f>IF(mental_health[Sleep_Hours]&lt;5,"Low",IF(mental_health[Sleep_Hours]&lt;7,"Medium","Good"))</f>
        <v>Good</v>
      </c>
      <c r="U1706" t="str">
        <f>IF(mental_health[Stress_Level]&lt;=3,"Low",IF(mental_health[Stress_Level]&lt;=7,"Medium","High"))</f>
        <v>High</v>
      </c>
      <c r="V1706" t="str">
        <f>IF(mental_health[Daily_Screen_Time]&lt;=4,"Low",IF(mental_health[Daily_Screen_Time]&lt;=8,"Medium","High"))</f>
        <v>High</v>
      </c>
    </row>
    <row r="1707" spans="1:22" x14ac:dyDescent="0.3">
      <c r="A1707">
        <v>1706</v>
      </c>
      <c r="B1707">
        <v>23</v>
      </c>
      <c r="C1707" t="s">
        <v>18</v>
      </c>
      <c r="D1707" t="s">
        <v>19</v>
      </c>
      <c r="E1707">
        <v>6.6</v>
      </c>
      <c r="F1707">
        <v>6.1</v>
      </c>
      <c r="G1707">
        <v>1</v>
      </c>
      <c r="H1707" t="str">
        <f t="shared" si="26"/>
        <v>Night Usage</v>
      </c>
      <c r="I1707">
        <v>5.6</v>
      </c>
      <c r="J1707" s="3">
        <v>7</v>
      </c>
      <c r="K1707">
        <v>6.1</v>
      </c>
      <c r="L1707" t="s">
        <v>25</v>
      </c>
      <c r="M1707">
        <v>9</v>
      </c>
      <c r="N1707">
        <v>1</v>
      </c>
      <c r="O1707">
        <v>1</v>
      </c>
      <c r="P1707">
        <v>1</v>
      </c>
      <c r="Q1707">
        <v>0</v>
      </c>
      <c r="R1707">
        <v>1</v>
      </c>
      <c r="S1707">
        <v>1</v>
      </c>
      <c r="T1707" t="str">
        <f>IF(mental_health[Sleep_Hours]&lt;5,"Low",IF(mental_health[Sleep_Hours]&lt;7,"Medium","Good"))</f>
        <v>Medium</v>
      </c>
      <c r="U1707" t="str">
        <f>IF(mental_health[Stress_Level]&lt;=3,"Low",IF(mental_health[Stress_Level]&lt;=7,"Medium","High"))</f>
        <v>Medium</v>
      </c>
      <c r="V1707" t="str">
        <f>IF(mental_health[Daily_Screen_Time]&lt;=4,"Low",IF(mental_health[Daily_Screen_Time]&lt;=8,"Medium","High"))</f>
        <v>Medium</v>
      </c>
    </row>
    <row r="1708" spans="1:22" x14ac:dyDescent="0.3">
      <c r="A1708">
        <v>1707</v>
      </c>
      <c r="B1708">
        <v>36</v>
      </c>
      <c r="C1708" t="s">
        <v>18</v>
      </c>
      <c r="D1708" t="s">
        <v>22</v>
      </c>
      <c r="E1708">
        <v>7.3</v>
      </c>
      <c r="F1708">
        <v>3.5</v>
      </c>
      <c r="G1708">
        <v>1</v>
      </c>
      <c r="H1708" t="str">
        <f t="shared" si="26"/>
        <v>Night Usage</v>
      </c>
      <c r="I1708">
        <v>5.5</v>
      </c>
      <c r="J1708" s="3">
        <v>7</v>
      </c>
      <c r="K1708">
        <v>5.7</v>
      </c>
      <c r="L1708" t="s">
        <v>25</v>
      </c>
      <c r="M1708">
        <v>8</v>
      </c>
      <c r="N1708">
        <v>3</v>
      </c>
      <c r="O1708">
        <v>1</v>
      </c>
      <c r="P1708">
        <v>1</v>
      </c>
      <c r="Q1708">
        <v>0</v>
      </c>
      <c r="R1708">
        <v>1</v>
      </c>
      <c r="S1708">
        <v>0</v>
      </c>
      <c r="T1708" t="str">
        <f>IF(mental_health[Sleep_Hours]&lt;5,"Low",IF(mental_health[Sleep_Hours]&lt;7,"Medium","Good"))</f>
        <v>Medium</v>
      </c>
      <c r="U1708" t="str">
        <f>IF(mental_health[Stress_Level]&lt;=3,"Low",IF(mental_health[Stress_Level]&lt;=7,"Medium","High"))</f>
        <v>Medium</v>
      </c>
      <c r="V1708" t="str">
        <f>IF(mental_health[Daily_Screen_Time]&lt;=4,"Low",IF(mental_health[Daily_Screen_Time]&lt;=8,"Medium","High"))</f>
        <v>Medium</v>
      </c>
    </row>
    <row r="1709" spans="1:22" x14ac:dyDescent="0.3">
      <c r="A1709">
        <v>1708</v>
      </c>
      <c r="B1709">
        <v>33</v>
      </c>
      <c r="C1709" t="s">
        <v>23</v>
      </c>
      <c r="D1709" t="s">
        <v>19</v>
      </c>
      <c r="E1709">
        <v>2.2999999999999998</v>
      </c>
      <c r="F1709">
        <v>5.3</v>
      </c>
      <c r="G1709">
        <v>0</v>
      </c>
      <c r="H1709" t="str">
        <f t="shared" si="26"/>
        <v>No Night Usage</v>
      </c>
      <c r="I1709">
        <v>7.6</v>
      </c>
      <c r="J1709" s="3">
        <v>1</v>
      </c>
      <c r="K1709">
        <v>10.3</v>
      </c>
      <c r="L1709" t="s">
        <v>20</v>
      </c>
      <c r="M1709">
        <v>4</v>
      </c>
      <c r="N1709">
        <v>2</v>
      </c>
      <c r="O1709">
        <v>0</v>
      </c>
      <c r="P1709">
        <v>1</v>
      </c>
      <c r="Q1709">
        <v>0</v>
      </c>
      <c r="R1709">
        <v>0</v>
      </c>
      <c r="S1709">
        <v>0</v>
      </c>
      <c r="T1709" t="str">
        <f>IF(mental_health[Sleep_Hours]&lt;5,"Low",IF(mental_health[Sleep_Hours]&lt;7,"Medium","Good"))</f>
        <v>Good</v>
      </c>
      <c r="U1709" t="str">
        <f>IF(mental_health[Stress_Level]&lt;=3,"Low",IF(mental_health[Stress_Level]&lt;=7,"Medium","High"))</f>
        <v>Low</v>
      </c>
      <c r="V1709" t="str">
        <f>IF(mental_health[Daily_Screen_Time]&lt;=4,"Low",IF(mental_health[Daily_Screen_Time]&lt;=8,"Medium","High"))</f>
        <v>Low</v>
      </c>
    </row>
    <row r="1710" spans="1:22" x14ac:dyDescent="0.3">
      <c r="A1710">
        <v>1709</v>
      </c>
      <c r="B1710">
        <v>45</v>
      </c>
      <c r="C1710" t="s">
        <v>23</v>
      </c>
      <c r="D1710" t="s">
        <v>24</v>
      </c>
      <c r="E1710">
        <v>8.4</v>
      </c>
      <c r="F1710">
        <v>5.0999999999999996</v>
      </c>
      <c r="G1710">
        <v>1</v>
      </c>
      <c r="H1710" t="str">
        <f t="shared" si="26"/>
        <v>Night Usage</v>
      </c>
      <c r="I1710">
        <v>6.5</v>
      </c>
      <c r="J1710" s="3">
        <v>8</v>
      </c>
      <c r="K1710">
        <v>3.6</v>
      </c>
      <c r="L1710" t="s">
        <v>25</v>
      </c>
      <c r="M1710">
        <v>7</v>
      </c>
      <c r="N1710">
        <v>0</v>
      </c>
      <c r="O1710">
        <v>0</v>
      </c>
      <c r="P1710">
        <v>1</v>
      </c>
      <c r="Q1710">
        <v>0</v>
      </c>
      <c r="R1710">
        <v>1</v>
      </c>
      <c r="S1710">
        <v>1</v>
      </c>
      <c r="T1710" t="str">
        <f>IF(mental_health[Sleep_Hours]&lt;5,"Low",IF(mental_health[Sleep_Hours]&lt;7,"Medium","Good"))</f>
        <v>Medium</v>
      </c>
      <c r="U1710" t="str">
        <f>IF(mental_health[Stress_Level]&lt;=3,"Low",IF(mental_health[Stress_Level]&lt;=7,"Medium","High"))</f>
        <v>High</v>
      </c>
      <c r="V1710" t="str">
        <f>IF(mental_health[Daily_Screen_Time]&lt;=4,"Low",IF(mental_health[Daily_Screen_Time]&lt;=8,"Medium","High"))</f>
        <v>High</v>
      </c>
    </row>
    <row r="1711" spans="1:22" x14ac:dyDescent="0.3">
      <c r="A1711">
        <v>1710</v>
      </c>
      <c r="B1711">
        <v>33</v>
      </c>
      <c r="C1711" t="s">
        <v>23</v>
      </c>
      <c r="D1711" t="s">
        <v>19</v>
      </c>
      <c r="E1711">
        <v>2.8</v>
      </c>
      <c r="F1711">
        <v>4.8</v>
      </c>
      <c r="G1711">
        <v>0</v>
      </c>
      <c r="H1711" t="str">
        <f t="shared" si="26"/>
        <v>No Night Usage</v>
      </c>
      <c r="I1711">
        <v>3.4</v>
      </c>
      <c r="J1711" s="3">
        <v>4</v>
      </c>
      <c r="K1711">
        <v>5.4</v>
      </c>
      <c r="L1711" t="s">
        <v>25</v>
      </c>
      <c r="M1711">
        <v>3</v>
      </c>
      <c r="N1711">
        <v>2</v>
      </c>
      <c r="O1711">
        <v>0</v>
      </c>
      <c r="P1711">
        <v>1</v>
      </c>
      <c r="Q1711">
        <v>1</v>
      </c>
      <c r="R1711">
        <v>0</v>
      </c>
      <c r="S1711">
        <v>0</v>
      </c>
      <c r="T1711" t="str">
        <f>IF(mental_health[Sleep_Hours]&lt;5,"Low",IF(mental_health[Sleep_Hours]&lt;7,"Medium","Good"))</f>
        <v>Low</v>
      </c>
      <c r="U1711" t="str">
        <f>IF(mental_health[Stress_Level]&lt;=3,"Low",IF(mental_health[Stress_Level]&lt;=7,"Medium","High"))</f>
        <v>Medium</v>
      </c>
      <c r="V1711" t="str">
        <f>IF(mental_health[Daily_Screen_Time]&lt;=4,"Low",IF(mental_health[Daily_Screen_Time]&lt;=8,"Medium","High"))</f>
        <v>Low</v>
      </c>
    </row>
    <row r="1712" spans="1:22" x14ac:dyDescent="0.3">
      <c r="A1712">
        <v>1711</v>
      </c>
      <c r="B1712">
        <v>46</v>
      </c>
      <c r="C1712" t="s">
        <v>23</v>
      </c>
      <c r="D1712" t="s">
        <v>24</v>
      </c>
      <c r="E1712">
        <v>6.4</v>
      </c>
      <c r="F1712">
        <v>5.5</v>
      </c>
      <c r="G1712">
        <v>1</v>
      </c>
      <c r="H1712" t="str">
        <f t="shared" si="26"/>
        <v>Night Usage</v>
      </c>
      <c r="I1712">
        <v>8.4</v>
      </c>
      <c r="J1712" s="3">
        <v>5</v>
      </c>
      <c r="K1712">
        <v>9.1999999999999993</v>
      </c>
      <c r="L1712" t="s">
        <v>21</v>
      </c>
      <c r="M1712">
        <v>3</v>
      </c>
      <c r="N1712">
        <v>2</v>
      </c>
      <c r="O1712">
        <v>0</v>
      </c>
      <c r="P1712">
        <v>1</v>
      </c>
      <c r="Q1712">
        <v>1</v>
      </c>
      <c r="R1712">
        <v>1</v>
      </c>
      <c r="S1712">
        <v>1</v>
      </c>
      <c r="T1712" t="str">
        <f>IF(mental_health[Sleep_Hours]&lt;5,"Low",IF(mental_health[Sleep_Hours]&lt;7,"Medium","Good"))</f>
        <v>Good</v>
      </c>
      <c r="U1712" t="str">
        <f>IF(mental_health[Stress_Level]&lt;=3,"Low",IF(mental_health[Stress_Level]&lt;=7,"Medium","High"))</f>
        <v>Medium</v>
      </c>
      <c r="V1712" t="str">
        <f>IF(mental_health[Daily_Screen_Time]&lt;=4,"Low",IF(mental_health[Daily_Screen_Time]&lt;=8,"Medium","High"))</f>
        <v>Medium</v>
      </c>
    </row>
    <row r="1713" spans="1:22" x14ac:dyDescent="0.3">
      <c r="A1713">
        <v>1712</v>
      </c>
      <c r="B1713">
        <v>53</v>
      </c>
      <c r="C1713" t="s">
        <v>23</v>
      </c>
      <c r="D1713" t="s">
        <v>22</v>
      </c>
      <c r="E1713">
        <v>4.9000000000000004</v>
      </c>
      <c r="F1713">
        <v>2.8</v>
      </c>
      <c r="G1713">
        <v>0</v>
      </c>
      <c r="H1713" t="str">
        <f t="shared" si="26"/>
        <v>No Night Usage</v>
      </c>
      <c r="I1713">
        <v>3.2</v>
      </c>
      <c r="J1713" s="3">
        <v>6</v>
      </c>
      <c r="K1713">
        <v>2.2000000000000002</v>
      </c>
      <c r="L1713" t="s">
        <v>21</v>
      </c>
      <c r="M1713">
        <v>4</v>
      </c>
      <c r="N1713">
        <v>4</v>
      </c>
      <c r="O1713">
        <v>0</v>
      </c>
      <c r="P1713">
        <v>1</v>
      </c>
      <c r="Q1713">
        <v>0</v>
      </c>
      <c r="R1713">
        <v>0</v>
      </c>
      <c r="S1713">
        <v>0</v>
      </c>
      <c r="T1713" t="str">
        <f>IF(mental_health[Sleep_Hours]&lt;5,"Low",IF(mental_health[Sleep_Hours]&lt;7,"Medium","Good"))</f>
        <v>Low</v>
      </c>
      <c r="U1713" t="str">
        <f>IF(mental_health[Stress_Level]&lt;=3,"Low",IF(mental_health[Stress_Level]&lt;=7,"Medium","High"))</f>
        <v>Medium</v>
      </c>
      <c r="V1713" t="str">
        <f>IF(mental_health[Daily_Screen_Time]&lt;=4,"Low",IF(mental_health[Daily_Screen_Time]&lt;=8,"Medium","High"))</f>
        <v>Medium</v>
      </c>
    </row>
    <row r="1714" spans="1:22" x14ac:dyDescent="0.3">
      <c r="A1714">
        <v>1713</v>
      </c>
      <c r="B1714">
        <v>47</v>
      </c>
      <c r="C1714" t="s">
        <v>23</v>
      </c>
      <c r="D1714" t="s">
        <v>19</v>
      </c>
      <c r="E1714">
        <v>7.5</v>
      </c>
      <c r="F1714">
        <v>1.6</v>
      </c>
      <c r="G1714">
        <v>0</v>
      </c>
      <c r="H1714" t="str">
        <f t="shared" si="26"/>
        <v>No Night Usage</v>
      </c>
      <c r="I1714">
        <v>7.5</v>
      </c>
      <c r="J1714" s="3">
        <v>3</v>
      </c>
      <c r="K1714">
        <v>4.9000000000000004</v>
      </c>
      <c r="L1714" t="s">
        <v>20</v>
      </c>
      <c r="M1714">
        <v>2</v>
      </c>
      <c r="N1714">
        <v>2</v>
      </c>
      <c r="O1714">
        <v>1</v>
      </c>
      <c r="P1714">
        <v>0</v>
      </c>
      <c r="Q1714">
        <v>0</v>
      </c>
      <c r="R1714">
        <v>1</v>
      </c>
      <c r="S1714">
        <v>0</v>
      </c>
      <c r="T1714" t="str">
        <f>IF(mental_health[Sleep_Hours]&lt;5,"Low",IF(mental_health[Sleep_Hours]&lt;7,"Medium","Good"))</f>
        <v>Good</v>
      </c>
      <c r="U1714" t="str">
        <f>IF(mental_health[Stress_Level]&lt;=3,"Low",IF(mental_health[Stress_Level]&lt;=7,"Medium","High"))</f>
        <v>Low</v>
      </c>
      <c r="V1714" t="str">
        <f>IF(mental_health[Daily_Screen_Time]&lt;=4,"Low",IF(mental_health[Daily_Screen_Time]&lt;=8,"Medium","High"))</f>
        <v>Medium</v>
      </c>
    </row>
    <row r="1715" spans="1:22" x14ac:dyDescent="0.3">
      <c r="A1715">
        <v>1714</v>
      </c>
      <c r="B1715">
        <v>26</v>
      </c>
      <c r="C1715" t="s">
        <v>18</v>
      </c>
      <c r="D1715" t="s">
        <v>22</v>
      </c>
      <c r="E1715">
        <v>3.3</v>
      </c>
      <c r="F1715">
        <v>1.8</v>
      </c>
      <c r="G1715">
        <v>0</v>
      </c>
      <c r="H1715" t="str">
        <f t="shared" si="26"/>
        <v>No Night Usage</v>
      </c>
      <c r="I1715">
        <v>7.6</v>
      </c>
      <c r="J1715" s="3">
        <v>5</v>
      </c>
      <c r="K1715">
        <v>8.4</v>
      </c>
      <c r="L1715" t="s">
        <v>20</v>
      </c>
      <c r="M1715">
        <v>10</v>
      </c>
      <c r="N1715">
        <v>4</v>
      </c>
      <c r="O1715">
        <v>1</v>
      </c>
      <c r="P1715">
        <v>0</v>
      </c>
      <c r="Q1715">
        <v>0</v>
      </c>
      <c r="R1715">
        <v>0</v>
      </c>
      <c r="S1715">
        <v>0</v>
      </c>
      <c r="T1715" t="str">
        <f>IF(mental_health[Sleep_Hours]&lt;5,"Low",IF(mental_health[Sleep_Hours]&lt;7,"Medium","Good"))</f>
        <v>Good</v>
      </c>
      <c r="U1715" t="str">
        <f>IF(mental_health[Stress_Level]&lt;=3,"Low",IF(mental_health[Stress_Level]&lt;=7,"Medium","High"))</f>
        <v>Medium</v>
      </c>
      <c r="V1715" t="str">
        <f>IF(mental_health[Daily_Screen_Time]&lt;=4,"Low",IF(mental_health[Daily_Screen_Time]&lt;=8,"Medium","High"))</f>
        <v>Low</v>
      </c>
    </row>
    <row r="1716" spans="1:22" x14ac:dyDescent="0.3">
      <c r="A1716">
        <v>1715</v>
      </c>
      <c r="B1716">
        <v>40</v>
      </c>
      <c r="C1716" t="s">
        <v>18</v>
      </c>
      <c r="D1716" t="s">
        <v>24</v>
      </c>
      <c r="E1716">
        <v>8.9</v>
      </c>
      <c r="F1716">
        <v>2.6</v>
      </c>
      <c r="G1716">
        <v>1</v>
      </c>
      <c r="H1716" t="str">
        <f t="shared" si="26"/>
        <v>Night Usage</v>
      </c>
      <c r="I1716">
        <v>8.6999999999999993</v>
      </c>
      <c r="J1716" s="3">
        <v>10</v>
      </c>
      <c r="K1716">
        <v>3.9</v>
      </c>
      <c r="L1716" t="s">
        <v>20</v>
      </c>
      <c r="M1716">
        <v>4</v>
      </c>
      <c r="N1716">
        <v>4</v>
      </c>
      <c r="O1716">
        <v>0</v>
      </c>
      <c r="P1716">
        <v>1</v>
      </c>
      <c r="Q1716">
        <v>1</v>
      </c>
      <c r="R1716">
        <v>1</v>
      </c>
      <c r="S1716">
        <v>1</v>
      </c>
      <c r="T1716" t="str">
        <f>IF(mental_health[Sleep_Hours]&lt;5,"Low",IF(mental_health[Sleep_Hours]&lt;7,"Medium","Good"))</f>
        <v>Good</v>
      </c>
      <c r="U1716" t="str">
        <f>IF(mental_health[Stress_Level]&lt;=3,"Low",IF(mental_health[Stress_Level]&lt;=7,"Medium","High"))</f>
        <v>High</v>
      </c>
      <c r="V1716" t="str">
        <f>IF(mental_health[Daily_Screen_Time]&lt;=4,"Low",IF(mental_health[Daily_Screen_Time]&lt;=8,"Medium","High"))</f>
        <v>High</v>
      </c>
    </row>
    <row r="1717" spans="1:22" x14ac:dyDescent="0.3">
      <c r="A1717">
        <v>1716</v>
      </c>
      <c r="B1717">
        <v>48</v>
      </c>
      <c r="C1717" t="s">
        <v>23</v>
      </c>
      <c r="D1717" t="s">
        <v>24</v>
      </c>
      <c r="E1717">
        <v>10</v>
      </c>
      <c r="F1717">
        <v>4.5</v>
      </c>
      <c r="G1717">
        <v>0</v>
      </c>
      <c r="H1717" t="str">
        <f t="shared" si="26"/>
        <v>No Night Usage</v>
      </c>
      <c r="I1717">
        <v>3.3</v>
      </c>
      <c r="J1717" s="3">
        <v>5</v>
      </c>
      <c r="K1717">
        <v>5</v>
      </c>
      <c r="L1717" t="s">
        <v>20</v>
      </c>
      <c r="M1717">
        <v>10</v>
      </c>
      <c r="N1717">
        <v>4</v>
      </c>
      <c r="O1717">
        <v>1</v>
      </c>
      <c r="P1717">
        <v>1</v>
      </c>
      <c r="Q1717">
        <v>1</v>
      </c>
      <c r="R1717">
        <v>0</v>
      </c>
      <c r="S1717">
        <v>0</v>
      </c>
      <c r="T1717" t="str">
        <f>IF(mental_health[Sleep_Hours]&lt;5,"Low",IF(mental_health[Sleep_Hours]&lt;7,"Medium","Good"))</f>
        <v>Low</v>
      </c>
      <c r="U1717" t="str">
        <f>IF(mental_health[Stress_Level]&lt;=3,"Low",IF(mental_health[Stress_Level]&lt;=7,"Medium","High"))</f>
        <v>Medium</v>
      </c>
      <c r="V1717" t="str">
        <f>IF(mental_health[Daily_Screen_Time]&lt;=4,"Low",IF(mental_health[Daily_Screen_Time]&lt;=8,"Medium","High"))</f>
        <v>High</v>
      </c>
    </row>
    <row r="1718" spans="1:22" x14ac:dyDescent="0.3">
      <c r="A1718">
        <v>1717</v>
      </c>
      <c r="B1718">
        <v>53</v>
      </c>
      <c r="C1718" t="s">
        <v>23</v>
      </c>
      <c r="D1718" t="s">
        <v>22</v>
      </c>
      <c r="E1718">
        <v>3.6</v>
      </c>
      <c r="F1718">
        <v>6.9</v>
      </c>
      <c r="G1718">
        <v>1</v>
      </c>
      <c r="H1718" t="str">
        <f t="shared" si="26"/>
        <v>Night Usage</v>
      </c>
      <c r="I1718">
        <v>6.6</v>
      </c>
      <c r="J1718" s="3">
        <v>1</v>
      </c>
      <c r="K1718">
        <v>6.9</v>
      </c>
      <c r="L1718" t="s">
        <v>25</v>
      </c>
      <c r="M1718">
        <v>3</v>
      </c>
      <c r="N1718">
        <v>0</v>
      </c>
      <c r="O1718">
        <v>0</v>
      </c>
      <c r="P1718">
        <v>0</v>
      </c>
      <c r="Q1718">
        <v>0</v>
      </c>
      <c r="R1718">
        <v>0</v>
      </c>
      <c r="S1718">
        <v>1</v>
      </c>
      <c r="T1718" t="str">
        <f>IF(mental_health[Sleep_Hours]&lt;5,"Low",IF(mental_health[Sleep_Hours]&lt;7,"Medium","Good"))</f>
        <v>Medium</v>
      </c>
      <c r="U1718" t="str">
        <f>IF(mental_health[Stress_Level]&lt;=3,"Low",IF(mental_health[Stress_Level]&lt;=7,"Medium","High"))</f>
        <v>Low</v>
      </c>
      <c r="V1718" t="str">
        <f>IF(mental_health[Daily_Screen_Time]&lt;=4,"Low",IF(mental_health[Daily_Screen_Time]&lt;=8,"Medium","High"))</f>
        <v>Low</v>
      </c>
    </row>
    <row r="1719" spans="1:22" x14ac:dyDescent="0.3">
      <c r="A1719">
        <v>1718</v>
      </c>
      <c r="B1719">
        <v>56</v>
      </c>
      <c r="C1719" t="s">
        <v>18</v>
      </c>
      <c r="D1719" t="s">
        <v>19</v>
      </c>
      <c r="E1719">
        <v>3</v>
      </c>
      <c r="F1719">
        <v>5.9</v>
      </c>
      <c r="G1719">
        <v>0</v>
      </c>
      <c r="H1719" t="str">
        <f t="shared" si="26"/>
        <v>No Night Usage</v>
      </c>
      <c r="I1719">
        <v>5.6</v>
      </c>
      <c r="J1719" s="3">
        <v>3</v>
      </c>
      <c r="K1719">
        <v>6.2</v>
      </c>
      <c r="L1719" t="s">
        <v>21</v>
      </c>
      <c r="M1719">
        <v>8</v>
      </c>
      <c r="N1719">
        <v>2</v>
      </c>
      <c r="O1719">
        <v>1</v>
      </c>
      <c r="P1719">
        <v>1</v>
      </c>
      <c r="Q1719">
        <v>1</v>
      </c>
      <c r="R1719">
        <v>0</v>
      </c>
      <c r="S1719">
        <v>1</v>
      </c>
      <c r="T1719" t="str">
        <f>IF(mental_health[Sleep_Hours]&lt;5,"Low",IF(mental_health[Sleep_Hours]&lt;7,"Medium","Good"))</f>
        <v>Medium</v>
      </c>
      <c r="U1719" t="str">
        <f>IF(mental_health[Stress_Level]&lt;=3,"Low",IF(mental_health[Stress_Level]&lt;=7,"Medium","High"))</f>
        <v>Low</v>
      </c>
      <c r="V1719" t="str">
        <f>IF(mental_health[Daily_Screen_Time]&lt;=4,"Low",IF(mental_health[Daily_Screen_Time]&lt;=8,"Medium","High"))</f>
        <v>Low</v>
      </c>
    </row>
    <row r="1720" spans="1:22" x14ac:dyDescent="0.3">
      <c r="A1720">
        <v>1719</v>
      </c>
      <c r="B1720">
        <v>23</v>
      </c>
      <c r="C1720" t="s">
        <v>18</v>
      </c>
      <c r="D1720" t="s">
        <v>19</v>
      </c>
      <c r="E1720">
        <v>3.5</v>
      </c>
      <c r="F1720">
        <v>6.5</v>
      </c>
      <c r="G1720">
        <v>1</v>
      </c>
      <c r="H1720" t="str">
        <f t="shared" si="26"/>
        <v>Night Usage</v>
      </c>
      <c r="I1720">
        <v>5</v>
      </c>
      <c r="J1720" s="3">
        <v>3</v>
      </c>
      <c r="K1720">
        <v>3.1</v>
      </c>
      <c r="L1720" t="s">
        <v>25</v>
      </c>
      <c r="M1720">
        <v>2</v>
      </c>
      <c r="N1720">
        <v>2</v>
      </c>
      <c r="O1720">
        <v>0</v>
      </c>
      <c r="P1720">
        <v>0</v>
      </c>
      <c r="Q1720">
        <v>0</v>
      </c>
      <c r="R1720">
        <v>0</v>
      </c>
      <c r="S1720">
        <v>0</v>
      </c>
      <c r="T1720" t="str">
        <f>IF(mental_health[Sleep_Hours]&lt;5,"Low",IF(mental_health[Sleep_Hours]&lt;7,"Medium","Good"))</f>
        <v>Medium</v>
      </c>
      <c r="U1720" t="str">
        <f>IF(mental_health[Stress_Level]&lt;=3,"Low",IF(mental_health[Stress_Level]&lt;=7,"Medium","High"))</f>
        <v>Low</v>
      </c>
      <c r="V1720" t="str">
        <f>IF(mental_health[Daily_Screen_Time]&lt;=4,"Low",IF(mental_health[Daily_Screen_Time]&lt;=8,"Medium","High"))</f>
        <v>Low</v>
      </c>
    </row>
    <row r="1721" spans="1:22" x14ac:dyDescent="0.3">
      <c r="A1721">
        <v>1720</v>
      </c>
      <c r="B1721">
        <v>26</v>
      </c>
      <c r="C1721" t="s">
        <v>18</v>
      </c>
      <c r="D1721" t="s">
        <v>24</v>
      </c>
      <c r="E1721">
        <v>10.8</v>
      </c>
      <c r="F1721">
        <v>3.5</v>
      </c>
      <c r="G1721">
        <v>0</v>
      </c>
      <c r="H1721" t="str">
        <f t="shared" si="26"/>
        <v>No Night Usage</v>
      </c>
      <c r="I1721">
        <v>3.5</v>
      </c>
      <c r="J1721" s="3">
        <v>1</v>
      </c>
      <c r="K1721">
        <v>11.4</v>
      </c>
      <c r="L1721" t="s">
        <v>25</v>
      </c>
      <c r="M1721">
        <v>9</v>
      </c>
      <c r="N1721">
        <v>4</v>
      </c>
      <c r="O1721">
        <v>1</v>
      </c>
      <c r="P1721">
        <v>0</v>
      </c>
      <c r="Q1721">
        <v>1</v>
      </c>
      <c r="R1721">
        <v>0</v>
      </c>
      <c r="S1721">
        <v>0</v>
      </c>
      <c r="T1721" t="str">
        <f>IF(mental_health[Sleep_Hours]&lt;5,"Low",IF(mental_health[Sleep_Hours]&lt;7,"Medium","Good"))</f>
        <v>Low</v>
      </c>
      <c r="U1721" t="str">
        <f>IF(mental_health[Stress_Level]&lt;=3,"Low",IF(mental_health[Stress_Level]&lt;=7,"Medium","High"))</f>
        <v>Low</v>
      </c>
      <c r="V1721" t="str">
        <f>IF(mental_health[Daily_Screen_Time]&lt;=4,"Low",IF(mental_health[Daily_Screen_Time]&lt;=8,"Medium","High"))</f>
        <v>High</v>
      </c>
    </row>
    <row r="1722" spans="1:22" x14ac:dyDescent="0.3">
      <c r="A1722">
        <v>1721</v>
      </c>
      <c r="B1722">
        <v>37</v>
      </c>
      <c r="C1722" t="s">
        <v>23</v>
      </c>
      <c r="D1722" t="s">
        <v>22</v>
      </c>
      <c r="E1722">
        <v>7.3</v>
      </c>
      <c r="F1722">
        <v>3.8</v>
      </c>
      <c r="G1722">
        <v>1</v>
      </c>
      <c r="H1722" t="str">
        <f t="shared" si="26"/>
        <v>Night Usage</v>
      </c>
      <c r="I1722">
        <v>6.4</v>
      </c>
      <c r="J1722" s="3">
        <v>7</v>
      </c>
      <c r="K1722">
        <v>2.4</v>
      </c>
      <c r="L1722" t="s">
        <v>25</v>
      </c>
      <c r="M1722">
        <v>3</v>
      </c>
      <c r="N1722">
        <v>2</v>
      </c>
      <c r="O1722">
        <v>1</v>
      </c>
      <c r="P1722">
        <v>1</v>
      </c>
      <c r="Q1722">
        <v>1</v>
      </c>
      <c r="R1722">
        <v>0</v>
      </c>
      <c r="S1722">
        <v>1</v>
      </c>
      <c r="T1722" t="str">
        <f>IF(mental_health[Sleep_Hours]&lt;5,"Low",IF(mental_health[Sleep_Hours]&lt;7,"Medium","Good"))</f>
        <v>Medium</v>
      </c>
      <c r="U1722" t="str">
        <f>IF(mental_health[Stress_Level]&lt;=3,"Low",IF(mental_health[Stress_Level]&lt;=7,"Medium","High"))</f>
        <v>Medium</v>
      </c>
      <c r="V1722" t="str">
        <f>IF(mental_health[Daily_Screen_Time]&lt;=4,"Low",IF(mental_health[Daily_Screen_Time]&lt;=8,"Medium","High"))</f>
        <v>Medium</v>
      </c>
    </row>
    <row r="1723" spans="1:22" x14ac:dyDescent="0.3">
      <c r="A1723">
        <v>1722</v>
      </c>
      <c r="B1723">
        <v>39</v>
      </c>
      <c r="C1723" t="s">
        <v>23</v>
      </c>
      <c r="D1723" t="s">
        <v>22</v>
      </c>
      <c r="E1723">
        <v>6.7</v>
      </c>
      <c r="F1723">
        <v>3.8</v>
      </c>
      <c r="G1723">
        <v>0</v>
      </c>
      <c r="H1723" t="str">
        <f t="shared" si="26"/>
        <v>No Night Usage</v>
      </c>
      <c r="I1723">
        <v>5.9</v>
      </c>
      <c r="J1723" s="3">
        <v>1</v>
      </c>
      <c r="K1723">
        <v>9.5</v>
      </c>
      <c r="L1723" t="s">
        <v>21</v>
      </c>
      <c r="M1723">
        <v>4</v>
      </c>
      <c r="N1723">
        <v>2</v>
      </c>
      <c r="O1723">
        <v>0</v>
      </c>
      <c r="P1723">
        <v>0</v>
      </c>
      <c r="Q1723">
        <v>1</v>
      </c>
      <c r="R1723">
        <v>0</v>
      </c>
      <c r="S1723">
        <v>1</v>
      </c>
      <c r="T1723" t="str">
        <f>IF(mental_health[Sleep_Hours]&lt;5,"Low",IF(mental_health[Sleep_Hours]&lt;7,"Medium","Good"))</f>
        <v>Medium</v>
      </c>
      <c r="U1723" t="str">
        <f>IF(mental_health[Stress_Level]&lt;=3,"Low",IF(mental_health[Stress_Level]&lt;=7,"Medium","High"))</f>
        <v>Low</v>
      </c>
      <c r="V1723" t="str">
        <f>IF(mental_health[Daily_Screen_Time]&lt;=4,"Low",IF(mental_health[Daily_Screen_Time]&lt;=8,"Medium","High"))</f>
        <v>Medium</v>
      </c>
    </row>
    <row r="1724" spans="1:22" x14ac:dyDescent="0.3">
      <c r="A1724">
        <v>1723</v>
      </c>
      <c r="B1724">
        <v>56</v>
      </c>
      <c r="C1724" t="s">
        <v>23</v>
      </c>
      <c r="D1724" t="s">
        <v>19</v>
      </c>
      <c r="E1724">
        <v>3.1</v>
      </c>
      <c r="F1724">
        <v>2.2999999999999998</v>
      </c>
      <c r="G1724">
        <v>0</v>
      </c>
      <c r="H1724" t="str">
        <f t="shared" si="26"/>
        <v>No Night Usage</v>
      </c>
      <c r="I1724">
        <v>3.6</v>
      </c>
      <c r="J1724" s="3">
        <v>7</v>
      </c>
      <c r="K1724">
        <v>2.7</v>
      </c>
      <c r="L1724" t="s">
        <v>20</v>
      </c>
      <c r="M1724">
        <v>10</v>
      </c>
      <c r="N1724">
        <v>4</v>
      </c>
      <c r="O1724">
        <v>1</v>
      </c>
      <c r="P1724">
        <v>1</v>
      </c>
      <c r="Q1724">
        <v>1</v>
      </c>
      <c r="R1724">
        <v>0</v>
      </c>
      <c r="S1724">
        <v>1</v>
      </c>
      <c r="T1724" t="str">
        <f>IF(mental_health[Sleep_Hours]&lt;5,"Low",IF(mental_health[Sleep_Hours]&lt;7,"Medium","Good"))</f>
        <v>Low</v>
      </c>
      <c r="U1724" t="str">
        <f>IF(mental_health[Stress_Level]&lt;=3,"Low",IF(mental_health[Stress_Level]&lt;=7,"Medium","High"))</f>
        <v>Medium</v>
      </c>
      <c r="V1724" t="str">
        <f>IF(mental_health[Daily_Screen_Time]&lt;=4,"Low",IF(mental_health[Daily_Screen_Time]&lt;=8,"Medium","High"))</f>
        <v>Low</v>
      </c>
    </row>
    <row r="1725" spans="1:22" x14ac:dyDescent="0.3">
      <c r="A1725">
        <v>1724</v>
      </c>
      <c r="B1725">
        <v>32</v>
      </c>
      <c r="C1725" t="s">
        <v>18</v>
      </c>
      <c r="D1725" t="s">
        <v>19</v>
      </c>
      <c r="E1725">
        <v>8.5</v>
      </c>
      <c r="F1725">
        <v>1.4</v>
      </c>
      <c r="G1725">
        <v>0</v>
      </c>
      <c r="H1725" t="str">
        <f t="shared" si="26"/>
        <v>No Night Usage</v>
      </c>
      <c r="I1725">
        <v>6.7</v>
      </c>
      <c r="J1725" s="3">
        <v>4</v>
      </c>
      <c r="K1725">
        <v>6.7</v>
      </c>
      <c r="L1725" t="s">
        <v>20</v>
      </c>
      <c r="M1725">
        <v>10</v>
      </c>
      <c r="N1725">
        <v>3</v>
      </c>
      <c r="O1725">
        <v>0</v>
      </c>
      <c r="P1725">
        <v>1</v>
      </c>
      <c r="Q1725">
        <v>1</v>
      </c>
      <c r="R1725">
        <v>1</v>
      </c>
      <c r="S1725">
        <v>1</v>
      </c>
      <c r="T1725" t="str">
        <f>IF(mental_health[Sleep_Hours]&lt;5,"Low",IF(mental_health[Sleep_Hours]&lt;7,"Medium","Good"))</f>
        <v>Medium</v>
      </c>
      <c r="U1725" t="str">
        <f>IF(mental_health[Stress_Level]&lt;=3,"Low",IF(mental_health[Stress_Level]&lt;=7,"Medium","High"))</f>
        <v>Medium</v>
      </c>
      <c r="V1725" t="str">
        <f>IF(mental_health[Daily_Screen_Time]&lt;=4,"Low",IF(mental_health[Daily_Screen_Time]&lt;=8,"Medium","High"))</f>
        <v>High</v>
      </c>
    </row>
    <row r="1726" spans="1:22" x14ac:dyDescent="0.3">
      <c r="A1726">
        <v>1725</v>
      </c>
      <c r="B1726">
        <v>27</v>
      </c>
      <c r="C1726" t="s">
        <v>18</v>
      </c>
      <c r="D1726" t="s">
        <v>19</v>
      </c>
      <c r="E1726">
        <v>10.7</v>
      </c>
      <c r="F1726">
        <v>5.0999999999999996</v>
      </c>
      <c r="G1726">
        <v>1</v>
      </c>
      <c r="H1726" t="str">
        <f t="shared" si="26"/>
        <v>Night Usage</v>
      </c>
      <c r="I1726">
        <v>7.4</v>
      </c>
      <c r="J1726" s="3">
        <v>9</v>
      </c>
      <c r="K1726">
        <v>3.8</v>
      </c>
      <c r="L1726" t="s">
        <v>21</v>
      </c>
      <c r="M1726">
        <v>3</v>
      </c>
      <c r="N1726">
        <v>3</v>
      </c>
      <c r="O1726">
        <v>0</v>
      </c>
      <c r="P1726">
        <v>0</v>
      </c>
      <c r="Q1726">
        <v>1</v>
      </c>
      <c r="R1726">
        <v>1</v>
      </c>
      <c r="S1726">
        <v>1</v>
      </c>
      <c r="T1726" t="str">
        <f>IF(mental_health[Sleep_Hours]&lt;5,"Low",IF(mental_health[Sleep_Hours]&lt;7,"Medium","Good"))</f>
        <v>Good</v>
      </c>
      <c r="U1726" t="str">
        <f>IF(mental_health[Stress_Level]&lt;=3,"Low",IF(mental_health[Stress_Level]&lt;=7,"Medium","High"))</f>
        <v>High</v>
      </c>
      <c r="V1726" t="str">
        <f>IF(mental_health[Daily_Screen_Time]&lt;=4,"Low",IF(mental_health[Daily_Screen_Time]&lt;=8,"Medium","High"))</f>
        <v>High</v>
      </c>
    </row>
    <row r="1727" spans="1:22" x14ac:dyDescent="0.3">
      <c r="A1727">
        <v>1726</v>
      </c>
      <c r="B1727">
        <v>47</v>
      </c>
      <c r="C1727" t="s">
        <v>23</v>
      </c>
      <c r="D1727" t="s">
        <v>22</v>
      </c>
      <c r="E1727">
        <v>10.3</v>
      </c>
      <c r="F1727">
        <v>7.9</v>
      </c>
      <c r="G1727">
        <v>0</v>
      </c>
      <c r="H1727" t="str">
        <f t="shared" si="26"/>
        <v>No Night Usage</v>
      </c>
      <c r="I1727">
        <v>7.6</v>
      </c>
      <c r="J1727" s="3">
        <v>7</v>
      </c>
      <c r="K1727">
        <v>3.4</v>
      </c>
      <c r="L1727" t="s">
        <v>21</v>
      </c>
      <c r="M1727">
        <v>3</v>
      </c>
      <c r="N1727">
        <v>4</v>
      </c>
      <c r="O1727">
        <v>1</v>
      </c>
      <c r="P1727">
        <v>0</v>
      </c>
      <c r="Q1727">
        <v>1</v>
      </c>
      <c r="R1727">
        <v>1</v>
      </c>
      <c r="S1727">
        <v>0</v>
      </c>
      <c r="T1727" t="str">
        <f>IF(mental_health[Sleep_Hours]&lt;5,"Low",IF(mental_health[Sleep_Hours]&lt;7,"Medium","Good"))</f>
        <v>Good</v>
      </c>
      <c r="U1727" t="str">
        <f>IF(mental_health[Stress_Level]&lt;=3,"Low",IF(mental_health[Stress_Level]&lt;=7,"Medium","High"))</f>
        <v>Medium</v>
      </c>
      <c r="V1727" t="str">
        <f>IF(mental_health[Daily_Screen_Time]&lt;=4,"Low",IF(mental_health[Daily_Screen_Time]&lt;=8,"Medium","High"))</f>
        <v>High</v>
      </c>
    </row>
    <row r="1728" spans="1:22" x14ac:dyDescent="0.3">
      <c r="A1728">
        <v>1727</v>
      </c>
      <c r="B1728">
        <v>30</v>
      </c>
      <c r="C1728" t="s">
        <v>23</v>
      </c>
      <c r="D1728" t="s">
        <v>19</v>
      </c>
      <c r="E1728">
        <v>8.3000000000000007</v>
      </c>
      <c r="F1728">
        <v>2.2000000000000002</v>
      </c>
      <c r="G1728">
        <v>0</v>
      </c>
      <c r="H1728" t="str">
        <f t="shared" si="26"/>
        <v>No Night Usage</v>
      </c>
      <c r="I1728">
        <v>8.4</v>
      </c>
      <c r="J1728" s="3">
        <v>5</v>
      </c>
      <c r="K1728">
        <v>3.3</v>
      </c>
      <c r="L1728" t="s">
        <v>20</v>
      </c>
      <c r="M1728">
        <v>8</v>
      </c>
      <c r="N1728">
        <v>0</v>
      </c>
      <c r="O1728">
        <v>0</v>
      </c>
      <c r="P1728">
        <v>0</v>
      </c>
      <c r="Q1728">
        <v>0</v>
      </c>
      <c r="R1728">
        <v>1</v>
      </c>
      <c r="S1728">
        <v>0</v>
      </c>
      <c r="T1728" t="str">
        <f>IF(mental_health[Sleep_Hours]&lt;5,"Low",IF(mental_health[Sleep_Hours]&lt;7,"Medium","Good"))</f>
        <v>Good</v>
      </c>
      <c r="U1728" t="str">
        <f>IF(mental_health[Stress_Level]&lt;=3,"Low",IF(mental_health[Stress_Level]&lt;=7,"Medium","High"))</f>
        <v>Medium</v>
      </c>
      <c r="V1728" t="str">
        <f>IF(mental_health[Daily_Screen_Time]&lt;=4,"Low",IF(mental_health[Daily_Screen_Time]&lt;=8,"Medium","High"))</f>
        <v>High</v>
      </c>
    </row>
    <row r="1729" spans="1:22" x14ac:dyDescent="0.3">
      <c r="A1729">
        <v>1728</v>
      </c>
      <c r="B1729">
        <v>31</v>
      </c>
      <c r="C1729" t="s">
        <v>18</v>
      </c>
      <c r="D1729" t="s">
        <v>19</v>
      </c>
      <c r="E1729">
        <v>2.8</v>
      </c>
      <c r="F1729">
        <v>1.3</v>
      </c>
      <c r="G1729">
        <v>0</v>
      </c>
      <c r="H1729" t="str">
        <f t="shared" si="26"/>
        <v>No Night Usage</v>
      </c>
      <c r="I1729">
        <v>5.5</v>
      </c>
      <c r="J1729" s="3">
        <v>7</v>
      </c>
      <c r="K1729">
        <v>6.5</v>
      </c>
      <c r="L1729" t="s">
        <v>25</v>
      </c>
      <c r="M1729">
        <v>8</v>
      </c>
      <c r="N1729">
        <v>2</v>
      </c>
      <c r="O1729">
        <v>1</v>
      </c>
      <c r="P1729">
        <v>1</v>
      </c>
      <c r="Q1729">
        <v>1</v>
      </c>
      <c r="R1729">
        <v>1</v>
      </c>
      <c r="S1729">
        <v>1</v>
      </c>
      <c r="T1729" t="str">
        <f>IF(mental_health[Sleep_Hours]&lt;5,"Low",IF(mental_health[Sleep_Hours]&lt;7,"Medium","Good"))</f>
        <v>Medium</v>
      </c>
      <c r="U1729" t="str">
        <f>IF(mental_health[Stress_Level]&lt;=3,"Low",IF(mental_health[Stress_Level]&lt;=7,"Medium","High"))</f>
        <v>Medium</v>
      </c>
      <c r="V1729" t="str">
        <f>IF(mental_health[Daily_Screen_Time]&lt;=4,"Low",IF(mental_health[Daily_Screen_Time]&lt;=8,"Medium","High"))</f>
        <v>Low</v>
      </c>
    </row>
    <row r="1730" spans="1:22" x14ac:dyDescent="0.3">
      <c r="A1730">
        <v>1729</v>
      </c>
      <c r="B1730">
        <v>37</v>
      </c>
      <c r="C1730" t="s">
        <v>18</v>
      </c>
      <c r="D1730" t="s">
        <v>24</v>
      </c>
      <c r="E1730">
        <v>3.1</v>
      </c>
      <c r="F1730">
        <v>6.5</v>
      </c>
      <c r="G1730">
        <v>0</v>
      </c>
      <c r="H1730" t="str">
        <f t="shared" ref="H1730:H1793" si="27">IF(G1730=1,"Night Usage","No Night Usage")</f>
        <v>No Night Usage</v>
      </c>
      <c r="I1730">
        <v>8.6999999999999993</v>
      </c>
      <c r="J1730" s="3">
        <v>9</v>
      </c>
      <c r="K1730">
        <v>7.2</v>
      </c>
      <c r="L1730" t="s">
        <v>20</v>
      </c>
      <c r="M1730">
        <v>6</v>
      </c>
      <c r="N1730">
        <v>2</v>
      </c>
      <c r="O1730">
        <v>1</v>
      </c>
      <c r="P1730">
        <v>1</v>
      </c>
      <c r="Q1730">
        <v>0</v>
      </c>
      <c r="R1730">
        <v>1</v>
      </c>
      <c r="S1730">
        <v>0</v>
      </c>
      <c r="T1730" t="str">
        <f>IF(mental_health[Sleep_Hours]&lt;5,"Low",IF(mental_health[Sleep_Hours]&lt;7,"Medium","Good"))</f>
        <v>Good</v>
      </c>
      <c r="U1730" t="str">
        <f>IF(mental_health[Stress_Level]&lt;=3,"Low",IF(mental_health[Stress_Level]&lt;=7,"Medium","High"))</f>
        <v>High</v>
      </c>
      <c r="V1730" t="str">
        <f>IF(mental_health[Daily_Screen_Time]&lt;=4,"Low",IF(mental_health[Daily_Screen_Time]&lt;=8,"Medium","High"))</f>
        <v>Low</v>
      </c>
    </row>
    <row r="1731" spans="1:22" x14ac:dyDescent="0.3">
      <c r="A1731">
        <v>1730</v>
      </c>
      <c r="B1731">
        <v>43</v>
      </c>
      <c r="C1731" t="s">
        <v>18</v>
      </c>
      <c r="D1731" t="s">
        <v>19</v>
      </c>
      <c r="E1731">
        <v>2.5</v>
      </c>
      <c r="F1731">
        <v>2.8</v>
      </c>
      <c r="G1731">
        <v>1</v>
      </c>
      <c r="H1731" t="str">
        <f t="shared" si="27"/>
        <v>Night Usage</v>
      </c>
      <c r="I1731">
        <v>8.1999999999999993</v>
      </c>
      <c r="J1731" s="3">
        <v>10</v>
      </c>
      <c r="K1731">
        <v>3.3</v>
      </c>
      <c r="L1731" t="s">
        <v>21</v>
      </c>
      <c r="M1731">
        <v>4</v>
      </c>
      <c r="N1731">
        <v>3</v>
      </c>
      <c r="O1731">
        <v>0</v>
      </c>
      <c r="P1731">
        <v>1</v>
      </c>
      <c r="Q1731">
        <v>0</v>
      </c>
      <c r="R1731">
        <v>0</v>
      </c>
      <c r="S1731">
        <v>0</v>
      </c>
      <c r="T1731" t="str">
        <f>IF(mental_health[Sleep_Hours]&lt;5,"Low",IF(mental_health[Sleep_Hours]&lt;7,"Medium","Good"))</f>
        <v>Good</v>
      </c>
      <c r="U1731" t="str">
        <f>IF(mental_health[Stress_Level]&lt;=3,"Low",IF(mental_health[Stress_Level]&lt;=7,"Medium","High"))</f>
        <v>High</v>
      </c>
      <c r="V1731" t="str">
        <f>IF(mental_health[Daily_Screen_Time]&lt;=4,"Low",IF(mental_health[Daily_Screen_Time]&lt;=8,"Medium","High"))</f>
        <v>Low</v>
      </c>
    </row>
    <row r="1732" spans="1:22" x14ac:dyDescent="0.3">
      <c r="A1732">
        <v>1731</v>
      </c>
      <c r="B1732">
        <v>35</v>
      </c>
      <c r="C1732" t="s">
        <v>18</v>
      </c>
      <c r="D1732" t="s">
        <v>19</v>
      </c>
      <c r="E1732">
        <v>4.5999999999999996</v>
      </c>
      <c r="F1732">
        <v>6.8</v>
      </c>
      <c r="G1732">
        <v>0</v>
      </c>
      <c r="H1732" t="str">
        <f t="shared" si="27"/>
        <v>No Night Usage</v>
      </c>
      <c r="I1732">
        <v>4.8</v>
      </c>
      <c r="J1732" s="3">
        <v>6</v>
      </c>
      <c r="K1732">
        <v>11.8</v>
      </c>
      <c r="L1732" t="s">
        <v>20</v>
      </c>
      <c r="M1732">
        <v>1</v>
      </c>
      <c r="N1732">
        <v>4</v>
      </c>
      <c r="O1732">
        <v>1</v>
      </c>
      <c r="P1732">
        <v>1</v>
      </c>
      <c r="Q1732">
        <v>1</v>
      </c>
      <c r="R1732">
        <v>1</v>
      </c>
      <c r="S1732">
        <v>0</v>
      </c>
      <c r="T1732" t="str">
        <f>IF(mental_health[Sleep_Hours]&lt;5,"Low",IF(mental_health[Sleep_Hours]&lt;7,"Medium","Good"))</f>
        <v>Low</v>
      </c>
      <c r="U1732" t="str">
        <f>IF(mental_health[Stress_Level]&lt;=3,"Low",IF(mental_health[Stress_Level]&lt;=7,"Medium","High"))</f>
        <v>Medium</v>
      </c>
      <c r="V1732" t="str">
        <f>IF(mental_health[Daily_Screen_Time]&lt;=4,"Low",IF(mental_health[Daily_Screen_Time]&lt;=8,"Medium","High"))</f>
        <v>Medium</v>
      </c>
    </row>
    <row r="1733" spans="1:22" x14ac:dyDescent="0.3">
      <c r="A1733">
        <v>1732</v>
      </c>
      <c r="B1733">
        <v>48</v>
      </c>
      <c r="C1733" t="s">
        <v>23</v>
      </c>
      <c r="D1733" t="s">
        <v>22</v>
      </c>
      <c r="E1733">
        <v>3.4</v>
      </c>
      <c r="F1733">
        <v>5.9</v>
      </c>
      <c r="G1733">
        <v>0</v>
      </c>
      <c r="H1733" t="str">
        <f t="shared" si="27"/>
        <v>No Night Usage</v>
      </c>
      <c r="I1733">
        <v>4</v>
      </c>
      <c r="J1733" s="3">
        <v>1</v>
      </c>
      <c r="K1733">
        <v>4.5999999999999996</v>
      </c>
      <c r="L1733" t="s">
        <v>20</v>
      </c>
      <c r="M1733">
        <v>4</v>
      </c>
      <c r="N1733">
        <v>0</v>
      </c>
      <c r="O1733">
        <v>0</v>
      </c>
      <c r="P1733">
        <v>1</v>
      </c>
      <c r="Q1733">
        <v>0</v>
      </c>
      <c r="R1733">
        <v>0</v>
      </c>
      <c r="S1733">
        <v>0</v>
      </c>
      <c r="T1733" t="str">
        <f>IF(mental_health[Sleep_Hours]&lt;5,"Low",IF(mental_health[Sleep_Hours]&lt;7,"Medium","Good"))</f>
        <v>Low</v>
      </c>
      <c r="U1733" t="str">
        <f>IF(mental_health[Stress_Level]&lt;=3,"Low",IF(mental_health[Stress_Level]&lt;=7,"Medium","High"))</f>
        <v>Low</v>
      </c>
      <c r="V1733" t="str">
        <f>IF(mental_health[Daily_Screen_Time]&lt;=4,"Low",IF(mental_health[Daily_Screen_Time]&lt;=8,"Medium","High"))</f>
        <v>Low</v>
      </c>
    </row>
    <row r="1734" spans="1:22" x14ac:dyDescent="0.3">
      <c r="A1734">
        <v>1733</v>
      </c>
      <c r="B1734">
        <v>25</v>
      </c>
      <c r="C1734" t="s">
        <v>18</v>
      </c>
      <c r="D1734" t="s">
        <v>22</v>
      </c>
      <c r="E1734">
        <v>4.5999999999999996</v>
      </c>
      <c r="F1734">
        <v>7.6</v>
      </c>
      <c r="G1734">
        <v>1</v>
      </c>
      <c r="H1734" t="str">
        <f t="shared" si="27"/>
        <v>Night Usage</v>
      </c>
      <c r="I1734">
        <v>5.6</v>
      </c>
      <c r="J1734" s="3">
        <v>6</v>
      </c>
      <c r="K1734">
        <v>6.6</v>
      </c>
      <c r="L1734" t="s">
        <v>20</v>
      </c>
      <c r="M1734">
        <v>8</v>
      </c>
      <c r="N1734">
        <v>4</v>
      </c>
      <c r="O1734">
        <v>0</v>
      </c>
      <c r="P1734">
        <v>1</v>
      </c>
      <c r="Q1734">
        <v>1</v>
      </c>
      <c r="R1734">
        <v>1</v>
      </c>
      <c r="S1734">
        <v>1</v>
      </c>
      <c r="T1734" t="str">
        <f>IF(mental_health[Sleep_Hours]&lt;5,"Low",IF(mental_health[Sleep_Hours]&lt;7,"Medium","Good"))</f>
        <v>Medium</v>
      </c>
      <c r="U1734" t="str">
        <f>IF(mental_health[Stress_Level]&lt;=3,"Low",IF(mental_health[Stress_Level]&lt;=7,"Medium","High"))</f>
        <v>Medium</v>
      </c>
      <c r="V1734" t="str">
        <f>IF(mental_health[Daily_Screen_Time]&lt;=4,"Low",IF(mental_health[Daily_Screen_Time]&lt;=8,"Medium","High"))</f>
        <v>Medium</v>
      </c>
    </row>
    <row r="1735" spans="1:22" x14ac:dyDescent="0.3">
      <c r="A1735">
        <v>1734</v>
      </c>
      <c r="B1735">
        <v>55</v>
      </c>
      <c r="C1735" t="s">
        <v>18</v>
      </c>
      <c r="D1735" t="s">
        <v>24</v>
      </c>
      <c r="E1735">
        <v>5.9</v>
      </c>
      <c r="F1735">
        <v>3.9</v>
      </c>
      <c r="G1735">
        <v>1</v>
      </c>
      <c r="H1735" t="str">
        <f t="shared" si="27"/>
        <v>Night Usage</v>
      </c>
      <c r="I1735">
        <v>5.4</v>
      </c>
      <c r="J1735" s="3">
        <v>1</v>
      </c>
      <c r="K1735">
        <v>4.2</v>
      </c>
      <c r="L1735" t="s">
        <v>21</v>
      </c>
      <c r="M1735">
        <v>6</v>
      </c>
      <c r="N1735">
        <v>3</v>
      </c>
      <c r="O1735">
        <v>1</v>
      </c>
      <c r="P1735">
        <v>1</v>
      </c>
      <c r="Q1735">
        <v>0</v>
      </c>
      <c r="R1735">
        <v>0</v>
      </c>
      <c r="S1735">
        <v>0</v>
      </c>
      <c r="T1735" t="str">
        <f>IF(mental_health[Sleep_Hours]&lt;5,"Low",IF(mental_health[Sleep_Hours]&lt;7,"Medium","Good"))</f>
        <v>Medium</v>
      </c>
      <c r="U1735" t="str">
        <f>IF(mental_health[Stress_Level]&lt;=3,"Low",IF(mental_health[Stress_Level]&lt;=7,"Medium","High"))</f>
        <v>Low</v>
      </c>
      <c r="V1735" t="str">
        <f>IF(mental_health[Daily_Screen_Time]&lt;=4,"Low",IF(mental_health[Daily_Screen_Time]&lt;=8,"Medium","High"))</f>
        <v>Medium</v>
      </c>
    </row>
    <row r="1736" spans="1:22" x14ac:dyDescent="0.3">
      <c r="A1736">
        <v>1735</v>
      </c>
      <c r="B1736">
        <v>47</v>
      </c>
      <c r="C1736" t="s">
        <v>18</v>
      </c>
      <c r="D1736" t="s">
        <v>19</v>
      </c>
      <c r="E1736">
        <v>11.4</v>
      </c>
      <c r="F1736">
        <v>5.6</v>
      </c>
      <c r="G1736">
        <v>1</v>
      </c>
      <c r="H1736" t="str">
        <f t="shared" si="27"/>
        <v>Night Usage</v>
      </c>
      <c r="I1736">
        <v>6.5</v>
      </c>
      <c r="J1736" s="3">
        <v>4</v>
      </c>
      <c r="K1736">
        <v>6.9</v>
      </c>
      <c r="L1736" t="s">
        <v>21</v>
      </c>
      <c r="M1736">
        <v>2</v>
      </c>
      <c r="N1736">
        <v>3</v>
      </c>
      <c r="O1736">
        <v>0</v>
      </c>
      <c r="P1736">
        <v>0</v>
      </c>
      <c r="Q1736">
        <v>1</v>
      </c>
      <c r="R1736">
        <v>1</v>
      </c>
      <c r="S1736">
        <v>1</v>
      </c>
      <c r="T1736" t="str">
        <f>IF(mental_health[Sleep_Hours]&lt;5,"Low",IF(mental_health[Sleep_Hours]&lt;7,"Medium","Good"))</f>
        <v>Medium</v>
      </c>
      <c r="U1736" t="str">
        <f>IF(mental_health[Stress_Level]&lt;=3,"Low",IF(mental_health[Stress_Level]&lt;=7,"Medium","High"))</f>
        <v>Medium</v>
      </c>
      <c r="V1736" t="str">
        <f>IF(mental_health[Daily_Screen_Time]&lt;=4,"Low",IF(mental_health[Daily_Screen_Time]&lt;=8,"Medium","High"))</f>
        <v>High</v>
      </c>
    </row>
    <row r="1737" spans="1:22" x14ac:dyDescent="0.3">
      <c r="A1737">
        <v>1736</v>
      </c>
      <c r="B1737">
        <v>48</v>
      </c>
      <c r="C1737" t="s">
        <v>23</v>
      </c>
      <c r="D1737" t="s">
        <v>24</v>
      </c>
      <c r="E1737">
        <v>8.1</v>
      </c>
      <c r="F1737">
        <v>4.3</v>
      </c>
      <c r="G1737">
        <v>0</v>
      </c>
      <c r="H1737" t="str">
        <f t="shared" si="27"/>
        <v>No Night Usage</v>
      </c>
      <c r="I1737">
        <v>6.5</v>
      </c>
      <c r="J1737" s="3">
        <v>8</v>
      </c>
      <c r="K1737">
        <v>9.6</v>
      </c>
      <c r="L1737" t="s">
        <v>20</v>
      </c>
      <c r="M1737">
        <v>3</v>
      </c>
      <c r="N1737">
        <v>2</v>
      </c>
      <c r="O1737">
        <v>1</v>
      </c>
      <c r="P1737">
        <v>1</v>
      </c>
      <c r="Q1737">
        <v>1</v>
      </c>
      <c r="R1737">
        <v>1</v>
      </c>
      <c r="S1737">
        <v>0</v>
      </c>
      <c r="T1737" t="str">
        <f>IF(mental_health[Sleep_Hours]&lt;5,"Low",IF(mental_health[Sleep_Hours]&lt;7,"Medium","Good"))</f>
        <v>Medium</v>
      </c>
      <c r="U1737" t="str">
        <f>IF(mental_health[Stress_Level]&lt;=3,"Low",IF(mental_health[Stress_Level]&lt;=7,"Medium","High"))</f>
        <v>High</v>
      </c>
      <c r="V1737" t="str">
        <f>IF(mental_health[Daily_Screen_Time]&lt;=4,"Low",IF(mental_health[Daily_Screen_Time]&lt;=8,"Medium","High"))</f>
        <v>High</v>
      </c>
    </row>
    <row r="1738" spans="1:22" x14ac:dyDescent="0.3">
      <c r="A1738">
        <v>1737</v>
      </c>
      <c r="B1738">
        <v>17</v>
      </c>
      <c r="C1738" t="s">
        <v>23</v>
      </c>
      <c r="D1738" t="s">
        <v>22</v>
      </c>
      <c r="E1738">
        <v>10.3</v>
      </c>
      <c r="F1738">
        <v>5.4</v>
      </c>
      <c r="G1738">
        <v>1</v>
      </c>
      <c r="H1738" t="str">
        <f t="shared" si="27"/>
        <v>Night Usage</v>
      </c>
      <c r="I1738">
        <v>7.5</v>
      </c>
      <c r="J1738" s="3">
        <v>5</v>
      </c>
      <c r="K1738">
        <v>7.2</v>
      </c>
      <c r="L1738" t="s">
        <v>20</v>
      </c>
      <c r="M1738">
        <v>7</v>
      </c>
      <c r="N1738">
        <v>1</v>
      </c>
      <c r="O1738">
        <v>1</v>
      </c>
      <c r="P1738">
        <v>0</v>
      </c>
      <c r="Q1738">
        <v>0</v>
      </c>
      <c r="R1738">
        <v>0</v>
      </c>
      <c r="S1738">
        <v>0</v>
      </c>
      <c r="T1738" t="str">
        <f>IF(mental_health[Sleep_Hours]&lt;5,"Low",IF(mental_health[Sleep_Hours]&lt;7,"Medium","Good"))</f>
        <v>Good</v>
      </c>
      <c r="U1738" t="str">
        <f>IF(mental_health[Stress_Level]&lt;=3,"Low",IF(mental_health[Stress_Level]&lt;=7,"Medium","High"))</f>
        <v>Medium</v>
      </c>
      <c r="V1738" t="str">
        <f>IF(mental_health[Daily_Screen_Time]&lt;=4,"Low",IF(mental_health[Daily_Screen_Time]&lt;=8,"Medium","High"))</f>
        <v>High</v>
      </c>
    </row>
    <row r="1739" spans="1:22" x14ac:dyDescent="0.3">
      <c r="A1739">
        <v>1738</v>
      </c>
      <c r="B1739">
        <v>48</v>
      </c>
      <c r="C1739" t="s">
        <v>18</v>
      </c>
      <c r="D1739" t="s">
        <v>24</v>
      </c>
      <c r="E1739">
        <v>9.1</v>
      </c>
      <c r="F1739">
        <v>4.0999999999999996</v>
      </c>
      <c r="G1739">
        <v>1</v>
      </c>
      <c r="H1739" t="str">
        <f t="shared" si="27"/>
        <v>Night Usage</v>
      </c>
      <c r="I1739">
        <v>6.1</v>
      </c>
      <c r="J1739" s="3">
        <v>5</v>
      </c>
      <c r="K1739">
        <v>4.9000000000000004</v>
      </c>
      <c r="L1739" t="s">
        <v>25</v>
      </c>
      <c r="M1739">
        <v>4</v>
      </c>
      <c r="N1739">
        <v>0</v>
      </c>
      <c r="O1739">
        <v>0</v>
      </c>
      <c r="P1739">
        <v>0</v>
      </c>
      <c r="Q1739">
        <v>1</v>
      </c>
      <c r="R1739">
        <v>1</v>
      </c>
      <c r="S1739">
        <v>0</v>
      </c>
      <c r="T1739" t="str">
        <f>IF(mental_health[Sleep_Hours]&lt;5,"Low",IF(mental_health[Sleep_Hours]&lt;7,"Medium","Good"))</f>
        <v>Medium</v>
      </c>
      <c r="U1739" t="str">
        <f>IF(mental_health[Stress_Level]&lt;=3,"Low",IF(mental_health[Stress_Level]&lt;=7,"Medium","High"))</f>
        <v>Medium</v>
      </c>
      <c r="V1739" t="str">
        <f>IF(mental_health[Daily_Screen_Time]&lt;=4,"Low",IF(mental_health[Daily_Screen_Time]&lt;=8,"Medium","High"))</f>
        <v>High</v>
      </c>
    </row>
    <row r="1740" spans="1:22" x14ac:dyDescent="0.3">
      <c r="A1740">
        <v>1739</v>
      </c>
      <c r="B1740">
        <v>48</v>
      </c>
      <c r="C1740" t="s">
        <v>18</v>
      </c>
      <c r="D1740" t="s">
        <v>22</v>
      </c>
      <c r="E1740">
        <v>3.1</v>
      </c>
      <c r="F1740">
        <v>2.2999999999999998</v>
      </c>
      <c r="G1740">
        <v>1</v>
      </c>
      <c r="H1740" t="str">
        <f t="shared" si="27"/>
        <v>Night Usage</v>
      </c>
      <c r="I1740">
        <v>3.6</v>
      </c>
      <c r="J1740" s="3">
        <v>10</v>
      </c>
      <c r="K1740">
        <v>4.5</v>
      </c>
      <c r="L1740" t="s">
        <v>25</v>
      </c>
      <c r="M1740">
        <v>4</v>
      </c>
      <c r="N1740">
        <v>0</v>
      </c>
      <c r="O1740">
        <v>1</v>
      </c>
      <c r="P1740">
        <v>1</v>
      </c>
      <c r="Q1740">
        <v>0</v>
      </c>
      <c r="R1740">
        <v>0</v>
      </c>
      <c r="S1740">
        <v>0</v>
      </c>
      <c r="T1740" t="str">
        <f>IF(mental_health[Sleep_Hours]&lt;5,"Low",IF(mental_health[Sleep_Hours]&lt;7,"Medium","Good"))</f>
        <v>Low</v>
      </c>
      <c r="U1740" t="str">
        <f>IF(mental_health[Stress_Level]&lt;=3,"Low",IF(mental_health[Stress_Level]&lt;=7,"Medium","High"))</f>
        <v>High</v>
      </c>
      <c r="V1740" t="str">
        <f>IF(mental_health[Daily_Screen_Time]&lt;=4,"Low",IF(mental_health[Daily_Screen_Time]&lt;=8,"Medium","High"))</f>
        <v>Low</v>
      </c>
    </row>
    <row r="1741" spans="1:22" x14ac:dyDescent="0.3">
      <c r="A1741">
        <v>1740</v>
      </c>
      <c r="B1741">
        <v>56</v>
      </c>
      <c r="C1741" t="s">
        <v>18</v>
      </c>
      <c r="D1741" t="s">
        <v>24</v>
      </c>
      <c r="E1741">
        <v>9.4</v>
      </c>
      <c r="F1741">
        <v>4.5999999999999996</v>
      </c>
      <c r="G1741">
        <v>0</v>
      </c>
      <c r="H1741" t="str">
        <f t="shared" si="27"/>
        <v>No Night Usage</v>
      </c>
      <c r="I1741">
        <v>8.1</v>
      </c>
      <c r="J1741" s="3">
        <v>8</v>
      </c>
      <c r="K1741">
        <v>9.6</v>
      </c>
      <c r="L1741" t="s">
        <v>20</v>
      </c>
      <c r="M1741">
        <v>5</v>
      </c>
      <c r="N1741">
        <v>1</v>
      </c>
      <c r="O1741">
        <v>0</v>
      </c>
      <c r="P1741">
        <v>0</v>
      </c>
      <c r="Q1741">
        <v>0</v>
      </c>
      <c r="R1741">
        <v>0</v>
      </c>
      <c r="S1741">
        <v>1</v>
      </c>
      <c r="T1741" t="str">
        <f>IF(mental_health[Sleep_Hours]&lt;5,"Low",IF(mental_health[Sleep_Hours]&lt;7,"Medium","Good"))</f>
        <v>Good</v>
      </c>
      <c r="U1741" t="str">
        <f>IF(mental_health[Stress_Level]&lt;=3,"Low",IF(mental_health[Stress_Level]&lt;=7,"Medium","High"))</f>
        <v>High</v>
      </c>
      <c r="V1741" t="str">
        <f>IF(mental_health[Daily_Screen_Time]&lt;=4,"Low",IF(mental_health[Daily_Screen_Time]&lt;=8,"Medium","High"))</f>
        <v>High</v>
      </c>
    </row>
    <row r="1742" spans="1:22" x14ac:dyDescent="0.3">
      <c r="A1742">
        <v>1741</v>
      </c>
      <c r="B1742">
        <v>28</v>
      </c>
      <c r="C1742" t="s">
        <v>23</v>
      </c>
      <c r="D1742" t="s">
        <v>24</v>
      </c>
      <c r="E1742">
        <v>4.8</v>
      </c>
      <c r="F1742">
        <v>4.7</v>
      </c>
      <c r="G1742">
        <v>0</v>
      </c>
      <c r="H1742" t="str">
        <f t="shared" si="27"/>
        <v>No Night Usage</v>
      </c>
      <c r="I1742">
        <v>4.9000000000000004</v>
      </c>
      <c r="J1742" s="3">
        <v>8</v>
      </c>
      <c r="K1742">
        <v>3.2</v>
      </c>
      <c r="L1742" t="s">
        <v>21</v>
      </c>
      <c r="M1742">
        <v>8</v>
      </c>
      <c r="N1742">
        <v>3</v>
      </c>
      <c r="O1742">
        <v>0</v>
      </c>
      <c r="P1742">
        <v>0</v>
      </c>
      <c r="Q1742">
        <v>1</v>
      </c>
      <c r="R1742">
        <v>1</v>
      </c>
      <c r="S1742">
        <v>1</v>
      </c>
      <c r="T1742" t="str">
        <f>IF(mental_health[Sleep_Hours]&lt;5,"Low",IF(mental_health[Sleep_Hours]&lt;7,"Medium","Good"))</f>
        <v>Low</v>
      </c>
      <c r="U1742" t="str">
        <f>IF(mental_health[Stress_Level]&lt;=3,"Low",IF(mental_health[Stress_Level]&lt;=7,"Medium","High"))</f>
        <v>High</v>
      </c>
      <c r="V1742" t="str">
        <f>IF(mental_health[Daily_Screen_Time]&lt;=4,"Low",IF(mental_health[Daily_Screen_Time]&lt;=8,"Medium","High"))</f>
        <v>Medium</v>
      </c>
    </row>
    <row r="1743" spans="1:22" x14ac:dyDescent="0.3">
      <c r="A1743">
        <v>1742</v>
      </c>
      <c r="B1743">
        <v>45</v>
      </c>
      <c r="C1743" t="s">
        <v>23</v>
      </c>
      <c r="D1743" t="s">
        <v>19</v>
      </c>
      <c r="E1743">
        <v>8.4</v>
      </c>
      <c r="F1743">
        <v>6.7</v>
      </c>
      <c r="G1743">
        <v>0</v>
      </c>
      <c r="H1743" t="str">
        <f t="shared" si="27"/>
        <v>No Night Usage</v>
      </c>
      <c r="I1743">
        <v>8.8000000000000007</v>
      </c>
      <c r="J1743" s="3">
        <v>1</v>
      </c>
      <c r="K1743">
        <v>5.7</v>
      </c>
      <c r="L1743" t="s">
        <v>25</v>
      </c>
      <c r="M1743">
        <v>7</v>
      </c>
      <c r="N1743">
        <v>4</v>
      </c>
      <c r="O1743">
        <v>0</v>
      </c>
      <c r="P1743">
        <v>0</v>
      </c>
      <c r="Q1743">
        <v>0</v>
      </c>
      <c r="R1743">
        <v>0</v>
      </c>
      <c r="S1743">
        <v>0</v>
      </c>
      <c r="T1743" t="str">
        <f>IF(mental_health[Sleep_Hours]&lt;5,"Low",IF(mental_health[Sleep_Hours]&lt;7,"Medium","Good"))</f>
        <v>Good</v>
      </c>
      <c r="U1743" t="str">
        <f>IF(mental_health[Stress_Level]&lt;=3,"Low",IF(mental_health[Stress_Level]&lt;=7,"Medium","High"))</f>
        <v>Low</v>
      </c>
      <c r="V1743" t="str">
        <f>IF(mental_health[Daily_Screen_Time]&lt;=4,"Low",IF(mental_health[Daily_Screen_Time]&lt;=8,"Medium","High"))</f>
        <v>High</v>
      </c>
    </row>
    <row r="1744" spans="1:22" x14ac:dyDescent="0.3">
      <c r="A1744">
        <v>1743</v>
      </c>
      <c r="B1744">
        <v>48</v>
      </c>
      <c r="C1744" t="s">
        <v>23</v>
      </c>
      <c r="D1744" t="s">
        <v>24</v>
      </c>
      <c r="E1744">
        <v>5.4</v>
      </c>
      <c r="F1744">
        <v>6.1</v>
      </c>
      <c r="G1744">
        <v>1</v>
      </c>
      <c r="H1744" t="str">
        <f t="shared" si="27"/>
        <v>Night Usage</v>
      </c>
      <c r="I1744">
        <v>3.7</v>
      </c>
      <c r="J1744" s="3">
        <v>5</v>
      </c>
      <c r="K1744">
        <v>3.5</v>
      </c>
      <c r="L1744" t="s">
        <v>20</v>
      </c>
      <c r="M1744">
        <v>9</v>
      </c>
      <c r="N1744">
        <v>0</v>
      </c>
      <c r="O1744">
        <v>0</v>
      </c>
      <c r="P1744">
        <v>1</v>
      </c>
      <c r="Q1744">
        <v>0</v>
      </c>
      <c r="R1744">
        <v>0</v>
      </c>
      <c r="S1744">
        <v>0</v>
      </c>
      <c r="T1744" t="str">
        <f>IF(mental_health[Sleep_Hours]&lt;5,"Low",IF(mental_health[Sleep_Hours]&lt;7,"Medium","Good"))</f>
        <v>Low</v>
      </c>
      <c r="U1744" t="str">
        <f>IF(mental_health[Stress_Level]&lt;=3,"Low",IF(mental_health[Stress_Level]&lt;=7,"Medium","High"))</f>
        <v>Medium</v>
      </c>
      <c r="V1744" t="str">
        <f>IF(mental_health[Daily_Screen_Time]&lt;=4,"Low",IF(mental_health[Daily_Screen_Time]&lt;=8,"Medium","High"))</f>
        <v>Medium</v>
      </c>
    </row>
    <row r="1745" spans="1:22" x14ac:dyDescent="0.3">
      <c r="A1745">
        <v>1744</v>
      </c>
      <c r="B1745">
        <v>28</v>
      </c>
      <c r="C1745" t="s">
        <v>18</v>
      </c>
      <c r="D1745" t="s">
        <v>19</v>
      </c>
      <c r="E1745">
        <v>12</v>
      </c>
      <c r="F1745">
        <v>5.6</v>
      </c>
      <c r="G1745">
        <v>0</v>
      </c>
      <c r="H1745" t="str">
        <f t="shared" si="27"/>
        <v>No Night Usage</v>
      </c>
      <c r="I1745">
        <v>8.6999999999999993</v>
      </c>
      <c r="J1745" s="3">
        <v>5</v>
      </c>
      <c r="K1745">
        <v>4.5999999999999996</v>
      </c>
      <c r="L1745" t="s">
        <v>25</v>
      </c>
      <c r="M1745">
        <v>5</v>
      </c>
      <c r="N1745">
        <v>1</v>
      </c>
      <c r="O1745">
        <v>1</v>
      </c>
      <c r="P1745">
        <v>0</v>
      </c>
      <c r="Q1745">
        <v>0</v>
      </c>
      <c r="R1745">
        <v>1</v>
      </c>
      <c r="S1745">
        <v>1</v>
      </c>
      <c r="T1745" t="str">
        <f>IF(mental_health[Sleep_Hours]&lt;5,"Low",IF(mental_health[Sleep_Hours]&lt;7,"Medium","Good"))</f>
        <v>Good</v>
      </c>
      <c r="U1745" t="str">
        <f>IF(mental_health[Stress_Level]&lt;=3,"Low",IF(mental_health[Stress_Level]&lt;=7,"Medium","High"))</f>
        <v>Medium</v>
      </c>
      <c r="V1745" t="str">
        <f>IF(mental_health[Daily_Screen_Time]&lt;=4,"Low",IF(mental_health[Daily_Screen_Time]&lt;=8,"Medium","High"))</f>
        <v>High</v>
      </c>
    </row>
    <row r="1746" spans="1:22" x14ac:dyDescent="0.3">
      <c r="A1746">
        <v>1745</v>
      </c>
      <c r="B1746">
        <v>41</v>
      </c>
      <c r="C1746" t="s">
        <v>23</v>
      </c>
      <c r="D1746" t="s">
        <v>19</v>
      </c>
      <c r="E1746">
        <v>4.5999999999999996</v>
      </c>
      <c r="F1746">
        <v>1.8</v>
      </c>
      <c r="G1746">
        <v>1</v>
      </c>
      <c r="H1746" t="str">
        <f t="shared" si="27"/>
        <v>Night Usage</v>
      </c>
      <c r="I1746">
        <v>3.5</v>
      </c>
      <c r="J1746" s="3">
        <v>8</v>
      </c>
      <c r="K1746">
        <v>3.5</v>
      </c>
      <c r="L1746" t="s">
        <v>25</v>
      </c>
      <c r="M1746">
        <v>1</v>
      </c>
      <c r="N1746">
        <v>2</v>
      </c>
      <c r="O1746">
        <v>0</v>
      </c>
      <c r="P1746">
        <v>1</v>
      </c>
      <c r="Q1746">
        <v>0</v>
      </c>
      <c r="R1746">
        <v>1</v>
      </c>
      <c r="S1746">
        <v>0</v>
      </c>
      <c r="T1746" t="str">
        <f>IF(mental_health[Sleep_Hours]&lt;5,"Low",IF(mental_health[Sleep_Hours]&lt;7,"Medium","Good"))</f>
        <v>Low</v>
      </c>
      <c r="U1746" t="str">
        <f>IF(mental_health[Stress_Level]&lt;=3,"Low",IF(mental_health[Stress_Level]&lt;=7,"Medium","High"))</f>
        <v>High</v>
      </c>
      <c r="V1746" t="str">
        <f>IF(mental_health[Daily_Screen_Time]&lt;=4,"Low",IF(mental_health[Daily_Screen_Time]&lt;=8,"Medium","High"))</f>
        <v>Medium</v>
      </c>
    </row>
    <row r="1747" spans="1:22" x14ac:dyDescent="0.3">
      <c r="A1747">
        <v>1746</v>
      </c>
      <c r="B1747">
        <v>37</v>
      </c>
      <c r="C1747" t="s">
        <v>18</v>
      </c>
      <c r="D1747" t="s">
        <v>19</v>
      </c>
      <c r="E1747">
        <v>4.8</v>
      </c>
      <c r="F1747">
        <v>6</v>
      </c>
      <c r="G1747">
        <v>1</v>
      </c>
      <c r="H1747" t="str">
        <f t="shared" si="27"/>
        <v>Night Usage</v>
      </c>
      <c r="I1747">
        <v>4.4000000000000004</v>
      </c>
      <c r="J1747" s="3">
        <v>1</v>
      </c>
      <c r="K1747">
        <v>10.9</v>
      </c>
      <c r="L1747" t="s">
        <v>25</v>
      </c>
      <c r="M1747">
        <v>4</v>
      </c>
      <c r="N1747">
        <v>2</v>
      </c>
      <c r="O1747">
        <v>0</v>
      </c>
      <c r="P1747">
        <v>1</v>
      </c>
      <c r="Q1747">
        <v>1</v>
      </c>
      <c r="R1747">
        <v>0</v>
      </c>
      <c r="S1747">
        <v>1</v>
      </c>
      <c r="T1747" t="str">
        <f>IF(mental_health[Sleep_Hours]&lt;5,"Low",IF(mental_health[Sleep_Hours]&lt;7,"Medium","Good"))</f>
        <v>Low</v>
      </c>
      <c r="U1747" t="str">
        <f>IF(mental_health[Stress_Level]&lt;=3,"Low",IF(mental_health[Stress_Level]&lt;=7,"Medium","High"))</f>
        <v>Low</v>
      </c>
      <c r="V1747" t="str">
        <f>IF(mental_health[Daily_Screen_Time]&lt;=4,"Low",IF(mental_health[Daily_Screen_Time]&lt;=8,"Medium","High"))</f>
        <v>Medium</v>
      </c>
    </row>
    <row r="1748" spans="1:22" x14ac:dyDescent="0.3">
      <c r="A1748">
        <v>1747</v>
      </c>
      <c r="B1748">
        <v>54</v>
      </c>
      <c r="C1748" t="s">
        <v>18</v>
      </c>
      <c r="D1748" t="s">
        <v>19</v>
      </c>
      <c r="E1748">
        <v>11.3</v>
      </c>
      <c r="F1748">
        <v>4.5</v>
      </c>
      <c r="G1748">
        <v>1</v>
      </c>
      <c r="H1748" t="str">
        <f t="shared" si="27"/>
        <v>Night Usage</v>
      </c>
      <c r="I1748">
        <v>3.3</v>
      </c>
      <c r="J1748" s="3">
        <v>7</v>
      </c>
      <c r="K1748">
        <v>9.3000000000000007</v>
      </c>
      <c r="L1748" t="s">
        <v>21</v>
      </c>
      <c r="M1748">
        <v>6</v>
      </c>
      <c r="N1748">
        <v>3</v>
      </c>
      <c r="O1748">
        <v>0</v>
      </c>
      <c r="P1748">
        <v>1</v>
      </c>
      <c r="Q1748">
        <v>1</v>
      </c>
      <c r="R1748">
        <v>0</v>
      </c>
      <c r="S1748">
        <v>1</v>
      </c>
      <c r="T1748" t="str">
        <f>IF(mental_health[Sleep_Hours]&lt;5,"Low",IF(mental_health[Sleep_Hours]&lt;7,"Medium","Good"))</f>
        <v>Low</v>
      </c>
      <c r="U1748" t="str">
        <f>IF(mental_health[Stress_Level]&lt;=3,"Low",IF(mental_health[Stress_Level]&lt;=7,"Medium","High"))</f>
        <v>Medium</v>
      </c>
      <c r="V1748" t="str">
        <f>IF(mental_health[Daily_Screen_Time]&lt;=4,"Low",IF(mental_health[Daily_Screen_Time]&lt;=8,"Medium","High"))</f>
        <v>High</v>
      </c>
    </row>
    <row r="1749" spans="1:22" x14ac:dyDescent="0.3">
      <c r="A1749">
        <v>1748</v>
      </c>
      <c r="B1749">
        <v>17</v>
      </c>
      <c r="C1749" t="s">
        <v>18</v>
      </c>
      <c r="D1749" t="s">
        <v>24</v>
      </c>
      <c r="E1749">
        <v>2.2000000000000002</v>
      </c>
      <c r="F1749">
        <v>7.3</v>
      </c>
      <c r="G1749">
        <v>0</v>
      </c>
      <c r="H1749" t="str">
        <f t="shared" si="27"/>
        <v>No Night Usage</v>
      </c>
      <c r="I1749">
        <v>7.2</v>
      </c>
      <c r="J1749" s="3">
        <v>7</v>
      </c>
      <c r="K1749">
        <v>7.6</v>
      </c>
      <c r="L1749" t="s">
        <v>20</v>
      </c>
      <c r="M1749">
        <v>6</v>
      </c>
      <c r="N1749">
        <v>0</v>
      </c>
      <c r="O1749">
        <v>1</v>
      </c>
      <c r="P1749">
        <v>0</v>
      </c>
      <c r="Q1749">
        <v>1</v>
      </c>
      <c r="R1749">
        <v>1</v>
      </c>
      <c r="S1749">
        <v>0</v>
      </c>
      <c r="T1749" t="str">
        <f>IF(mental_health[Sleep_Hours]&lt;5,"Low",IF(mental_health[Sleep_Hours]&lt;7,"Medium","Good"))</f>
        <v>Good</v>
      </c>
      <c r="U1749" t="str">
        <f>IF(mental_health[Stress_Level]&lt;=3,"Low",IF(mental_health[Stress_Level]&lt;=7,"Medium","High"))</f>
        <v>Medium</v>
      </c>
      <c r="V1749" t="str">
        <f>IF(mental_health[Daily_Screen_Time]&lt;=4,"Low",IF(mental_health[Daily_Screen_Time]&lt;=8,"Medium","High"))</f>
        <v>Low</v>
      </c>
    </row>
    <row r="1750" spans="1:22" x14ac:dyDescent="0.3">
      <c r="A1750">
        <v>1749</v>
      </c>
      <c r="B1750">
        <v>53</v>
      </c>
      <c r="C1750" t="s">
        <v>23</v>
      </c>
      <c r="D1750" t="s">
        <v>22</v>
      </c>
      <c r="E1750">
        <v>9</v>
      </c>
      <c r="F1750">
        <v>7.4</v>
      </c>
      <c r="G1750">
        <v>1</v>
      </c>
      <c r="H1750" t="str">
        <f t="shared" si="27"/>
        <v>Night Usage</v>
      </c>
      <c r="I1750">
        <v>8.1</v>
      </c>
      <c r="J1750" s="3">
        <v>9</v>
      </c>
      <c r="K1750">
        <v>4.2</v>
      </c>
      <c r="L1750" t="s">
        <v>21</v>
      </c>
      <c r="M1750">
        <v>9</v>
      </c>
      <c r="N1750">
        <v>4</v>
      </c>
      <c r="O1750">
        <v>1</v>
      </c>
      <c r="P1750">
        <v>0</v>
      </c>
      <c r="Q1750">
        <v>0</v>
      </c>
      <c r="R1750">
        <v>1</v>
      </c>
      <c r="S1750">
        <v>1</v>
      </c>
      <c r="T1750" t="str">
        <f>IF(mental_health[Sleep_Hours]&lt;5,"Low",IF(mental_health[Sleep_Hours]&lt;7,"Medium","Good"))</f>
        <v>Good</v>
      </c>
      <c r="U1750" t="str">
        <f>IF(mental_health[Stress_Level]&lt;=3,"Low",IF(mental_health[Stress_Level]&lt;=7,"Medium","High"))</f>
        <v>High</v>
      </c>
      <c r="V1750" t="str">
        <f>IF(mental_health[Daily_Screen_Time]&lt;=4,"Low",IF(mental_health[Daily_Screen_Time]&lt;=8,"Medium","High"))</f>
        <v>High</v>
      </c>
    </row>
    <row r="1751" spans="1:22" x14ac:dyDescent="0.3">
      <c r="A1751">
        <v>1750</v>
      </c>
      <c r="B1751">
        <v>54</v>
      </c>
      <c r="C1751" t="s">
        <v>18</v>
      </c>
      <c r="D1751" t="s">
        <v>22</v>
      </c>
      <c r="E1751">
        <v>9.3000000000000007</v>
      </c>
      <c r="F1751">
        <v>1.4</v>
      </c>
      <c r="G1751">
        <v>1</v>
      </c>
      <c r="H1751" t="str">
        <f t="shared" si="27"/>
        <v>Night Usage</v>
      </c>
      <c r="I1751">
        <v>5.6</v>
      </c>
      <c r="J1751" s="3">
        <v>2</v>
      </c>
      <c r="K1751">
        <v>7.1</v>
      </c>
      <c r="L1751" t="s">
        <v>21</v>
      </c>
      <c r="M1751">
        <v>10</v>
      </c>
      <c r="N1751">
        <v>0</v>
      </c>
      <c r="O1751">
        <v>0</v>
      </c>
      <c r="P1751">
        <v>1</v>
      </c>
      <c r="Q1751">
        <v>1</v>
      </c>
      <c r="R1751">
        <v>1</v>
      </c>
      <c r="S1751">
        <v>1</v>
      </c>
      <c r="T1751" t="str">
        <f>IF(mental_health[Sleep_Hours]&lt;5,"Low",IF(mental_health[Sleep_Hours]&lt;7,"Medium","Good"))</f>
        <v>Medium</v>
      </c>
      <c r="U1751" t="str">
        <f>IF(mental_health[Stress_Level]&lt;=3,"Low",IF(mental_health[Stress_Level]&lt;=7,"Medium","High"))</f>
        <v>Low</v>
      </c>
      <c r="V1751" t="str">
        <f>IF(mental_health[Daily_Screen_Time]&lt;=4,"Low",IF(mental_health[Daily_Screen_Time]&lt;=8,"Medium","High"))</f>
        <v>High</v>
      </c>
    </row>
    <row r="1752" spans="1:22" x14ac:dyDescent="0.3">
      <c r="A1752">
        <v>1751</v>
      </c>
      <c r="B1752">
        <v>41</v>
      </c>
      <c r="C1752" t="s">
        <v>23</v>
      </c>
      <c r="D1752" t="s">
        <v>22</v>
      </c>
      <c r="E1752">
        <v>10.4</v>
      </c>
      <c r="F1752">
        <v>6.7</v>
      </c>
      <c r="G1752">
        <v>0</v>
      </c>
      <c r="H1752" t="str">
        <f t="shared" si="27"/>
        <v>No Night Usage</v>
      </c>
      <c r="I1752">
        <v>8.6</v>
      </c>
      <c r="J1752" s="3">
        <v>3</v>
      </c>
      <c r="K1752">
        <v>7.2</v>
      </c>
      <c r="L1752" t="s">
        <v>25</v>
      </c>
      <c r="M1752">
        <v>5</v>
      </c>
      <c r="N1752">
        <v>2</v>
      </c>
      <c r="O1752">
        <v>1</v>
      </c>
      <c r="P1752">
        <v>1</v>
      </c>
      <c r="Q1752">
        <v>1</v>
      </c>
      <c r="R1752">
        <v>0</v>
      </c>
      <c r="S1752">
        <v>1</v>
      </c>
      <c r="T1752" t="str">
        <f>IF(mental_health[Sleep_Hours]&lt;5,"Low",IF(mental_health[Sleep_Hours]&lt;7,"Medium","Good"))</f>
        <v>Good</v>
      </c>
      <c r="U1752" t="str">
        <f>IF(mental_health[Stress_Level]&lt;=3,"Low",IF(mental_health[Stress_Level]&lt;=7,"Medium","High"))</f>
        <v>Low</v>
      </c>
      <c r="V1752" t="str">
        <f>IF(mental_health[Daily_Screen_Time]&lt;=4,"Low",IF(mental_health[Daily_Screen_Time]&lt;=8,"Medium","High"))</f>
        <v>High</v>
      </c>
    </row>
    <row r="1753" spans="1:22" x14ac:dyDescent="0.3">
      <c r="A1753">
        <v>1752</v>
      </c>
      <c r="B1753">
        <v>30</v>
      </c>
      <c r="C1753" t="s">
        <v>23</v>
      </c>
      <c r="D1753" t="s">
        <v>24</v>
      </c>
      <c r="E1753">
        <v>11.7</v>
      </c>
      <c r="F1753">
        <v>1.3</v>
      </c>
      <c r="G1753">
        <v>1</v>
      </c>
      <c r="H1753" t="str">
        <f t="shared" si="27"/>
        <v>Night Usage</v>
      </c>
      <c r="I1753">
        <v>6.5</v>
      </c>
      <c r="J1753" s="3">
        <v>4</v>
      </c>
      <c r="K1753">
        <v>7.9</v>
      </c>
      <c r="L1753" t="s">
        <v>20</v>
      </c>
      <c r="M1753">
        <v>5</v>
      </c>
      <c r="N1753">
        <v>0</v>
      </c>
      <c r="O1753">
        <v>1</v>
      </c>
      <c r="P1753">
        <v>1</v>
      </c>
      <c r="Q1753">
        <v>1</v>
      </c>
      <c r="R1753">
        <v>0</v>
      </c>
      <c r="S1753">
        <v>0</v>
      </c>
      <c r="T1753" t="str">
        <f>IF(mental_health[Sleep_Hours]&lt;5,"Low",IF(mental_health[Sleep_Hours]&lt;7,"Medium","Good"))</f>
        <v>Medium</v>
      </c>
      <c r="U1753" t="str">
        <f>IF(mental_health[Stress_Level]&lt;=3,"Low",IF(mental_health[Stress_Level]&lt;=7,"Medium","High"))</f>
        <v>Medium</v>
      </c>
      <c r="V1753" t="str">
        <f>IF(mental_health[Daily_Screen_Time]&lt;=4,"Low",IF(mental_health[Daily_Screen_Time]&lt;=8,"Medium","High"))</f>
        <v>High</v>
      </c>
    </row>
    <row r="1754" spans="1:22" x14ac:dyDescent="0.3">
      <c r="A1754">
        <v>1753</v>
      </c>
      <c r="B1754">
        <v>49</v>
      </c>
      <c r="C1754" t="s">
        <v>18</v>
      </c>
      <c r="D1754" t="s">
        <v>19</v>
      </c>
      <c r="E1754">
        <v>11.8</v>
      </c>
      <c r="F1754">
        <v>3.6</v>
      </c>
      <c r="G1754">
        <v>1</v>
      </c>
      <c r="H1754" t="str">
        <f t="shared" si="27"/>
        <v>Night Usage</v>
      </c>
      <c r="I1754">
        <v>6.8</v>
      </c>
      <c r="J1754" s="3">
        <v>1</v>
      </c>
      <c r="K1754">
        <v>2.6</v>
      </c>
      <c r="L1754" t="s">
        <v>25</v>
      </c>
      <c r="M1754">
        <v>6</v>
      </c>
      <c r="N1754">
        <v>2</v>
      </c>
      <c r="O1754">
        <v>0</v>
      </c>
      <c r="P1754">
        <v>0</v>
      </c>
      <c r="Q1754">
        <v>1</v>
      </c>
      <c r="R1754">
        <v>0</v>
      </c>
      <c r="S1754">
        <v>0</v>
      </c>
      <c r="T1754" t="str">
        <f>IF(mental_health[Sleep_Hours]&lt;5,"Low",IF(mental_health[Sleep_Hours]&lt;7,"Medium","Good"))</f>
        <v>Medium</v>
      </c>
      <c r="U1754" t="str">
        <f>IF(mental_health[Stress_Level]&lt;=3,"Low",IF(mental_health[Stress_Level]&lt;=7,"Medium","High"))</f>
        <v>Low</v>
      </c>
      <c r="V1754" t="str">
        <f>IF(mental_health[Daily_Screen_Time]&lt;=4,"Low",IF(mental_health[Daily_Screen_Time]&lt;=8,"Medium","High"))</f>
        <v>High</v>
      </c>
    </row>
    <row r="1755" spans="1:22" x14ac:dyDescent="0.3">
      <c r="A1755">
        <v>1754</v>
      </c>
      <c r="B1755">
        <v>57</v>
      </c>
      <c r="C1755" t="s">
        <v>18</v>
      </c>
      <c r="D1755" t="s">
        <v>22</v>
      </c>
      <c r="E1755">
        <v>2.7</v>
      </c>
      <c r="F1755">
        <v>4.8</v>
      </c>
      <c r="G1755">
        <v>1</v>
      </c>
      <c r="H1755" t="str">
        <f t="shared" si="27"/>
        <v>Night Usage</v>
      </c>
      <c r="I1755">
        <v>8.1</v>
      </c>
      <c r="J1755" s="3">
        <v>7</v>
      </c>
      <c r="K1755">
        <v>11.7</v>
      </c>
      <c r="L1755" t="s">
        <v>21</v>
      </c>
      <c r="M1755">
        <v>6</v>
      </c>
      <c r="N1755">
        <v>1</v>
      </c>
      <c r="O1755">
        <v>0</v>
      </c>
      <c r="P1755">
        <v>0</v>
      </c>
      <c r="Q1755">
        <v>1</v>
      </c>
      <c r="R1755">
        <v>0</v>
      </c>
      <c r="S1755">
        <v>1</v>
      </c>
      <c r="T1755" t="str">
        <f>IF(mental_health[Sleep_Hours]&lt;5,"Low",IF(mental_health[Sleep_Hours]&lt;7,"Medium","Good"))</f>
        <v>Good</v>
      </c>
      <c r="U1755" t="str">
        <f>IF(mental_health[Stress_Level]&lt;=3,"Low",IF(mental_health[Stress_Level]&lt;=7,"Medium","High"))</f>
        <v>Medium</v>
      </c>
      <c r="V1755" t="str">
        <f>IF(mental_health[Daily_Screen_Time]&lt;=4,"Low",IF(mental_health[Daily_Screen_Time]&lt;=8,"Medium","High"))</f>
        <v>Low</v>
      </c>
    </row>
    <row r="1756" spans="1:22" x14ac:dyDescent="0.3">
      <c r="A1756">
        <v>1755</v>
      </c>
      <c r="B1756">
        <v>59</v>
      </c>
      <c r="C1756" t="s">
        <v>23</v>
      </c>
      <c r="D1756" t="s">
        <v>24</v>
      </c>
      <c r="E1756">
        <v>10.199999999999999</v>
      </c>
      <c r="F1756">
        <v>2</v>
      </c>
      <c r="G1756">
        <v>0</v>
      </c>
      <c r="H1756" t="str">
        <f t="shared" si="27"/>
        <v>No Night Usage</v>
      </c>
      <c r="I1756">
        <v>4.8</v>
      </c>
      <c r="J1756" s="3">
        <v>10</v>
      </c>
      <c r="K1756">
        <v>6.7</v>
      </c>
      <c r="L1756" t="s">
        <v>21</v>
      </c>
      <c r="M1756">
        <v>3</v>
      </c>
      <c r="N1756">
        <v>1</v>
      </c>
      <c r="O1756">
        <v>1</v>
      </c>
      <c r="P1756">
        <v>0</v>
      </c>
      <c r="Q1756">
        <v>1</v>
      </c>
      <c r="R1756">
        <v>0</v>
      </c>
      <c r="S1756">
        <v>1</v>
      </c>
      <c r="T1756" t="str">
        <f>IF(mental_health[Sleep_Hours]&lt;5,"Low",IF(mental_health[Sleep_Hours]&lt;7,"Medium","Good"))</f>
        <v>Low</v>
      </c>
      <c r="U1756" t="str">
        <f>IF(mental_health[Stress_Level]&lt;=3,"Low",IF(mental_health[Stress_Level]&lt;=7,"Medium","High"))</f>
        <v>High</v>
      </c>
      <c r="V1756" t="str">
        <f>IF(mental_health[Daily_Screen_Time]&lt;=4,"Low",IF(mental_health[Daily_Screen_Time]&lt;=8,"Medium","High"))</f>
        <v>High</v>
      </c>
    </row>
    <row r="1757" spans="1:22" x14ac:dyDescent="0.3">
      <c r="A1757">
        <v>1756</v>
      </c>
      <c r="B1757">
        <v>55</v>
      </c>
      <c r="C1757" t="s">
        <v>18</v>
      </c>
      <c r="D1757" t="s">
        <v>19</v>
      </c>
      <c r="E1757">
        <v>8.5</v>
      </c>
      <c r="F1757">
        <v>6.2</v>
      </c>
      <c r="G1757">
        <v>1</v>
      </c>
      <c r="H1757" t="str">
        <f t="shared" si="27"/>
        <v>Night Usage</v>
      </c>
      <c r="I1757">
        <v>5.0999999999999996</v>
      </c>
      <c r="J1757" s="3">
        <v>3</v>
      </c>
      <c r="K1757">
        <v>11.3</v>
      </c>
      <c r="L1757" t="s">
        <v>20</v>
      </c>
      <c r="M1757">
        <v>6</v>
      </c>
      <c r="N1757">
        <v>2</v>
      </c>
      <c r="O1757">
        <v>1</v>
      </c>
      <c r="P1757">
        <v>0</v>
      </c>
      <c r="Q1757">
        <v>1</v>
      </c>
      <c r="R1757">
        <v>1</v>
      </c>
      <c r="S1757">
        <v>1</v>
      </c>
      <c r="T1757" t="str">
        <f>IF(mental_health[Sleep_Hours]&lt;5,"Low",IF(mental_health[Sleep_Hours]&lt;7,"Medium","Good"))</f>
        <v>Medium</v>
      </c>
      <c r="U1757" t="str">
        <f>IF(mental_health[Stress_Level]&lt;=3,"Low",IF(mental_health[Stress_Level]&lt;=7,"Medium","High"))</f>
        <v>Low</v>
      </c>
      <c r="V1757" t="str">
        <f>IF(mental_health[Daily_Screen_Time]&lt;=4,"Low",IF(mental_health[Daily_Screen_Time]&lt;=8,"Medium","High"))</f>
        <v>High</v>
      </c>
    </row>
    <row r="1758" spans="1:22" x14ac:dyDescent="0.3">
      <c r="A1758">
        <v>1757</v>
      </c>
      <c r="B1758">
        <v>26</v>
      </c>
      <c r="C1758" t="s">
        <v>23</v>
      </c>
      <c r="D1758" t="s">
        <v>22</v>
      </c>
      <c r="E1758">
        <v>8.5</v>
      </c>
      <c r="F1758">
        <v>1.1000000000000001</v>
      </c>
      <c r="G1758">
        <v>0</v>
      </c>
      <c r="H1758" t="str">
        <f t="shared" si="27"/>
        <v>No Night Usage</v>
      </c>
      <c r="I1758">
        <v>8.4</v>
      </c>
      <c r="J1758" s="3">
        <v>3</v>
      </c>
      <c r="K1758">
        <v>2.1</v>
      </c>
      <c r="L1758" t="s">
        <v>21</v>
      </c>
      <c r="M1758">
        <v>8</v>
      </c>
      <c r="N1758">
        <v>4</v>
      </c>
      <c r="O1758">
        <v>1</v>
      </c>
      <c r="P1758">
        <v>0</v>
      </c>
      <c r="Q1758">
        <v>0</v>
      </c>
      <c r="R1758">
        <v>0</v>
      </c>
      <c r="S1758">
        <v>0</v>
      </c>
      <c r="T1758" t="str">
        <f>IF(mental_health[Sleep_Hours]&lt;5,"Low",IF(mental_health[Sleep_Hours]&lt;7,"Medium","Good"))</f>
        <v>Good</v>
      </c>
      <c r="U1758" t="str">
        <f>IF(mental_health[Stress_Level]&lt;=3,"Low",IF(mental_health[Stress_Level]&lt;=7,"Medium","High"))</f>
        <v>Low</v>
      </c>
      <c r="V1758" t="str">
        <f>IF(mental_health[Daily_Screen_Time]&lt;=4,"Low",IF(mental_health[Daily_Screen_Time]&lt;=8,"Medium","High"))</f>
        <v>High</v>
      </c>
    </row>
    <row r="1759" spans="1:22" x14ac:dyDescent="0.3">
      <c r="A1759">
        <v>1758</v>
      </c>
      <c r="B1759">
        <v>18</v>
      </c>
      <c r="C1759" t="s">
        <v>18</v>
      </c>
      <c r="D1759" t="s">
        <v>19</v>
      </c>
      <c r="E1759">
        <v>3.3</v>
      </c>
      <c r="F1759">
        <v>2.2000000000000002</v>
      </c>
      <c r="G1759">
        <v>0</v>
      </c>
      <c r="H1759" t="str">
        <f t="shared" si="27"/>
        <v>No Night Usage</v>
      </c>
      <c r="I1759">
        <v>8.4</v>
      </c>
      <c r="J1759" s="3">
        <v>3</v>
      </c>
      <c r="K1759">
        <v>4.5</v>
      </c>
      <c r="L1759" t="s">
        <v>21</v>
      </c>
      <c r="M1759">
        <v>6</v>
      </c>
      <c r="N1759">
        <v>4</v>
      </c>
      <c r="O1759">
        <v>0</v>
      </c>
      <c r="P1759">
        <v>0</v>
      </c>
      <c r="Q1759">
        <v>0</v>
      </c>
      <c r="R1759">
        <v>1</v>
      </c>
      <c r="S1759">
        <v>0</v>
      </c>
      <c r="T1759" t="str">
        <f>IF(mental_health[Sleep_Hours]&lt;5,"Low",IF(mental_health[Sleep_Hours]&lt;7,"Medium","Good"))</f>
        <v>Good</v>
      </c>
      <c r="U1759" t="str">
        <f>IF(mental_health[Stress_Level]&lt;=3,"Low",IF(mental_health[Stress_Level]&lt;=7,"Medium","High"))</f>
        <v>Low</v>
      </c>
      <c r="V1759" t="str">
        <f>IF(mental_health[Daily_Screen_Time]&lt;=4,"Low",IF(mental_health[Daily_Screen_Time]&lt;=8,"Medium","High"))</f>
        <v>Low</v>
      </c>
    </row>
    <row r="1760" spans="1:22" x14ac:dyDescent="0.3">
      <c r="A1760">
        <v>1759</v>
      </c>
      <c r="B1760">
        <v>21</v>
      </c>
      <c r="C1760" t="s">
        <v>23</v>
      </c>
      <c r="D1760" t="s">
        <v>22</v>
      </c>
      <c r="E1760">
        <v>8.5</v>
      </c>
      <c r="F1760">
        <v>5.0999999999999996</v>
      </c>
      <c r="G1760">
        <v>1</v>
      </c>
      <c r="H1760" t="str">
        <f t="shared" si="27"/>
        <v>Night Usage</v>
      </c>
      <c r="I1760">
        <v>8.9</v>
      </c>
      <c r="J1760" s="3">
        <v>8</v>
      </c>
      <c r="K1760">
        <v>3</v>
      </c>
      <c r="L1760" t="s">
        <v>20</v>
      </c>
      <c r="M1760">
        <v>5</v>
      </c>
      <c r="N1760">
        <v>0</v>
      </c>
      <c r="O1760">
        <v>1</v>
      </c>
      <c r="P1760">
        <v>0</v>
      </c>
      <c r="Q1760">
        <v>0</v>
      </c>
      <c r="R1760">
        <v>0</v>
      </c>
      <c r="S1760">
        <v>0</v>
      </c>
      <c r="T1760" t="str">
        <f>IF(mental_health[Sleep_Hours]&lt;5,"Low",IF(mental_health[Sleep_Hours]&lt;7,"Medium","Good"))</f>
        <v>Good</v>
      </c>
      <c r="U1760" t="str">
        <f>IF(mental_health[Stress_Level]&lt;=3,"Low",IF(mental_health[Stress_Level]&lt;=7,"Medium","High"))</f>
        <v>High</v>
      </c>
      <c r="V1760" t="str">
        <f>IF(mental_health[Daily_Screen_Time]&lt;=4,"Low",IF(mental_health[Daily_Screen_Time]&lt;=8,"Medium","High"))</f>
        <v>High</v>
      </c>
    </row>
    <row r="1761" spans="1:22" x14ac:dyDescent="0.3">
      <c r="A1761">
        <v>1760</v>
      </c>
      <c r="B1761">
        <v>24</v>
      </c>
      <c r="C1761" t="s">
        <v>23</v>
      </c>
      <c r="D1761" t="s">
        <v>22</v>
      </c>
      <c r="E1761">
        <v>11.8</v>
      </c>
      <c r="F1761">
        <v>6</v>
      </c>
      <c r="G1761">
        <v>1</v>
      </c>
      <c r="H1761" t="str">
        <f t="shared" si="27"/>
        <v>Night Usage</v>
      </c>
      <c r="I1761">
        <v>8.4</v>
      </c>
      <c r="J1761" s="3">
        <v>9</v>
      </c>
      <c r="K1761">
        <v>9.6999999999999993</v>
      </c>
      <c r="L1761" t="s">
        <v>25</v>
      </c>
      <c r="M1761">
        <v>3</v>
      </c>
      <c r="N1761">
        <v>2</v>
      </c>
      <c r="O1761">
        <v>1</v>
      </c>
      <c r="P1761">
        <v>1</v>
      </c>
      <c r="Q1761">
        <v>1</v>
      </c>
      <c r="R1761">
        <v>1</v>
      </c>
      <c r="S1761">
        <v>1</v>
      </c>
      <c r="T1761" t="str">
        <f>IF(mental_health[Sleep_Hours]&lt;5,"Low",IF(mental_health[Sleep_Hours]&lt;7,"Medium","Good"))</f>
        <v>Good</v>
      </c>
      <c r="U1761" t="str">
        <f>IF(mental_health[Stress_Level]&lt;=3,"Low",IF(mental_health[Stress_Level]&lt;=7,"Medium","High"))</f>
        <v>High</v>
      </c>
      <c r="V1761" t="str">
        <f>IF(mental_health[Daily_Screen_Time]&lt;=4,"Low",IF(mental_health[Daily_Screen_Time]&lt;=8,"Medium","High"))</f>
        <v>High</v>
      </c>
    </row>
    <row r="1762" spans="1:22" x14ac:dyDescent="0.3">
      <c r="A1762">
        <v>1761</v>
      </c>
      <c r="B1762">
        <v>21</v>
      </c>
      <c r="C1762" t="s">
        <v>23</v>
      </c>
      <c r="D1762" t="s">
        <v>22</v>
      </c>
      <c r="E1762">
        <v>11.1</v>
      </c>
      <c r="F1762">
        <v>7.4</v>
      </c>
      <c r="G1762">
        <v>1</v>
      </c>
      <c r="H1762" t="str">
        <f t="shared" si="27"/>
        <v>Night Usage</v>
      </c>
      <c r="I1762">
        <v>3.8</v>
      </c>
      <c r="J1762" s="3">
        <v>10</v>
      </c>
      <c r="K1762">
        <v>5.2</v>
      </c>
      <c r="L1762" t="s">
        <v>20</v>
      </c>
      <c r="M1762">
        <v>1</v>
      </c>
      <c r="N1762">
        <v>3</v>
      </c>
      <c r="O1762">
        <v>1</v>
      </c>
      <c r="P1762">
        <v>0</v>
      </c>
      <c r="Q1762">
        <v>0</v>
      </c>
      <c r="R1762">
        <v>1</v>
      </c>
      <c r="S1762">
        <v>1</v>
      </c>
      <c r="T1762" t="str">
        <f>IF(mental_health[Sleep_Hours]&lt;5,"Low",IF(mental_health[Sleep_Hours]&lt;7,"Medium","Good"))</f>
        <v>Low</v>
      </c>
      <c r="U1762" t="str">
        <f>IF(mental_health[Stress_Level]&lt;=3,"Low",IF(mental_health[Stress_Level]&lt;=7,"Medium","High"))</f>
        <v>High</v>
      </c>
      <c r="V1762" t="str">
        <f>IF(mental_health[Daily_Screen_Time]&lt;=4,"Low",IF(mental_health[Daily_Screen_Time]&lt;=8,"Medium","High"))</f>
        <v>High</v>
      </c>
    </row>
    <row r="1763" spans="1:22" x14ac:dyDescent="0.3">
      <c r="A1763">
        <v>1762</v>
      </c>
      <c r="B1763">
        <v>24</v>
      </c>
      <c r="C1763" t="s">
        <v>23</v>
      </c>
      <c r="D1763" t="s">
        <v>19</v>
      </c>
      <c r="E1763">
        <v>6.4</v>
      </c>
      <c r="F1763">
        <v>5.9</v>
      </c>
      <c r="G1763">
        <v>1</v>
      </c>
      <c r="H1763" t="str">
        <f t="shared" si="27"/>
        <v>Night Usage</v>
      </c>
      <c r="I1763">
        <v>7.9</v>
      </c>
      <c r="J1763" s="3">
        <v>2</v>
      </c>
      <c r="K1763">
        <v>10.4</v>
      </c>
      <c r="L1763" t="s">
        <v>21</v>
      </c>
      <c r="M1763">
        <v>5</v>
      </c>
      <c r="N1763">
        <v>4</v>
      </c>
      <c r="O1763">
        <v>1</v>
      </c>
      <c r="P1763">
        <v>1</v>
      </c>
      <c r="Q1763">
        <v>0</v>
      </c>
      <c r="R1763">
        <v>0</v>
      </c>
      <c r="S1763">
        <v>1</v>
      </c>
      <c r="T1763" t="str">
        <f>IF(mental_health[Sleep_Hours]&lt;5,"Low",IF(mental_health[Sleep_Hours]&lt;7,"Medium","Good"))</f>
        <v>Good</v>
      </c>
      <c r="U1763" t="str">
        <f>IF(mental_health[Stress_Level]&lt;=3,"Low",IF(mental_health[Stress_Level]&lt;=7,"Medium","High"))</f>
        <v>Low</v>
      </c>
      <c r="V1763" t="str">
        <f>IF(mental_health[Daily_Screen_Time]&lt;=4,"Low",IF(mental_health[Daily_Screen_Time]&lt;=8,"Medium","High"))</f>
        <v>Medium</v>
      </c>
    </row>
    <row r="1764" spans="1:22" x14ac:dyDescent="0.3">
      <c r="A1764">
        <v>1763</v>
      </c>
      <c r="B1764">
        <v>54</v>
      </c>
      <c r="C1764" t="s">
        <v>18</v>
      </c>
      <c r="D1764" t="s">
        <v>24</v>
      </c>
      <c r="E1764">
        <v>2.4</v>
      </c>
      <c r="F1764">
        <v>5.7</v>
      </c>
      <c r="G1764">
        <v>0</v>
      </c>
      <c r="H1764" t="str">
        <f t="shared" si="27"/>
        <v>No Night Usage</v>
      </c>
      <c r="I1764">
        <v>5.5</v>
      </c>
      <c r="J1764" s="3">
        <v>10</v>
      </c>
      <c r="K1764">
        <v>10.3</v>
      </c>
      <c r="L1764" t="s">
        <v>20</v>
      </c>
      <c r="M1764">
        <v>6</v>
      </c>
      <c r="N1764">
        <v>4</v>
      </c>
      <c r="O1764">
        <v>0</v>
      </c>
      <c r="P1764">
        <v>0</v>
      </c>
      <c r="Q1764">
        <v>1</v>
      </c>
      <c r="R1764">
        <v>1</v>
      </c>
      <c r="S1764">
        <v>1</v>
      </c>
      <c r="T1764" t="str">
        <f>IF(mental_health[Sleep_Hours]&lt;5,"Low",IF(mental_health[Sleep_Hours]&lt;7,"Medium","Good"))</f>
        <v>Medium</v>
      </c>
      <c r="U1764" t="str">
        <f>IF(mental_health[Stress_Level]&lt;=3,"Low",IF(mental_health[Stress_Level]&lt;=7,"Medium","High"))</f>
        <v>High</v>
      </c>
      <c r="V1764" t="str">
        <f>IF(mental_health[Daily_Screen_Time]&lt;=4,"Low",IF(mental_health[Daily_Screen_Time]&lt;=8,"Medium","High"))</f>
        <v>Low</v>
      </c>
    </row>
    <row r="1765" spans="1:22" x14ac:dyDescent="0.3">
      <c r="A1765">
        <v>1764</v>
      </c>
      <c r="B1765">
        <v>46</v>
      </c>
      <c r="C1765" t="s">
        <v>18</v>
      </c>
      <c r="D1765" t="s">
        <v>19</v>
      </c>
      <c r="E1765">
        <v>5.6</v>
      </c>
      <c r="F1765">
        <v>3.8</v>
      </c>
      <c r="G1765">
        <v>0</v>
      </c>
      <c r="H1765" t="str">
        <f t="shared" si="27"/>
        <v>No Night Usage</v>
      </c>
      <c r="I1765">
        <v>8.9</v>
      </c>
      <c r="J1765" s="3">
        <v>10</v>
      </c>
      <c r="K1765">
        <v>8.6999999999999993</v>
      </c>
      <c r="L1765" t="s">
        <v>25</v>
      </c>
      <c r="M1765">
        <v>6</v>
      </c>
      <c r="N1765">
        <v>1</v>
      </c>
      <c r="O1765">
        <v>0</v>
      </c>
      <c r="P1765">
        <v>1</v>
      </c>
      <c r="Q1765">
        <v>0</v>
      </c>
      <c r="R1765">
        <v>0</v>
      </c>
      <c r="S1765">
        <v>1</v>
      </c>
      <c r="T1765" t="str">
        <f>IF(mental_health[Sleep_Hours]&lt;5,"Low",IF(mental_health[Sleep_Hours]&lt;7,"Medium","Good"))</f>
        <v>Good</v>
      </c>
      <c r="U1765" t="str">
        <f>IF(mental_health[Stress_Level]&lt;=3,"Low",IF(mental_health[Stress_Level]&lt;=7,"Medium","High"))</f>
        <v>High</v>
      </c>
      <c r="V1765" t="str">
        <f>IF(mental_health[Daily_Screen_Time]&lt;=4,"Low",IF(mental_health[Daily_Screen_Time]&lt;=8,"Medium","High"))</f>
        <v>Medium</v>
      </c>
    </row>
    <row r="1766" spans="1:22" x14ac:dyDescent="0.3">
      <c r="A1766">
        <v>1765</v>
      </c>
      <c r="B1766">
        <v>47</v>
      </c>
      <c r="C1766" t="s">
        <v>23</v>
      </c>
      <c r="D1766" t="s">
        <v>22</v>
      </c>
      <c r="E1766">
        <v>10.3</v>
      </c>
      <c r="F1766">
        <v>1</v>
      </c>
      <c r="G1766">
        <v>1</v>
      </c>
      <c r="H1766" t="str">
        <f t="shared" si="27"/>
        <v>Night Usage</v>
      </c>
      <c r="I1766">
        <v>5.8</v>
      </c>
      <c r="J1766" s="3">
        <v>1</v>
      </c>
      <c r="K1766">
        <v>8.6999999999999993</v>
      </c>
      <c r="L1766" t="s">
        <v>21</v>
      </c>
      <c r="M1766">
        <v>6</v>
      </c>
      <c r="N1766">
        <v>4</v>
      </c>
      <c r="O1766">
        <v>0</v>
      </c>
      <c r="P1766">
        <v>0</v>
      </c>
      <c r="Q1766">
        <v>0</v>
      </c>
      <c r="R1766">
        <v>1</v>
      </c>
      <c r="S1766">
        <v>0</v>
      </c>
      <c r="T1766" t="str">
        <f>IF(mental_health[Sleep_Hours]&lt;5,"Low",IF(mental_health[Sleep_Hours]&lt;7,"Medium","Good"))</f>
        <v>Medium</v>
      </c>
      <c r="U1766" t="str">
        <f>IF(mental_health[Stress_Level]&lt;=3,"Low",IF(mental_health[Stress_Level]&lt;=7,"Medium","High"))</f>
        <v>Low</v>
      </c>
      <c r="V1766" t="str">
        <f>IF(mental_health[Daily_Screen_Time]&lt;=4,"Low",IF(mental_health[Daily_Screen_Time]&lt;=8,"Medium","High"))</f>
        <v>High</v>
      </c>
    </row>
    <row r="1767" spans="1:22" x14ac:dyDescent="0.3">
      <c r="A1767">
        <v>1766</v>
      </c>
      <c r="B1767">
        <v>56</v>
      </c>
      <c r="C1767" t="s">
        <v>23</v>
      </c>
      <c r="D1767" t="s">
        <v>19</v>
      </c>
      <c r="E1767">
        <v>9</v>
      </c>
      <c r="F1767">
        <v>1.8</v>
      </c>
      <c r="G1767">
        <v>0</v>
      </c>
      <c r="H1767" t="str">
        <f t="shared" si="27"/>
        <v>No Night Usage</v>
      </c>
      <c r="I1767">
        <v>6.3</v>
      </c>
      <c r="J1767" s="3">
        <v>9</v>
      </c>
      <c r="K1767">
        <v>9</v>
      </c>
      <c r="L1767" t="s">
        <v>25</v>
      </c>
      <c r="M1767">
        <v>3</v>
      </c>
      <c r="N1767">
        <v>4</v>
      </c>
      <c r="O1767">
        <v>1</v>
      </c>
      <c r="P1767">
        <v>0</v>
      </c>
      <c r="Q1767">
        <v>1</v>
      </c>
      <c r="R1767">
        <v>1</v>
      </c>
      <c r="S1767">
        <v>1</v>
      </c>
      <c r="T1767" t="str">
        <f>IF(mental_health[Sleep_Hours]&lt;5,"Low",IF(mental_health[Sleep_Hours]&lt;7,"Medium","Good"))</f>
        <v>Medium</v>
      </c>
      <c r="U1767" t="str">
        <f>IF(mental_health[Stress_Level]&lt;=3,"Low",IF(mental_health[Stress_Level]&lt;=7,"Medium","High"))</f>
        <v>High</v>
      </c>
      <c r="V1767" t="str">
        <f>IF(mental_health[Daily_Screen_Time]&lt;=4,"Low",IF(mental_health[Daily_Screen_Time]&lt;=8,"Medium","High"))</f>
        <v>High</v>
      </c>
    </row>
    <row r="1768" spans="1:22" x14ac:dyDescent="0.3">
      <c r="A1768">
        <v>1767</v>
      </c>
      <c r="B1768">
        <v>27</v>
      </c>
      <c r="C1768" t="s">
        <v>18</v>
      </c>
      <c r="D1768" t="s">
        <v>24</v>
      </c>
      <c r="E1768">
        <v>6.6</v>
      </c>
      <c r="F1768">
        <v>4.7</v>
      </c>
      <c r="G1768">
        <v>1</v>
      </c>
      <c r="H1768" t="str">
        <f t="shared" si="27"/>
        <v>Night Usage</v>
      </c>
      <c r="I1768">
        <v>6.2</v>
      </c>
      <c r="J1768" s="3">
        <v>6</v>
      </c>
      <c r="K1768">
        <v>8.6999999999999993</v>
      </c>
      <c r="L1768" t="s">
        <v>25</v>
      </c>
      <c r="M1768">
        <v>4</v>
      </c>
      <c r="N1768">
        <v>4</v>
      </c>
      <c r="O1768">
        <v>0</v>
      </c>
      <c r="P1768">
        <v>0</v>
      </c>
      <c r="Q1768">
        <v>1</v>
      </c>
      <c r="R1768">
        <v>0</v>
      </c>
      <c r="S1768">
        <v>1</v>
      </c>
      <c r="T1768" t="str">
        <f>IF(mental_health[Sleep_Hours]&lt;5,"Low",IF(mental_health[Sleep_Hours]&lt;7,"Medium","Good"))</f>
        <v>Medium</v>
      </c>
      <c r="U1768" t="str">
        <f>IF(mental_health[Stress_Level]&lt;=3,"Low",IF(mental_health[Stress_Level]&lt;=7,"Medium","High"))</f>
        <v>Medium</v>
      </c>
      <c r="V1768" t="str">
        <f>IF(mental_health[Daily_Screen_Time]&lt;=4,"Low",IF(mental_health[Daily_Screen_Time]&lt;=8,"Medium","High"))</f>
        <v>Medium</v>
      </c>
    </row>
    <row r="1769" spans="1:22" x14ac:dyDescent="0.3">
      <c r="A1769">
        <v>1768</v>
      </c>
      <c r="B1769">
        <v>23</v>
      </c>
      <c r="C1769" t="s">
        <v>18</v>
      </c>
      <c r="D1769" t="s">
        <v>19</v>
      </c>
      <c r="E1769">
        <v>2.6</v>
      </c>
      <c r="F1769">
        <v>5.7</v>
      </c>
      <c r="G1769">
        <v>1</v>
      </c>
      <c r="H1769" t="str">
        <f t="shared" si="27"/>
        <v>Night Usage</v>
      </c>
      <c r="I1769">
        <v>4.9000000000000004</v>
      </c>
      <c r="J1769" s="3">
        <v>9</v>
      </c>
      <c r="K1769">
        <v>5.9</v>
      </c>
      <c r="L1769" t="s">
        <v>20</v>
      </c>
      <c r="M1769">
        <v>3</v>
      </c>
      <c r="N1769">
        <v>2</v>
      </c>
      <c r="O1769">
        <v>1</v>
      </c>
      <c r="P1769">
        <v>1</v>
      </c>
      <c r="Q1769">
        <v>1</v>
      </c>
      <c r="R1769">
        <v>0</v>
      </c>
      <c r="S1769">
        <v>1</v>
      </c>
      <c r="T1769" t="str">
        <f>IF(mental_health[Sleep_Hours]&lt;5,"Low",IF(mental_health[Sleep_Hours]&lt;7,"Medium","Good"))</f>
        <v>Low</v>
      </c>
      <c r="U1769" t="str">
        <f>IF(mental_health[Stress_Level]&lt;=3,"Low",IF(mental_health[Stress_Level]&lt;=7,"Medium","High"))</f>
        <v>High</v>
      </c>
      <c r="V1769" t="str">
        <f>IF(mental_health[Daily_Screen_Time]&lt;=4,"Low",IF(mental_health[Daily_Screen_Time]&lt;=8,"Medium","High"))</f>
        <v>Low</v>
      </c>
    </row>
    <row r="1770" spans="1:22" x14ac:dyDescent="0.3">
      <c r="A1770">
        <v>1769</v>
      </c>
      <c r="B1770">
        <v>23</v>
      </c>
      <c r="C1770" t="s">
        <v>18</v>
      </c>
      <c r="D1770" t="s">
        <v>24</v>
      </c>
      <c r="E1770">
        <v>6.3</v>
      </c>
      <c r="F1770">
        <v>3.9</v>
      </c>
      <c r="G1770">
        <v>1</v>
      </c>
      <c r="H1770" t="str">
        <f t="shared" si="27"/>
        <v>Night Usage</v>
      </c>
      <c r="I1770">
        <v>3.5</v>
      </c>
      <c r="J1770" s="3">
        <v>6</v>
      </c>
      <c r="K1770">
        <v>8.8000000000000007</v>
      </c>
      <c r="L1770" t="s">
        <v>25</v>
      </c>
      <c r="M1770">
        <v>2</v>
      </c>
      <c r="N1770">
        <v>2</v>
      </c>
      <c r="O1770">
        <v>1</v>
      </c>
      <c r="P1770">
        <v>0</v>
      </c>
      <c r="Q1770">
        <v>0</v>
      </c>
      <c r="R1770">
        <v>1</v>
      </c>
      <c r="S1770">
        <v>0</v>
      </c>
      <c r="T1770" t="str">
        <f>IF(mental_health[Sleep_Hours]&lt;5,"Low",IF(mental_health[Sleep_Hours]&lt;7,"Medium","Good"))</f>
        <v>Low</v>
      </c>
      <c r="U1770" t="str">
        <f>IF(mental_health[Stress_Level]&lt;=3,"Low",IF(mental_health[Stress_Level]&lt;=7,"Medium","High"))</f>
        <v>Medium</v>
      </c>
      <c r="V1770" t="str">
        <f>IF(mental_health[Daily_Screen_Time]&lt;=4,"Low",IF(mental_health[Daily_Screen_Time]&lt;=8,"Medium","High"))</f>
        <v>Medium</v>
      </c>
    </row>
    <row r="1771" spans="1:22" x14ac:dyDescent="0.3">
      <c r="A1771">
        <v>1770</v>
      </c>
      <c r="B1771">
        <v>43</v>
      </c>
      <c r="C1771" t="s">
        <v>18</v>
      </c>
      <c r="D1771" t="s">
        <v>24</v>
      </c>
      <c r="E1771">
        <v>6.7</v>
      </c>
      <c r="F1771">
        <v>6.1</v>
      </c>
      <c r="G1771">
        <v>1</v>
      </c>
      <c r="H1771" t="str">
        <f t="shared" si="27"/>
        <v>Night Usage</v>
      </c>
      <c r="I1771">
        <v>8.4</v>
      </c>
      <c r="J1771" s="3">
        <v>2</v>
      </c>
      <c r="K1771">
        <v>11</v>
      </c>
      <c r="L1771" t="s">
        <v>20</v>
      </c>
      <c r="M1771">
        <v>8</v>
      </c>
      <c r="N1771">
        <v>1</v>
      </c>
      <c r="O1771">
        <v>0</v>
      </c>
      <c r="P1771">
        <v>0</v>
      </c>
      <c r="Q1771">
        <v>0</v>
      </c>
      <c r="R1771">
        <v>0</v>
      </c>
      <c r="S1771">
        <v>1</v>
      </c>
      <c r="T1771" t="str">
        <f>IF(mental_health[Sleep_Hours]&lt;5,"Low",IF(mental_health[Sleep_Hours]&lt;7,"Medium","Good"))</f>
        <v>Good</v>
      </c>
      <c r="U1771" t="str">
        <f>IF(mental_health[Stress_Level]&lt;=3,"Low",IF(mental_health[Stress_Level]&lt;=7,"Medium","High"))</f>
        <v>Low</v>
      </c>
      <c r="V1771" t="str">
        <f>IF(mental_health[Daily_Screen_Time]&lt;=4,"Low",IF(mental_health[Daily_Screen_Time]&lt;=8,"Medium","High"))</f>
        <v>Medium</v>
      </c>
    </row>
    <row r="1772" spans="1:22" x14ac:dyDescent="0.3">
      <c r="A1772">
        <v>1771</v>
      </c>
      <c r="B1772">
        <v>35</v>
      </c>
      <c r="C1772" t="s">
        <v>18</v>
      </c>
      <c r="D1772" t="s">
        <v>19</v>
      </c>
      <c r="E1772">
        <v>11.3</v>
      </c>
      <c r="F1772">
        <v>4.7</v>
      </c>
      <c r="G1772">
        <v>0</v>
      </c>
      <c r="H1772" t="str">
        <f t="shared" si="27"/>
        <v>No Night Usage</v>
      </c>
      <c r="I1772">
        <v>7.8</v>
      </c>
      <c r="J1772" s="3">
        <v>1</v>
      </c>
      <c r="K1772">
        <v>5.3</v>
      </c>
      <c r="L1772" t="s">
        <v>20</v>
      </c>
      <c r="M1772">
        <v>7</v>
      </c>
      <c r="N1772">
        <v>0</v>
      </c>
      <c r="O1772">
        <v>1</v>
      </c>
      <c r="P1772">
        <v>1</v>
      </c>
      <c r="Q1772">
        <v>0</v>
      </c>
      <c r="R1772">
        <v>0</v>
      </c>
      <c r="S1772">
        <v>0</v>
      </c>
      <c r="T1772" t="str">
        <f>IF(mental_health[Sleep_Hours]&lt;5,"Low",IF(mental_health[Sleep_Hours]&lt;7,"Medium","Good"))</f>
        <v>Good</v>
      </c>
      <c r="U1772" t="str">
        <f>IF(mental_health[Stress_Level]&lt;=3,"Low",IF(mental_health[Stress_Level]&lt;=7,"Medium","High"))</f>
        <v>Low</v>
      </c>
      <c r="V1772" t="str">
        <f>IF(mental_health[Daily_Screen_Time]&lt;=4,"Low",IF(mental_health[Daily_Screen_Time]&lt;=8,"Medium","High"))</f>
        <v>High</v>
      </c>
    </row>
    <row r="1773" spans="1:22" x14ac:dyDescent="0.3">
      <c r="A1773">
        <v>1772</v>
      </c>
      <c r="B1773">
        <v>22</v>
      </c>
      <c r="C1773" t="s">
        <v>18</v>
      </c>
      <c r="D1773" t="s">
        <v>22</v>
      </c>
      <c r="E1773">
        <v>8.4</v>
      </c>
      <c r="F1773">
        <v>1.5</v>
      </c>
      <c r="G1773">
        <v>0</v>
      </c>
      <c r="H1773" t="str">
        <f t="shared" si="27"/>
        <v>No Night Usage</v>
      </c>
      <c r="I1773">
        <v>3.8</v>
      </c>
      <c r="J1773" s="3">
        <v>8</v>
      </c>
      <c r="K1773">
        <v>11.4</v>
      </c>
      <c r="L1773" t="s">
        <v>25</v>
      </c>
      <c r="M1773">
        <v>8</v>
      </c>
      <c r="N1773">
        <v>4</v>
      </c>
      <c r="O1773">
        <v>1</v>
      </c>
      <c r="P1773">
        <v>0</v>
      </c>
      <c r="Q1773">
        <v>1</v>
      </c>
      <c r="R1773">
        <v>0</v>
      </c>
      <c r="S1773">
        <v>1</v>
      </c>
      <c r="T1773" t="str">
        <f>IF(mental_health[Sleep_Hours]&lt;5,"Low",IF(mental_health[Sleep_Hours]&lt;7,"Medium","Good"))</f>
        <v>Low</v>
      </c>
      <c r="U1773" t="str">
        <f>IF(mental_health[Stress_Level]&lt;=3,"Low",IF(mental_health[Stress_Level]&lt;=7,"Medium","High"))</f>
        <v>High</v>
      </c>
      <c r="V1773" t="str">
        <f>IF(mental_health[Daily_Screen_Time]&lt;=4,"Low",IF(mental_health[Daily_Screen_Time]&lt;=8,"Medium","High"))</f>
        <v>High</v>
      </c>
    </row>
    <row r="1774" spans="1:22" x14ac:dyDescent="0.3">
      <c r="A1774">
        <v>1773</v>
      </c>
      <c r="B1774">
        <v>26</v>
      </c>
      <c r="C1774" t="s">
        <v>23</v>
      </c>
      <c r="D1774" t="s">
        <v>24</v>
      </c>
      <c r="E1774">
        <v>5.0999999999999996</v>
      </c>
      <c r="F1774">
        <v>2.2999999999999998</v>
      </c>
      <c r="G1774">
        <v>1</v>
      </c>
      <c r="H1774" t="str">
        <f t="shared" si="27"/>
        <v>Night Usage</v>
      </c>
      <c r="I1774">
        <v>7.7</v>
      </c>
      <c r="J1774" s="3">
        <v>3</v>
      </c>
      <c r="K1774">
        <v>2.1</v>
      </c>
      <c r="L1774" t="s">
        <v>20</v>
      </c>
      <c r="M1774">
        <v>6</v>
      </c>
      <c r="N1774">
        <v>0</v>
      </c>
      <c r="O1774">
        <v>1</v>
      </c>
      <c r="P1774">
        <v>0</v>
      </c>
      <c r="Q1774">
        <v>0</v>
      </c>
      <c r="R1774">
        <v>0</v>
      </c>
      <c r="S1774">
        <v>0</v>
      </c>
      <c r="T1774" t="str">
        <f>IF(mental_health[Sleep_Hours]&lt;5,"Low",IF(mental_health[Sleep_Hours]&lt;7,"Medium","Good"))</f>
        <v>Good</v>
      </c>
      <c r="U1774" t="str">
        <f>IF(mental_health[Stress_Level]&lt;=3,"Low",IF(mental_health[Stress_Level]&lt;=7,"Medium","High"))</f>
        <v>Low</v>
      </c>
      <c r="V1774" t="str">
        <f>IF(mental_health[Daily_Screen_Time]&lt;=4,"Low",IF(mental_health[Daily_Screen_Time]&lt;=8,"Medium","High"))</f>
        <v>Medium</v>
      </c>
    </row>
    <row r="1775" spans="1:22" x14ac:dyDescent="0.3">
      <c r="A1775">
        <v>1774</v>
      </c>
      <c r="B1775">
        <v>35</v>
      </c>
      <c r="C1775" t="s">
        <v>18</v>
      </c>
      <c r="D1775" t="s">
        <v>19</v>
      </c>
      <c r="E1775">
        <v>7.3</v>
      </c>
      <c r="F1775">
        <v>6.9</v>
      </c>
      <c r="G1775">
        <v>1</v>
      </c>
      <c r="H1775" t="str">
        <f t="shared" si="27"/>
        <v>Night Usage</v>
      </c>
      <c r="I1775">
        <v>6.8</v>
      </c>
      <c r="J1775" s="3">
        <v>1</v>
      </c>
      <c r="K1775">
        <v>5.5</v>
      </c>
      <c r="L1775" t="s">
        <v>20</v>
      </c>
      <c r="M1775">
        <v>7</v>
      </c>
      <c r="N1775">
        <v>2</v>
      </c>
      <c r="O1775">
        <v>0</v>
      </c>
      <c r="P1775">
        <v>1</v>
      </c>
      <c r="Q1775">
        <v>0</v>
      </c>
      <c r="R1775">
        <v>1</v>
      </c>
      <c r="S1775">
        <v>1</v>
      </c>
      <c r="T1775" t="str">
        <f>IF(mental_health[Sleep_Hours]&lt;5,"Low",IF(mental_health[Sleep_Hours]&lt;7,"Medium","Good"))</f>
        <v>Medium</v>
      </c>
      <c r="U1775" t="str">
        <f>IF(mental_health[Stress_Level]&lt;=3,"Low",IF(mental_health[Stress_Level]&lt;=7,"Medium","High"))</f>
        <v>Low</v>
      </c>
      <c r="V1775" t="str">
        <f>IF(mental_health[Daily_Screen_Time]&lt;=4,"Low",IF(mental_health[Daily_Screen_Time]&lt;=8,"Medium","High"))</f>
        <v>Medium</v>
      </c>
    </row>
    <row r="1776" spans="1:22" x14ac:dyDescent="0.3">
      <c r="A1776">
        <v>1775</v>
      </c>
      <c r="B1776">
        <v>31</v>
      </c>
      <c r="C1776" t="s">
        <v>18</v>
      </c>
      <c r="D1776" t="s">
        <v>24</v>
      </c>
      <c r="E1776">
        <v>2.7</v>
      </c>
      <c r="F1776">
        <v>6.1</v>
      </c>
      <c r="G1776">
        <v>0</v>
      </c>
      <c r="H1776" t="str">
        <f t="shared" si="27"/>
        <v>No Night Usage</v>
      </c>
      <c r="I1776">
        <v>5.5</v>
      </c>
      <c r="J1776" s="3">
        <v>8</v>
      </c>
      <c r="K1776">
        <v>3.3</v>
      </c>
      <c r="L1776" t="s">
        <v>25</v>
      </c>
      <c r="M1776">
        <v>1</v>
      </c>
      <c r="N1776">
        <v>4</v>
      </c>
      <c r="O1776">
        <v>0</v>
      </c>
      <c r="P1776">
        <v>0</v>
      </c>
      <c r="Q1776">
        <v>1</v>
      </c>
      <c r="R1776">
        <v>1</v>
      </c>
      <c r="S1776">
        <v>0</v>
      </c>
      <c r="T1776" t="str">
        <f>IF(mental_health[Sleep_Hours]&lt;5,"Low",IF(mental_health[Sleep_Hours]&lt;7,"Medium","Good"))</f>
        <v>Medium</v>
      </c>
      <c r="U1776" t="str">
        <f>IF(mental_health[Stress_Level]&lt;=3,"Low",IF(mental_health[Stress_Level]&lt;=7,"Medium","High"))</f>
        <v>High</v>
      </c>
      <c r="V1776" t="str">
        <f>IF(mental_health[Daily_Screen_Time]&lt;=4,"Low",IF(mental_health[Daily_Screen_Time]&lt;=8,"Medium","High"))</f>
        <v>Low</v>
      </c>
    </row>
    <row r="1777" spans="1:22" x14ac:dyDescent="0.3">
      <c r="A1777">
        <v>1776</v>
      </c>
      <c r="B1777">
        <v>19</v>
      </c>
      <c r="C1777" t="s">
        <v>23</v>
      </c>
      <c r="D1777" t="s">
        <v>22</v>
      </c>
      <c r="E1777">
        <v>11.7</v>
      </c>
      <c r="F1777">
        <v>7.3</v>
      </c>
      <c r="G1777">
        <v>0</v>
      </c>
      <c r="H1777" t="str">
        <f t="shared" si="27"/>
        <v>No Night Usage</v>
      </c>
      <c r="I1777">
        <v>4.5</v>
      </c>
      <c r="J1777" s="3">
        <v>1</v>
      </c>
      <c r="K1777">
        <v>3.3</v>
      </c>
      <c r="L1777" t="s">
        <v>21</v>
      </c>
      <c r="M1777">
        <v>10</v>
      </c>
      <c r="N1777">
        <v>0</v>
      </c>
      <c r="O1777">
        <v>0</v>
      </c>
      <c r="P1777">
        <v>1</v>
      </c>
      <c r="Q1777">
        <v>0</v>
      </c>
      <c r="R1777">
        <v>0</v>
      </c>
      <c r="S1777">
        <v>0</v>
      </c>
      <c r="T1777" t="str">
        <f>IF(mental_health[Sleep_Hours]&lt;5,"Low",IF(mental_health[Sleep_Hours]&lt;7,"Medium","Good"))</f>
        <v>Low</v>
      </c>
      <c r="U1777" t="str">
        <f>IF(mental_health[Stress_Level]&lt;=3,"Low",IF(mental_health[Stress_Level]&lt;=7,"Medium","High"))</f>
        <v>Low</v>
      </c>
      <c r="V1777" t="str">
        <f>IF(mental_health[Daily_Screen_Time]&lt;=4,"Low",IF(mental_health[Daily_Screen_Time]&lt;=8,"Medium","High"))</f>
        <v>High</v>
      </c>
    </row>
    <row r="1778" spans="1:22" x14ac:dyDescent="0.3">
      <c r="A1778">
        <v>1777</v>
      </c>
      <c r="B1778">
        <v>21</v>
      </c>
      <c r="C1778" t="s">
        <v>18</v>
      </c>
      <c r="D1778" t="s">
        <v>19</v>
      </c>
      <c r="E1778">
        <v>5.6</v>
      </c>
      <c r="F1778">
        <v>1.8</v>
      </c>
      <c r="G1778">
        <v>0</v>
      </c>
      <c r="H1778" t="str">
        <f t="shared" si="27"/>
        <v>No Night Usage</v>
      </c>
      <c r="I1778">
        <v>8.1999999999999993</v>
      </c>
      <c r="J1778" s="3">
        <v>8</v>
      </c>
      <c r="K1778">
        <v>10.199999999999999</v>
      </c>
      <c r="L1778" t="s">
        <v>20</v>
      </c>
      <c r="M1778">
        <v>5</v>
      </c>
      <c r="N1778">
        <v>0</v>
      </c>
      <c r="O1778">
        <v>0</v>
      </c>
      <c r="P1778">
        <v>1</v>
      </c>
      <c r="Q1778">
        <v>0</v>
      </c>
      <c r="R1778">
        <v>1</v>
      </c>
      <c r="S1778">
        <v>0</v>
      </c>
      <c r="T1778" t="str">
        <f>IF(mental_health[Sleep_Hours]&lt;5,"Low",IF(mental_health[Sleep_Hours]&lt;7,"Medium","Good"))</f>
        <v>Good</v>
      </c>
      <c r="U1778" t="str">
        <f>IF(mental_health[Stress_Level]&lt;=3,"Low",IF(mental_health[Stress_Level]&lt;=7,"Medium","High"))</f>
        <v>High</v>
      </c>
      <c r="V1778" t="str">
        <f>IF(mental_health[Daily_Screen_Time]&lt;=4,"Low",IF(mental_health[Daily_Screen_Time]&lt;=8,"Medium","High"))</f>
        <v>Medium</v>
      </c>
    </row>
    <row r="1779" spans="1:22" x14ac:dyDescent="0.3">
      <c r="A1779">
        <v>1778</v>
      </c>
      <c r="B1779">
        <v>37</v>
      </c>
      <c r="C1779" t="s">
        <v>18</v>
      </c>
      <c r="D1779" t="s">
        <v>19</v>
      </c>
      <c r="E1779">
        <v>6.8</v>
      </c>
      <c r="F1779">
        <v>7.9</v>
      </c>
      <c r="G1779">
        <v>1</v>
      </c>
      <c r="H1779" t="str">
        <f t="shared" si="27"/>
        <v>Night Usage</v>
      </c>
      <c r="I1779">
        <v>7.2</v>
      </c>
      <c r="J1779" s="3">
        <v>1</v>
      </c>
      <c r="K1779">
        <v>11.2</v>
      </c>
      <c r="L1779" t="s">
        <v>20</v>
      </c>
      <c r="M1779">
        <v>4</v>
      </c>
      <c r="N1779">
        <v>3</v>
      </c>
      <c r="O1779">
        <v>0</v>
      </c>
      <c r="P1779">
        <v>1</v>
      </c>
      <c r="Q1779">
        <v>0</v>
      </c>
      <c r="R1779">
        <v>0</v>
      </c>
      <c r="S1779">
        <v>0</v>
      </c>
      <c r="T1779" t="str">
        <f>IF(mental_health[Sleep_Hours]&lt;5,"Low",IF(mental_health[Sleep_Hours]&lt;7,"Medium","Good"))</f>
        <v>Good</v>
      </c>
      <c r="U1779" t="str">
        <f>IF(mental_health[Stress_Level]&lt;=3,"Low",IF(mental_health[Stress_Level]&lt;=7,"Medium","High"))</f>
        <v>Low</v>
      </c>
      <c r="V1779" t="str">
        <f>IF(mental_health[Daily_Screen_Time]&lt;=4,"Low",IF(mental_health[Daily_Screen_Time]&lt;=8,"Medium","High"))</f>
        <v>Medium</v>
      </c>
    </row>
    <row r="1780" spans="1:22" x14ac:dyDescent="0.3">
      <c r="A1780">
        <v>1779</v>
      </c>
      <c r="B1780">
        <v>41</v>
      </c>
      <c r="C1780" t="s">
        <v>18</v>
      </c>
      <c r="D1780" t="s">
        <v>19</v>
      </c>
      <c r="E1780">
        <v>5.6</v>
      </c>
      <c r="F1780">
        <v>2.5</v>
      </c>
      <c r="G1780">
        <v>0</v>
      </c>
      <c r="H1780" t="str">
        <f t="shared" si="27"/>
        <v>No Night Usage</v>
      </c>
      <c r="I1780">
        <v>6.3</v>
      </c>
      <c r="J1780" s="3">
        <v>9</v>
      </c>
      <c r="K1780">
        <v>9.8000000000000007</v>
      </c>
      <c r="L1780" t="s">
        <v>25</v>
      </c>
      <c r="M1780">
        <v>10</v>
      </c>
      <c r="N1780">
        <v>2</v>
      </c>
      <c r="O1780">
        <v>0</v>
      </c>
      <c r="P1780">
        <v>0</v>
      </c>
      <c r="Q1780">
        <v>1</v>
      </c>
      <c r="R1780">
        <v>0</v>
      </c>
      <c r="S1780">
        <v>1</v>
      </c>
      <c r="T1780" t="str">
        <f>IF(mental_health[Sleep_Hours]&lt;5,"Low",IF(mental_health[Sleep_Hours]&lt;7,"Medium","Good"))</f>
        <v>Medium</v>
      </c>
      <c r="U1780" t="str">
        <f>IF(mental_health[Stress_Level]&lt;=3,"Low",IF(mental_health[Stress_Level]&lt;=7,"Medium","High"))</f>
        <v>High</v>
      </c>
      <c r="V1780" t="str">
        <f>IF(mental_health[Daily_Screen_Time]&lt;=4,"Low",IF(mental_health[Daily_Screen_Time]&lt;=8,"Medium","High"))</f>
        <v>Medium</v>
      </c>
    </row>
    <row r="1781" spans="1:22" x14ac:dyDescent="0.3">
      <c r="A1781">
        <v>1780</v>
      </c>
      <c r="B1781">
        <v>18</v>
      </c>
      <c r="C1781" t="s">
        <v>18</v>
      </c>
      <c r="D1781" t="s">
        <v>22</v>
      </c>
      <c r="E1781">
        <v>8.8000000000000007</v>
      </c>
      <c r="F1781">
        <v>1.1000000000000001</v>
      </c>
      <c r="G1781">
        <v>1</v>
      </c>
      <c r="H1781" t="str">
        <f t="shared" si="27"/>
        <v>Night Usage</v>
      </c>
      <c r="I1781">
        <v>6.7</v>
      </c>
      <c r="J1781" s="3">
        <v>9</v>
      </c>
      <c r="K1781">
        <v>11.8</v>
      </c>
      <c r="L1781" t="s">
        <v>20</v>
      </c>
      <c r="M1781">
        <v>3</v>
      </c>
      <c r="N1781">
        <v>1</v>
      </c>
      <c r="O1781">
        <v>0</v>
      </c>
      <c r="P1781">
        <v>0</v>
      </c>
      <c r="Q1781">
        <v>0</v>
      </c>
      <c r="R1781">
        <v>1</v>
      </c>
      <c r="S1781">
        <v>0</v>
      </c>
      <c r="T1781" t="str">
        <f>IF(mental_health[Sleep_Hours]&lt;5,"Low",IF(mental_health[Sleep_Hours]&lt;7,"Medium","Good"))</f>
        <v>Medium</v>
      </c>
      <c r="U1781" t="str">
        <f>IF(mental_health[Stress_Level]&lt;=3,"Low",IF(mental_health[Stress_Level]&lt;=7,"Medium","High"))</f>
        <v>High</v>
      </c>
      <c r="V1781" t="str">
        <f>IF(mental_health[Daily_Screen_Time]&lt;=4,"Low",IF(mental_health[Daily_Screen_Time]&lt;=8,"Medium","High"))</f>
        <v>High</v>
      </c>
    </row>
    <row r="1782" spans="1:22" x14ac:dyDescent="0.3">
      <c r="A1782">
        <v>1781</v>
      </c>
      <c r="B1782">
        <v>56</v>
      </c>
      <c r="C1782" t="s">
        <v>18</v>
      </c>
      <c r="D1782" t="s">
        <v>24</v>
      </c>
      <c r="E1782">
        <v>8.6</v>
      </c>
      <c r="F1782">
        <v>8</v>
      </c>
      <c r="G1782">
        <v>1</v>
      </c>
      <c r="H1782" t="str">
        <f t="shared" si="27"/>
        <v>Night Usage</v>
      </c>
      <c r="I1782">
        <v>3.5</v>
      </c>
      <c r="J1782" s="3">
        <v>9</v>
      </c>
      <c r="K1782">
        <v>4.2</v>
      </c>
      <c r="L1782" t="s">
        <v>25</v>
      </c>
      <c r="M1782">
        <v>2</v>
      </c>
      <c r="N1782">
        <v>1</v>
      </c>
      <c r="O1782">
        <v>0</v>
      </c>
      <c r="P1782">
        <v>1</v>
      </c>
      <c r="Q1782">
        <v>0</v>
      </c>
      <c r="R1782">
        <v>1</v>
      </c>
      <c r="S1782">
        <v>1</v>
      </c>
      <c r="T1782" t="str">
        <f>IF(mental_health[Sleep_Hours]&lt;5,"Low",IF(mental_health[Sleep_Hours]&lt;7,"Medium","Good"))</f>
        <v>Low</v>
      </c>
      <c r="U1782" t="str">
        <f>IF(mental_health[Stress_Level]&lt;=3,"Low",IF(mental_health[Stress_Level]&lt;=7,"Medium","High"))</f>
        <v>High</v>
      </c>
      <c r="V1782" t="str">
        <f>IF(mental_health[Daily_Screen_Time]&lt;=4,"Low",IF(mental_health[Daily_Screen_Time]&lt;=8,"Medium","High"))</f>
        <v>High</v>
      </c>
    </row>
    <row r="1783" spans="1:22" x14ac:dyDescent="0.3">
      <c r="A1783">
        <v>1782</v>
      </c>
      <c r="B1783">
        <v>57</v>
      </c>
      <c r="C1783" t="s">
        <v>23</v>
      </c>
      <c r="D1783" t="s">
        <v>19</v>
      </c>
      <c r="E1783">
        <v>9.1999999999999993</v>
      </c>
      <c r="F1783">
        <v>3</v>
      </c>
      <c r="G1783">
        <v>0</v>
      </c>
      <c r="H1783" t="str">
        <f t="shared" si="27"/>
        <v>No Night Usage</v>
      </c>
      <c r="I1783">
        <v>5.8</v>
      </c>
      <c r="J1783" s="3">
        <v>3</v>
      </c>
      <c r="K1783">
        <v>3.4</v>
      </c>
      <c r="L1783" t="s">
        <v>21</v>
      </c>
      <c r="M1783">
        <v>9</v>
      </c>
      <c r="N1783">
        <v>3</v>
      </c>
      <c r="O1783">
        <v>0</v>
      </c>
      <c r="P1783">
        <v>1</v>
      </c>
      <c r="Q1783">
        <v>0</v>
      </c>
      <c r="R1783">
        <v>0</v>
      </c>
      <c r="S1783">
        <v>0</v>
      </c>
      <c r="T1783" t="str">
        <f>IF(mental_health[Sleep_Hours]&lt;5,"Low",IF(mental_health[Sleep_Hours]&lt;7,"Medium","Good"))</f>
        <v>Medium</v>
      </c>
      <c r="U1783" t="str">
        <f>IF(mental_health[Stress_Level]&lt;=3,"Low",IF(mental_health[Stress_Level]&lt;=7,"Medium","High"))</f>
        <v>Low</v>
      </c>
      <c r="V1783" t="str">
        <f>IF(mental_health[Daily_Screen_Time]&lt;=4,"Low",IF(mental_health[Daily_Screen_Time]&lt;=8,"Medium","High"))</f>
        <v>High</v>
      </c>
    </row>
    <row r="1784" spans="1:22" x14ac:dyDescent="0.3">
      <c r="A1784">
        <v>1783</v>
      </c>
      <c r="B1784">
        <v>29</v>
      </c>
      <c r="C1784" t="s">
        <v>18</v>
      </c>
      <c r="D1784" t="s">
        <v>24</v>
      </c>
      <c r="E1784">
        <v>4.7</v>
      </c>
      <c r="F1784">
        <v>5.7</v>
      </c>
      <c r="G1784">
        <v>1</v>
      </c>
      <c r="H1784" t="str">
        <f t="shared" si="27"/>
        <v>Night Usage</v>
      </c>
      <c r="I1784">
        <v>4.2</v>
      </c>
      <c r="J1784" s="3">
        <v>4</v>
      </c>
      <c r="K1784">
        <v>7.2</v>
      </c>
      <c r="L1784" t="s">
        <v>21</v>
      </c>
      <c r="M1784">
        <v>8</v>
      </c>
      <c r="N1784">
        <v>0</v>
      </c>
      <c r="O1784">
        <v>0</v>
      </c>
      <c r="P1784">
        <v>0</v>
      </c>
      <c r="Q1784">
        <v>0</v>
      </c>
      <c r="R1784">
        <v>0</v>
      </c>
      <c r="S1784">
        <v>1</v>
      </c>
      <c r="T1784" t="str">
        <f>IF(mental_health[Sleep_Hours]&lt;5,"Low",IF(mental_health[Sleep_Hours]&lt;7,"Medium","Good"))</f>
        <v>Low</v>
      </c>
      <c r="U1784" t="str">
        <f>IF(mental_health[Stress_Level]&lt;=3,"Low",IF(mental_health[Stress_Level]&lt;=7,"Medium","High"))</f>
        <v>Medium</v>
      </c>
      <c r="V1784" t="str">
        <f>IF(mental_health[Daily_Screen_Time]&lt;=4,"Low",IF(mental_health[Daily_Screen_Time]&lt;=8,"Medium","High"))</f>
        <v>Medium</v>
      </c>
    </row>
    <row r="1785" spans="1:22" x14ac:dyDescent="0.3">
      <c r="A1785">
        <v>1784</v>
      </c>
      <c r="B1785">
        <v>26</v>
      </c>
      <c r="C1785" t="s">
        <v>23</v>
      </c>
      <c r="D1785" t="s">
        <v>24</v>
      </c>
      <c r="E1785">
        <v>5.2</v>
      </c>
      <c r="F1785">
        <v>2.2000000000000002</v>
      </c>
      <c r="G1785">
        <v>0</v>
      </c>
      <c r="H1785" t="str">
        <f t="shared" si="27"/>
        <v>No Night Usage</v>
      </c>
      <c r="I1785">
        <v>4.3</v>
      </c>
      <c r="J1785" s="3">
        <v>5</v>
      </c>
      <c r="K1785">
        <v>10.3</v>
      </c>
      <c r="L1785" t="s">
        <v>25</v>
      </c>
      <c r="M1785">
        <v>10</v>
      </c>
      <c r="N1785">
        <v>3</v>
      </c>
      <c r="O1785">
        <v>1</v>
      </c>
      <c r="P1785">
        <v>0</v>
      </c>
      <c r="Q1785">
        <v>0</v>
      </c>
      <c r="R1785">
        <v>1</v>
      </c>
      <c r="S1785">
        <v>1</v>
      </c>
      <c r="T1785" t="str">
        <f>IF(mental_health[Sleep_Hours]&lt;5,"Low",IF(mental_health[Sleep_Hours]&lt;7,"Medium","Good"))</f>
        <v>Low</v>
      </c>
      <c r="U1785" t="str">
        <f>IF(mental_health[Stress_Level]&lt;=3,"Low",IF(mental_health[Stress_Level]&lt;=7,"Medium","High"))</f>
        <v>Medium</v>
      </c>
      <c r="V1785" t="str">
        <f>IF(mental_health[Daily_Screen_Time]&lt;=4,"Low",IF(mental_health[Daily_Screen_Time]&lt;=8,"Medium","High"))</f>
        <v>Medium</v>
      </c>
    </row>
    <row r="1786" spans="1:22" x14ac:dyDescent="0.3">
      <c r="A1786">
        <v>1785</v>
      </c>
      <c r="B1786">
        <v>33</v>
      </c>
      <c r="C1786" t="s">
        <v>23</v>
      </c>
      <c r="D1786" t="s">
        <v>22</v>
      </c>
      <c r="E1786">
        <v>3.3</v>
      </c>
      <c r="F1786">
        <v>5.0999999999999996</v>
      </c>
      <c r="G1786">
        <v>1</v>
      </c>
      <c r="H1786" t="str">
        <f t="shared" si="27"/>
        <v>Night Usage</v>
      </c>
      <c r="I1786">
        <v>7</v>
      </c>
      <c r="J1786" s="3">
        <v>6</v>
      </c>
      <c r="K1786">
        <v>2.4</v>
      </c>
      <c r="L1786" t="s">
        <v>21</v>
      </c>
      <c r="M1786">
        <v>2</v>
      </c>
      <c r="N1786">
        <v>3</v>
      </c>
      <c r="O1786">
        <v>0</v>
      </c>
      <c r="P1786">
        <v>0</v>
      </c>
      <c r="Q1786">
        <v>0</v>
      </c>
      <c r="R1786">
        <v>0</v>
      </c>
      <c r="S1786">
        <v>1</v>
      </c>
      <c r="T1786" t="str">
        <f>IF(mental_health[Sleep_Hours]&lt;5,"Low",IF(mental_health[Sleep_Hours]&lt;7,"Medium","Good"))</f>
        <v>Good</v>
      </c>
      <c r="U1786" t="str">
        <f>IF(mental_health[Stress_Level]&lt;=3,"Low",IF(mental_health[Stress_Level]&lt;=7,"Medium","High"))</f>
        <v>Medium</v>
      </c>
      <c r="V1786" t="str">
        <f>IF(mental_health[Daily_Screen_Time]&lt;=4,"Low",IF(mental_health[Daily_Screen_Time]&lt;=8,"Medium","High"))</f>
        <v>Low</v>
      </c>
    </row>
    <row r="1787" spans="1:22" x14ac:dyDescent="0.3">
      <c r="A1787">
        <v>1786</v>
      </c>
      <c r="B1787">
        <v>27</v>
      </c>
      <c r="C1787" t="s">
        <v>18</v>
      </c>
      <c r="D1787" t="s">
        <v>19</v>
      </c>
      <c r="E1787">
        <v>8.6</v>
      </c>
      <c r="F1787">
        <v>7.3</v>
      </c>
      <c r="G1787">
        <v>1</v>
      </c>
      <c r="H1787" t="str">
        <f t="shared" si="27"/>
        <v>Night Usage</v>
      </c>
      <c r="I1787">
        <v>8.5</v>
      </c>
      <c r="J1787" s="3">
        <v>9</v>
      </c>
      <c r="K1787">
        <v>12</v>
      </c>
      <c r="L1787" t="s">
        <v>25</v>
      </c>
      <c r="M1787">
        <v>6</v>
      </c>
      <c r="N1787">
        <v>2</v>
      </c>
      <c r="O1787">
        <v>1</v>
      </c>
      <c r="P1787">
        <v>1</v>
      </c>
      <c r="Q1787">
        <v>1</v>
      </c>
      <c r="R1787">
        <v>1</v>
      </c>
      <c r="S1787">
        <v>1</v>
      </c>
      <c r="T1787" t="str">
        <f>IF(mental_health[Sleep_Hours]&lt;5,"Low",IF(mental_health[Sleep_Hours]&lt;7,"Medium","Good"))</f>
        <v>Good</v>
      </c>
      <c r="U1787" t="str">
        <f>IF(mental_health[Stress_Level]&lt;=3,"Low",IF(mental_health[Stress_Level]&lt;=7,"Medium","High"))</f>
        <v>High</v>
      </c>
      <c r="V1787" t="str">
        <f>IF(mental_health[Daily_Screen_Time]&lt;=4,"Low",IF(mental_health[Daily_Screen_Time]&lt;=8,"Medium","High"))</f>
        <v>High</v>
      </c>
    </row>
    <row r="1788" spans="1:22" x14ac:dyDescent="0.3">
      <c r="A1788">
        <v>1787</v>
      </c>
      <c r="B1788">
        <v>38</v>
      </c>
      <c r="C1788" t="s">
        <v>23</v>
      </c>
      <c r="D1788" t="s">
        <v>24</v>
      </c>
      <c r="E1788">
        <v>2.4</v>
      </c>
      <c r="F1788">
        <v>3.2</v>
      </c>
      <c r="G1788">
        <v>1</v>
      </c>
      <c r="H1788" t="str">
        <f t="shared" si="27"/>
        <v>Night Usage</v>
      </c>
      <c r="I1788">
        <v>5.4</v>
      </c>
      <c r="J1788" s="3">
        <v>4</v>
      </c>
      <c r="K1788">
        <v>8</v>
      </c>
      <c r="L1788" t="s">
        <v>20</v>
      </c>
      <c r="M1788">
        <v>3</v>
      </c>
      <c r="N1788">
        <v>4</v>
      </c>
      <c r="O1788">
        <v>1</v>
      </c>
      <c r="P1788">
        <v>0</v>
      </c>
      <c r="Q1788">
        <v>0</v>
      </c>
      <c r="R1788">
        <v>0</v>
      </c>
      <c r="S1788">
        <v>1</v>
      </c>
      <c r="T1788" t="str">
        <f>IF(mental_health[Sleep_Hours]&lt;5,"Low",IF(mental_health[Sleep_Hours]&lt;7,"Medium","Good"))</f>
        <v>Medium</v>
      </c>
      <c r="U1788" t="str">
        <f>IF(mental_health[Stress_Level]&lt;=3,"Low",IF(mental_health[Stress_Level]&lt;=7,"Medium","High"))</f>
        <v>Medium</v>
      </c>
      <c r="V1788" t="str">
        <f>IF(mental_health[Daily_Screen_Time]&lt;=4,"Low",IF(mental_health[Daily_Screen_Time]&lt;=8,"Medium","High"))</f>
        <v>Low</v>
      </c>
    </row>
    <row r="1789" spans="1:22" x14ac:dyDescent="0.3">
      <c r="A1789">
        <v>1788</v>
      </c>
      <c r="B1789">
        <v>27</v>
      </c>
      <c r="C1789" t="s">
        <v>18</v>
      </c>
      <c r="D1789" t="s">
        <v>19</v>
      </c>
      <c r="E1789">
        <v>8</v>
      </c>
      <c r="F1789">
        <v>5.7</v>
      </c>
      <c r="G1789">
        <v>1</v>
      </c>
      <c r="H1789" t="str">
        <f t="shared" si="27"/>
        <v>Night Usage</v>
      </c>
      <c r="I1789">
        <v>4.2</v>
      </c>
      <c r="J1789" s="3">
        <v>6</v>
      </c>
      <c r="K1789">
        <v>11.8</v>
      </c>
      <c r="L1789" t="s">
        <v>21</v>
      </c>
      <c r="M1789">
        <v>3</v>
      </c>
      <c r="N1789">
        <v>0</v>
      </c>
      <c r="O1789">
        <v>0</v>
      </c>
      <c r="P1789">
        <v>1</v>
      </c>
      <c r="Q1789">
        <v>1</v>
      </c>
      <c r="R1789">
        <v>0</v>
      </c>
      <c r="S1789">
        <v>1</v>
      </c>
      <c r="T1789" t="str">
        <f>IF(mental_health[Sleep_Hours]&lt;5,"Low",IF(mental_health[Sleep_Hours]&lt;7,"Medium","Good"))</f>
        <v>Low</v>
      </c>
      <c r="U1789" t="str">
        <f>IF(mental_health[Stress_Level]&lt;=3,"Low",IF(mental_health[Stress_Level]&lt;=7,"Medium","High"))</f>
        <v>Medium</v>
      </c>
      <c r="V1789" t="str">
        <f>IF(mental_health[Daily_Screen_Time]&lt;=4,"Low",IF(mental_health[Daily_Screen_Time]&lt;=8,"Medium","High"))</f>
        <v>Medium</v>
      </c>
    </row>
    <row r="1790" spans="1:22" x14ac:dyDescent="0.3">
      <c r="A1790">
        <v>1789</v>
      </c>
      <c r="B1790">
        <v>28</v>
      </c>
      <c r="C1790" t="s">
        <v>23</v>
      </c>
      <c r="D1790" t="s">
        <v>19</v>
      </c>
      <c r="E1790">
        <v>10.7</v>
      </c>
      <c r="F1790">
        <v>2.2999999999999998</v>
      </c>
      <c r="G1790">
        <v>1</v>
      </c>
      <c r="H1790" t="str">
        <f t="shared" si="27"/>
        <v>Night Usage</v>
      </c>
      <c r="I1790">
        <v>6.9</v>
      </c>
      <c r="J1790" s="3">
        <v>1</v>
      </c>
      <c r="K1790">
        <v>5.7</v>
      </c>
      <c r="L1790" t="s">
        <v>20</v>
      </c>
      <c r="M1790">
        <v>5</v>
      </c>
      <c r="N1790">
        <v>1</v>
      </c>
      <c r="O1790">
        <v>0</v>
      </c>
      <c r="P1790">
        <v>1</v>
      </c>
      <c r="Q1790">
        <v>0</v>
      </c>
      <c r="R1790">
        <v>0</v>
      </c>
      <c r="S1790">
        <v>1</v>
      </c>
      <c r="T1790" t="str">
        <f>IF(mental_health[Sleep_Hours]&lt;5,"Low",IF(mental_health[Sleep_Hours]&lt;7,"Medium","Good"))</f>
        <v>Medium</v>
      </c>
      <c r="U1790" t="str">
        <f>IF(mental_health[Stress_Level]&lt;=3,"Low",IF(mental_health[Stress_Level]&lt;=7,"Medium","High"))</f>
        <v>Low</v>
      </c>
      <c r="V1790" t="str">
        <f>IF(mental_health[Daily_Screen_Time]&lt;=4,"Low",IF(mental_health[Daily_Screen_Time]&lt;=8,"Medium","High"))</f>
        <v>High</v>
      </c>
    </row>
    <row r="1791" spans="1:22" x14ac:dyDescent="0.3">
      <c r="A1791">
        <v>1790</v>
      </c>
      <c r="B1791">
        <v>40</v>
      </c>
      <c r="C1791" t="s">
        <v>23</v>
      </c>
      <c r="D1791" t="s">
        <v>22</v>
      </c>
      <c r="E1791">
        <v>10.9</v>
      </c>
      <c r="F1791">
        <v>5.4</v>
      </c>
      <c r="G1791">
        <v>1</v>
      </c>
      <c r="H1791" t="str">
        <f t="shared" si="27"/>
        <v>Night Usage</v>
      </c>
      <c r="I1791">
        <v>8.1999999999999993</v>
      </c>
      <c r="J1791" s="3">
        <v>2</v>
      </c>
      <c r="K1791">
        <v>6.6</v>
      </c>
      <c r="L1791" t="s">
        <v>20</v>
      </c>
      <c r="M1791">
        <v>7</v>
      </c>
      <c r="N1791">
        <v>1</v>
      </c>
      <c r="O1791">
        <v>1</v>
      </c>
      <c r="P1791">
        <v>0</v>
      </c>
      <c r="Q1791">
        <v>1</v>
      </c>
      <c r="R1791">
        <v>0</v>
      </c>
      <c r="S1791">
        <v>0</v>
      </c>
      <c r="T1791" t="str">
        <f>IF(mental_health[Sleep_Hours]&lt;5,"Low",IF(mental_health[Sleep_Hours]&lt;7,"Medium","Good"))</f>
        <v>Good</v>
      </c>
      <c r="U1791" t="str">
        <f>IF(mental_health[Stress_Level]&lt;=3,"Low",IF(mental_health[Stress_Level]&lt;=7,"Medium","High"))</f>
        <v>Low</v>
      </c>
      <c r="V1791" t="str">
        <f>IF(mental_health[Daily_Screen_Time]&lt;=4,"Low",IF(mental_health[Daily_Screen_Time]&lt;=8,"Medium","High"))</f>
        <v>High</v>
      </c>
    </row>
    <row r="1792" spans="1:22" x14ac:dyDescent="0.3">
      <c r="A1792">
        <v>1791</v>
      </c>
      <c r="B1792">
        <v>34</v>
      </c>
      <c r="C1792" t="s">
        <v>18</v>
      </c>
      <c r="D1792" t="s">
        <v>19</v>
      </c>
      <c r="E1792">
        <v>6.5</v>
      </c>
      <c r="F1792">
        <v>3.4</v>
      </c>
      <c r="G1792">
        <v>0</v>
      </c>
      <c r="H1792" t="str">
        <f t="shared" si="27"/>
        <v>No Night Usage</v>
      </c>
      <c r="I1792">
        <v>7.5</v>
      </c>
      <c r="J1792" s="3">
        <v>8</v>
      </c>
      <c r="K1792">
        <v>9.5</v>
      </c>
      <c r="L1792" t="s">
        <v>25</v>
      </c>
      <c r="M1792">
        <v>7</v>
      </c>
      <c r="N1792">
        <v>3</v>
      </c>
      <c r="O1792">
        <v>0</v>
      </c>
      <c r="P1792">
        <v>0</v>
      </c>
      <c r="Q1792">
        <v>1</v>
      </c>
      <c r="R1792">
        <v>0</v>
      </c>
      <c r="S1792">
        <v>1</v>
      </c>
      <c r="T1792" t="str">
        <f>IF(mental_health[Sleep_Hours]&lt;5,"Low",IF(mental_health[Sleep_Hours]&lt;7,"Medium","Good"))</f>
        <v>Good</v>
      </c>
      <c r="U1792" t="str">
        <f>IF(mental_health[Stress_Level]&lt;=3,"Low",IF(mental_health[Stress_Level]&lt;=7,"Medium","High"))</f>
        <v>High</v>
      </c>
      <c r="V1792" t="str">
        <f>IF(mental_health[Daily_Screen_Time]&lt;=4,"Low",IF(mental_health[Daily_Screen_Time]&lt;=8,"Medium","High"))</f>
        <v>Medium</v>
      </c>
    </row>
    <row r="1793" spans="1:22" x14ac:dyDescent="0.3">
      <c r="A1793">
        <v>1792</v>
      </c>
      <c r="B1793">
        <v>51</v>
      </c>
      <c r="C1793" t="s">
        <v>18</v>
      </c>
      <c r="D1793" t="s">
        <v>19</v>
      </c>
      <c r="E1793">
        <v>6.6</v>
      </c>
      <c r="F1793">
        <v>2.5</v>
      </c>
      <c r="G1793">
        <v>0</v>
      </c>
      <c r="H1793" t="str">
        <f t="shared" si="27"/>
        <v>No Night Usage</v>
      </c>
      <c r="I1793">
        <v>8.1999999999999993</v>
      </c>
      <c r="J1793" s="3">
        <v>4</v>
      </c>
      <c r="K1793">
        <v>9.9</v>
      </c>
      <c r="L1793" t="s">
        <v>21</v>
      </c>
      <c r="M1793">
        <v>10</v>
      </c>
      <c r="N1793">
        <v>3</v>
      </c>
      <c r="O1793">
        <v>0</v>
      </c>
      <c r="P1793">
        <v>1</v>
      </c>
      <c r="Q1793">
        <v>1</v>
      </c>
      <c r="R1793">
        <v>1</v>
      </c>
      <c r="S1793">
        <v>0</v>
      </c>
      <c r="T1793" t="str">
        <f>IF(mental_health[Sleep_Hours]&lt;5,"Low",IF(mental_health[Sleep_Hours]&lt;7,"Medium","Good"))</f>
        <v>Good</v>
      </c>
      <c r="U1793" t="str">
        <f>IF(mental_health[Stress_Level]&lt;=3,"Low",IF(mental_health[Stress_Level]&lt;=7,"Medium","High"))</f>
        <v>Medium</v>
      </c>
      <c r="V1793" t="str">
        <f>IF(mental_health[Daily_Screen_Time]&lt;=4,"Low",IF(mental_health[Daily_Screen_Time]&lt;=8,"Medium","High"))</f>
        <v>Medium</v>
      </c>
    </row>
    <row r="1794" spans="1:22" x14ac:dyDescent="0.3">
      <c r="A1794">
        <v>1793</v>
      </c>
      <c r="B1794">
        <v>23</v>
      </c>
      <c r="C1794" t="s">
        <v>18</v>
      </c>
      <c r="D1794" t="s">
        <v>24</v>
      </c>
      <c r="E1794">
        <v>2.8</v>
      </c>
      <c r="F1794">
        <v>3.2</v>
      </c>
      <c r="G1794">
        <v>1</v>
      </c>
      <c r="H1794" t="str">
        <f t="shared" ref="H1794:H1857" si="28">IF(G1794=1,"Night Usage","No Night Usage")</f>
        <v>Night Usage</v>
      </c>
      <c r="I1794">
        <v>6.2</v>
      </c>
      <c r="J1794" s="3">
        <v>10</v>
      </c>
      <c r="K1794">
        <v>4.3</v>
      </c>
      <c r="L1794" t="s">
        <v>21</v>
      </c>
      <c r="M1794">
        <v>1</v>
      </c>
      <c r="N1794">
        <v>3</v>
      </c>
      <c r="O1794">
        <v>1</v>
      </c>
      <c r="P1794">
        <v>1</v>
      </c>
      <c r="Q1794">
        <v>1</v>
      </c>
      <c r="R1794">
        <v>0</v>
      </c>
      <c r="S1794">
        <v>0</v>
      </c>
      <c r="T1794" t="str">
        <f>IF(mental_health[Sleep_Hours]&lt;5,"Low",IF(mental_health[Sleep_Hours]&lt;7,"Medium","Good"))</f>
        <v>Medium</v>
      </c>
      <c r="U1794" t="str">
        <f>IF(mental_health[Stress_Level]&lt;=3,"Low",IF(mental_health[Stress_Level]&lt;=7,"Medium","High"))</f>
        <v>High</v>
      </c>
      <c r="V1794" t="str">
        <f>IF(mental_health[Daily_Screen_Time]&lt;=4,"Low",IF(mental_health[Daily_Screen_Time]&lt;=8,"Medium","High"))</f>
        <v>Low</v>
      </c>
    </row>
    <row r="1795" spans="1:22" x14ac:dyDescent="0.3">
      <c r="A1795">
        <v>1794</v>
      </c>
      <c r="B1795">
        <v>44</v>
      </c>
      <c r="C1795" t="s">
        <v>18</v>
      </c>
      <c r="D1795" t="s">
        <v>22</v>
      </c>
      <c r="E1795">
        <v>8.6999999999999993</v>
      </c>
      <c r="F1795">
        <v>2.2999999999999998</v>
      </c>
      <c r="G1795">
        <v>0</v>
      </c>
      <c r="H1795" t="str">
        <f t="shared" si="28"/>
        <v>No Night Usage</v>
      </c>
      <c r="I1795">
        <v>7.5</v>
      </c>
      <c r="J1795" s="3">
        <v>7</v>
      </c>
      <c r="K1795">
        <v>11.3</v>
      </c>
      <c r="L1795" t="s">
        <v>20</v>
      </c>
      <c r="M1795">
        <v>7</v>
      </c>
      <c r="N1795">
        <v>0</v>
      </c>
      <c r="O1795">
        <v>0</v>
      </c>
      <c r="P1795">
        <v>0</v>
      </c>
      <c r="Q1795">
        <v>1</v>
      </c>
      <c r="R1795">
        <v>1</v>
      </c>
      <c r="S1795">
        <v>1</v>
      </c>
      <c r="T1795" t="str">
        <f>IF(mental_health[Sleep_Hours]&lt;5,"Low",IF(mental_health[Sleep_Hours]&lt;7,"Medium","Good"))</f>
        <v>Good</v>
      </c>
      <c r="U1795" t="str">
        <f>IF(mental_health[Stress_Level]&lt;=3,"Low",IF(mental_health[Stress_Level]&lt;=7,"Medium","High"))</f>
        <v>Medium</v>
      </c>
      <c r="V1795" t="str">
        <f>IF(mental_health[Daily_Screen_Time]&lt;=4,"Low",IF(mental_health[Daily_Screen_Time]&lt;=8,"Medium","High"))</f>
        <v>High</v>
      </c>
    </row>
    <row r="1796" spans="1:22" x14ac:dyDescent="0.3">
      <c r="A1796">
        <v>1795</v>
      </c>
      <c r="B1796">
        <v>47</v>
      </c>
      <c r="C1796" t="s">
        <v>18</v>
      </c>
      <c r="D1796" t="s">
        <v>19</v>
      </c>
      <c r="E1796">
        <v>10.199999999999999</v>
      </c>
      <c r="F1796">
        <v>7.3</v>
      </c>
      <c r="G1796">
        <v>1</v>
      </c>
      <c r="H1796" t="str">
        <f t="shared" si="28"/>
        <v>Night Usage</v>
      </c>
      <c r="I1796">
        <v>3.8</v>
      </c>
      <c r="J1796" s="3">
        <v>4</v>
      </c>
      <c r="K1796">
        <v>10.7</v>
      </c>
      <c r="L1796" t="s">
        <v>20</v>
      </c>
      <c r="M1796">
        <v>7</v>
      </c>
      <c r="N1796">
        <v>3</v>
      </c>
      <c r="O1796">
        <v>0</v>
      </c>
      <c r="P1796">
        <v>1</v>
      </c>
      <c r="Q1796">
        <v>0</v>
      </c>
      <c r="R1796">
        <v>0</v>
      </c>
      <c r="S1796">
        <v>1</v>
      </c>
      <c r="T1796" t="str">
        <f>IF(mental_health[Sleep_Hours]&lt;5,"Low",IF(mental_health[Sleep_Hours]&lt;7,"Medium","Good"))</f>
        <v>Low</v>
      </c>
      <c r="U1796" t="str">
        <f>IF(mental_health[Stress_Level]&lt;=3,"Low",IF(mental_health[Stress_Level]&lt;=7,"Medium","High"))</f>
        <v>Medium</v>
      </c>
      <c r="V1796" t="str">
        <f>IF(mental_health[Daily_Screen_Time]&lt;=4,"Low",IF(mental_health[Daily_Screen_Time]&lt;=8,"Medium","High"))</f>
        <v>High</v>
      </c>
    </row>
    <row r="1797" spans="1:22" x14ac:dyDescent="0.3">
      <c r="A1797">
        <v>1796</v>
      </c>
      <c r="B1797">
        <v>59</v>
      </c>
      <c r="C1797" t="s">
        <v>23</v>
      </c>
      <c r="D1797" t="s">
        <v>24</v>
      </c>
      <c r="E1797">
        <v>4.4000000000000004</v>
      </c>
      <c r="F1797">
        <v>3.8</v>
      </c>
      <c r="G1797">
        <v>0</v>
      </c>
      <c r="H1797" t="str">
        <f t="shared" si="28"/>
        <v>No Night Usage</v>
      </c>
      <c r="I1797">
        <v>5.0999999999999996</v>
      </c>
      <c r="J1797" s="3">
        <v>9</v>
      </c>
      <c r="K1797">
        <v>2.2000000000000002</v>
      </c>
      <c r="L1797" t="s">
        <v>25</v>
      </c>
      <c r="M1797">
        <v>6</v>
      </c>
      <c r="N1797">
        <v>3</v>
      </c>
      <c r="O1797">
        <v>1</v>
      </c>
      <c r="P1797">
        <v>0</v>
      </c>
      <c r="Q1797">
        <v>1</v>
      </c>
      <c r="R1797">
        <v>0</v>
      </c>
      <c r="S1797">
        <v>1</v>
      </c>
      <c r="T1797" t="str">
        <f>IF(mental_health[Sleep_Hours]&lt;5,"Low",IF(mental_health[Sleep_Hours]&lt;7,"Medium","Good"))</f>
        <v>Medium</v>
      </c>
      <c r="U1797" t="str">
        <f>IF(mental_health[Stress_Level]&lt;=3,"Low",IF(mental_health[Stress_Level]&lt;=7,"Medium","High"))</f>
        <v>High</v>
      </c>
      <c r="V1797" t="str">
        <f>IF(mental_health[Daily_Screen_Time]&lt;=4,"Low",IF(mental_health[Daily_Screen_Time]&lt;=8,"Medium","High"))</f>
        <v>Medium</v>
      </c>
    </row>
    <row r="1798" spans="1:22" x14ac:dyDescent="0.3">
      <c r="A1798">
        <v>1797</v>
      </c>
      <c r="B1798">
        <v>33</v>
      </c>
      <c r="C1798" t="s">
        <v>23</v>
      </c>
      <c r="D1798" t="s">
        <v>22</v>
      </c>
      <c r="E1798">
        <v>6.2</v>
      </c>
      <c r="F1798">
        <v>2.7</v>
      </c>
      <c r="G1798">
        <v>0</v>
      </c>
      <c r="H1798" t="str">
        <f t="shared" si="28"/>
        <v>No Night Usage</v>
      </c>
      <c r="I1798">
        <v>5.3</v>
      </c>
      <c r="J1798" s="3">
        <v>9</v>
      </c>
      <c r="K1798">
        <v>3.3</v>
      </c>
      <c r="L1798" t="s">
        <v>21</v>
      </c>
      <c r="M1798">
        <v>6</v>
      </c>
      <c r="N1798">
        <v>4</v>
      </c>
      <c r="O1798">
        <v>1</v>
      </c>
      <c r="P1798">
        <v>0</v>
      </c>
      <c r="Q1798">
        <v>1</v>
      </c>
      <c r="R1798">
        <v>0</v>
      </c>
      <c r="S1798">
        <v>0</v>
      </c>
      <c r="T1798" t="str">
        <f>IF(mental_health[Sleep_Hours]&lt;5,"Low",IF(mental_health[Sleep_Hours]&lt;7,"Medium","Good"))</f>
        <v>Medium</v>
      </c>
      <c r="U1798" t="str">
        <f>IF(mental_health[Stress_Level]&lt;=3,"Low",IF(mental_health[Stress_Level]&lt;=7,"Medium","High"))</f>
        <v>High</v>
      </c>
      <c r="V1798" t="str">
        <f>IF(mental_health[Daily_Screen_Time]&lt;=4,"Low",IF(mental_health[Daily_Screen_Time]&lt;=8,"Medium","High"))</f>
        <v>Medium</v>
      </c>
    </row>
    <row r="1799" spans="1:22" x14ac:dyDescent="0.3">
      <c r="A1799">
        <v>1798</v>
      </c>
      <c r="B1799">
        <v>21</v>
      </c>
      <c r="C1799" t="s">
        <v>23</v>
      </c>
      <c r="D1799" t="s">
        <v>22</v>
      </c>
      <c r="E1799">
        <v>10.4</v>
      </c>
      <c r="F1799">
        <v>4.0999999999999996</v>
      </c>
      <c r="G1799">
        <v>1</v>
      </c>
      <c r="H1799" t="str">
        <f t="shared" si="28"/>
        <v>Night Usage</v>
      </c>
      <c r="I1799">
        <v>6.1</v>
      </c>
      <c r="J1799" s="3">
        <v>4</v>
      </c>
      <c r="K1799">
        <v>7</v>
      </c>
      <c r="L1799" t="s">
        <v>25</v>
      </c>
      <c r="M1799">
        <v>2</v>
      </c>
      <c r="N1799">
        <v>0</v>
      </c>
      <c r="O1799">
        <v>1</v>
      </c>
      <c r="P1799">
        <v>1</v>
      </c>
      <c r="Q1799">
        <v>0</v>
      </c>
      <c r="R1799">
        <v>1</v>
      </c>
      <c r="S1799">
        <v>0</v>
      </c>
      <c r="T1799" t="str">
        <f>IF(mental_health[Sleep_Hours]&lt;5,"Low",IF(mental_health[Sleep_Hours]&lt;7,"Medium","Good"))</f>
        <v>Medium</v>
      </c>
      <c r="U1799" t="str">
        <f>IF(mental_health[Stress_Level]&lt;=3,"Low",IF(mental_health[Stress_Level]&lt;=7,"Medium","High"))</f>
        <v>Medium</v>
      </c>
      <c r="V1799" t="str">
        <f>IF(mental_health[Daily_Screen_Time]&lt;=4,"Low",IF(mental_health[Daily_Screen_Time]&lt;=8,"Medium","High"))</f>
        <v>High</v>
      </c>
    </row>
    <row r="1800" spans="1:22" x14ac:dyDescent="0.3">
      <c r="A1800">
        <v>1799</v>
      </c>
      <c r="B1800">
        <v>33</v>
      </c>
      <c r="C1800" t="s">
        <v>23</v>
      </c>
      <c r="D1800" t="s">
        <v>24</v>
      </c>
      <c r="E1800">
        <v>10.8</v>
      </c>
      <c r="F1800">
        <v>3.2</v>
      </c>
      <c r="G1800">
        <v>0</v>
      </c>
      <c r="H1800" t="str">
        <f t="shared" si="28"/>
        <v>No Night Usage</v>
      </c>
      <c r="I1800">
        <v>8.6</v>
      </c>
      <c r="J1800" s="3">
        <v>8</v>
      </c>
      <c r="K1800">
        <v>6.6</v>
      </c>
      <c r="L1800" t="s">
        <v>25</v>
      </c>
      <c r="M1800">
        <v>3</v>
      </c>
      <c r="N1800">
        <v>2</v>
      </c>
      <c r="O1800">
        <v>0</v>
      </c>
      <c r="P1800">
        <v>1</v>
      </c>
      <c r="Q1800">
        <v>1</v>
      </c>
      <c r="R1800">
        <v>1</v>
      </c>
      <c r="S1800">
        <v>0</v>
      </c>
      <c r="T1800" t="str">
        <f>IF(mental_health[Sleep_Hours]&lt;5,"Low",IF(mental_health[Sleep_Hours]&lt;7,"Medium","Good"))</f>
        <v>Good</v>
      </c>
      <c r="U1800" t="str">
        <f>IF(mental_health[Stress_Level]&lt;=3,"Low",IF(mental_health[Stress_Level]&lt;=7,"Medium","High"))</f>
        <v>High</v>
      </c>
      <c r="V1800" t="str">
        <f>IF(mental_health[Daily_Screen_Time]&lt;=4,"Low",IF(mental_health[Daily_Screen_Time]&lt;=8,"Medium","High"))</f>
        <v>High</v>
      </c>
    </row>
    <row r="1801" spans="1:22" x14ac:dyDescent="0.3">
      <c r="A1801">
        <v>1800</v>
      </c>
      <c r="B1801">
        <v>34</v>
      </c>
      <c r="C1801" t="s">
        <v>23</v>
      </c>
      <c r="D1801" t="s">
        <v>24</v>
      </c>
      <c r="E1801">
        <v>4.4000000000000004</v>
      </c>
      <c r="F1801">
        <v>6.2</v>
      </c>
      <c r="G1801">
        <v>1</v>
      </c>
      <c r="H1801" t="str">
        <f t="shared" si="28"/>
        <v>Night Usage</v>
      </c>
      <c r="I1801">
        <v>8.1999999999999993</v>
      </c>
      <c r="J1801" s="3">
        <v>6</v>
      </c>
      <c r="K1801">
        <v>9.1</v>
      </c>
      <c r="L1801" t="s">
        <v>25</v>
      </c>
      <c r="M1801">
        <v>3</v>
      </c>
      <c r="N1801">
        <v>2</v>
      </c>
      <c r="O1801">
        <v>1</v>
      </c>
      <c r="P1801">
        <v>0</v>
      </c>
      <c r="Q1801">
        <v>0</v>
      </c>
      <c r="R1801">
        <v>0</v>
      </c>
      <c r="S1801">
        <v>0</v>
      </c>
      <c r="T1801" t="str">
        <f>IF(mental_health[Sleep_Hours]&lt;5,"Low",IF(mental_health[Sleep_Hours]&lt;7,"Medium","Good"))</f>
        <v>Good</v>
      </c>
      <c r="U1801" t="str">
        <f>IF(mental_health[Stress_Level]&lt;=3,"Low",IF(mental_health[Stress_Level]&lt;=7,"Medium","High"))</f>
        <v>Medium</v>
      </c>
      <c r="V1801" t="str">
        <f>IF(mental_health[Daily_Screen_Time]&lt;=4,"Low",IF(mental_health[Daily_Screen_Time]&lt;=8,"Medium","High"))</f>
        <v>Medium</v>
      </c>
    </row>
    <row r="1802" spans="1:22" x14ac:dyDescent="0.3">
      <c r="A1802">
        <v>1801</v>
      </c>
      <c r="B1802">
        <v>37</v>
      </c>
      <c r="C1802" t="s">
        <v>23</v>
      </c>
      <c r="D1802" t="s">
        <v>24</v>
      </c>
      <c r="E1802">
        <v>7.5</v>
      </c>
      <c r="F1802">
        <v>7.8</v>
      </c>
      <c r="G1802">
        <v>0</v>
      </c>
      <c r="H1802" t="str">
        <f t="shared" si="28"/>
        <v>No Night Usage</v>
      </c>
      <c r="I1802">
        <v>3.8</v>
      </c>
      <c r="J1802" s="3">
        <v>1</v>
      </c>
      <c r="K1802">
        <v>2.9</v>
      </c>
      <c r="L1802" t="s">
        <v>21</v>
      </c>
      <c r="M1802">
        <v>3</v>
      </c>
      <c r="N1802">
        <v>4</v>
      </c>
      <c r="O1802">
        <v>0</v>
      </c>
      <c r="P1802">
        <v>1</v>
      </c>
      <c r="Q1802">
        <v>1</v>
      </c>
      <c r="R1802">
        <v>0</v>
      </c>
      <c r="S1802">
        <v>0</v>
      </c>
      <c r="T1802" t="str">
        <f>IF(mental_health[Sleep_Hours]&lt;5,"Low",IF(mental_health[Sleep_Hours]&lt;7,"Medium","Good"))</f>
        <v>Low</v>
      </c>
      <c r="U1802" t="str">
        <f>IF(mental_health[Stress_Level]&lt;=3,"Low",IF(mental_health[Stress_Level]&lt;=7,"Medium","High"))</f>
        <v>Low</v>
      </c>
      <c r="V1802" t="str">
        <f>IF(mental_health[Daily_Screen_Time]&lt;=4,"Low",IF(mental_health[Daily_Screen_Time]&lt;=8,"Medium","High"))</f>
        <v>Medium</v>
      </c>
    </row>
    <row r="1803" spans="1:22" x14ac:dyDescent="0.3">
      <c r="A1803">
        <v>1802</v>
      </c>
      <c r="B1803">
        <v>52</v>
      </c>
      <c r="C1803" t="s">
        <v>23</v>
      </c>
      <c r="D1803" t="s">
        <v>24</v>
      </c>
      <c r="E1803">
        <v>3.9</v>
      </c>
      <c r="F1803">
        <v>4.0999999999999996</v>
      </c>
      <c r="G1803">
        <v>1</v>
      </c>
      <c r="H1803" t="str">
        <f t="shared" si="28"/>
        <v>Night Usage</v>
      </c>
      <c r="I1803">
        <v>4</v>
      </c>
      <c r="J1803" s="3">
        <v>7</v>
      </c>
      <c r="K1803">
        <v>8.4</v>
      </c>
      <c r="L1803" t="s">
        <v>25</v>
      </c>
      <c r="M1803">
        <v>2</v>
      </c>
      <c r="N1803">
        <v>1</v>
      </c>
      <c r="O1803">
        <v>0</v>
      </c>
      <c r="P1803">
        <v>1</v>
      </c>
      <c r="Q1803">
        <v>1</v>
      </c>
      <c r="R1803">
        <v>0</v>
      </c>
      <c r="S1803">
        <v>1</v>
      </c>
      <c r="T1803" t="str">
        <f>IF(mental_health[Sleep_Hours]&lt;5,"Low",IF(mental_health[Sleep_Hours]&lt;7,"Medium","Good"))</f>
        <v>Low</v>
      </c>
      <c r="U1803" t="str">
        <f>IF(mental_health[Stress_Level]&lt;=3,"Low",IF(mental_health[Stress_Level]&lt;=7,"Medium","High"))</f>
        <v>Medium</v>
      </c>
      <c r="V1803" t="str">
        <f>IF(mental_health[Daily_Screen_Time]&lt;=4,"Low",IF(mental_health[Daily_Screen_Time]&lt;=8,"Medium","High"))</f>
        <v>Low</v>
      </c>
    </row>
    <row r="1804" spans="1:22" x14ac:dyDescent="0.3">
      <c r="A1804">
        <v>1803</v>
      </c>
      <c r="B1804">
        <v>47</v>
      </c>
      <c r="C1804" t="s">
        <v>18</v>
      </c>
      <c r="D1804" t="s">
        <v>24</v>
      </c>
      <c r="E1804">
        <v>3</v>
      </c>
      <c r="F1804">
        <v>7</v>
      </c>
      <c r="G1804">
        <v>0</v>
      </c>
      <c r="H1804" t="str">
        <f t="shared" si="28"/>
        <v>No Night Usage</v>
      </c>
      <c r="I1804">
        <v>5.0999999999999996</v>
      </c>
      <c r="J1804" s="3">
        <v>1</v>
      </c>
      <c r="K1804">
        <v>8.1999999999999993</v>
      </c>
      <c r="L1804" t="s">
        <v>21</v>
      </c>
      <c r="M1804">
        <v>9</v>
      </c>
      <c r="N1804">
        <v>2</v>
      </c>
      <c r="O1804">
        <v>0</v>
      </c>
      <c r="P1804">
        <v>0</v>
      </c>
      <c r="Q1804">
        <v>0</v>
      </c>
      <c r="R1804">
        <v>0</v>
      </c>
      <c r="S1804">
        <v>0</v>
      </c>
      <c r="T1804" t="str">
        <f>IF(mental_health[Sleep_Hours]&lt;5,"Low",IF(mental_health[Sleep_Hours]&lt;7,"Medium","Good"))</f>
        <v>Medium</v>
      </c>
      <c r="U1804" t="str">
        <f>IF(mental_health[Stress_Level]&lt;=3,"Low",IF(mental_health[Stress_Level]&lt;=7,"Medium","High"))</f>
        <v>Low</v>
      </c>
      <c r="V1804" t="str">
        <f>IF(mental_health[Daily_Screen_Time]&lt;=4,"Low",IF(mental_health[Daily_Screen_Time]&lt;=8,"Medium","High"))</f>
        <v>Low</v>
      </c>
    </row>
    <row r="1805" spans="1:22" x14ac:dyDescent="0.3">
      <c r="A1805">
        <v>1804</v>
      </c>
      <c r="B1805">
        <v>56</v>
      </c>
      <c r="C1805" t="s">
        <v>18</v>
      </c>
      <c r="D1805" t="s">
        <v>19</v>
      </c>
      <c r="E1805">
        <v>11.1</v>
      </c>
      <c r="F1805">
        <v>5</v>
      </c>
      <c r="G1805">
        <v>1</v>
      </c>
      <c r="H1805" t="str">
        <f t="shared" si="28"/>
        <v>Night Usage</v>
      </c>
      <c r="I1805">
        <v>4.7</v>
      </c>
      <c r="J1805" s="3">
        <v>3</v>
      </c>
      <c r="K1805">
        <v>4.3</v>
      </c>
      <c r="L1805" t="s">
        <v>25</v>
      </c>
      <c r="M1805">
        <v>6</v>
      </c>
      <c r="N1805">
        <v>0</v>
      </c>
      <c r="O1805">
        <v>1</v>
      </c>
      <c r="P1805">
        <v>1</v>
      </c>
      <c r="Q1805">
        <v>1</v>
      </c>
      <c r="R1805">
        <v>0</v>
      </c>
      <c r="S1805">
        <v>0</v>
      </c>
      <c r="T1805" t="str">
        <f>IF(mental_health[Sleep_Hours]&lt;5,"Low",IF(mental_health[Sleep_Hours]&lt;7,"Medium","Good"))</f>
        <v>Low</v>
      </c>
      <c r="U1805" t="str">
        <f>IF(mental_health[Stress_Level]&lt;=3,"Low",IF(mental_health[Stress_Level]&lt;=7,"Medium","High"))</f>
        <v>Low</v>
      </c>
      <c r="V1805" t="str">
        <f>IF(mental_health[Daily_Screen_Time]&lt;=4,"Low",IF(mental_health[Daily_Screen_Time]&lt;=8,"Medium","High"))</f>
        <v>High</v>
      </c>
    </row>
    <row r="1806" spans="1:22" x14ac:dyDescent="0.3">
      <c r="A1806">
        <v>1805</v>
      </c>
      <c r="B1806">
        <v>18</v>
      </c>
      <c r="C1806" t="s">
        <v>23</v>
      </c>
      <c r="D1806" t="s">
        <v>19</v>
      </c>
      <c r="E1806">
        <v>10.199999999999999</v>
      </c>
      <c r="F1806">
        <v>2.1</v>
      </c>
      <c r="G1806">
        <v>0</v>
      </c>
      <c r="H1806" t="str">
        <f t="shared" si="28"/>
        <v>No Night Usage</v>
      </c>
      <c r="I1806">
        <v>6.7</v>
      </c>
      <c r="J1806" s="3">
        <v>8</v>
      </c>
      <c r="K1806">
        <v>7.4</v>
      </c>
      <c r="L1806" t="s">
        <v>20</v>
      </c>
      <c r="M1806">
        <v>2</v>
      </c>
      <c r="N1806">
        <v>1</v>
      </c>
      <c r="O1806">
        <v>0</v>
      </c>
      <c r="P1806">
        <v>0</v>
      </c>
      <c r="Q1806">
        <v>0</v>
      </c>
      <c r="R1806">
        <v>1</v>
      </c>
      <c r="S1806">
        <v>0</v>
      </c>
      <c r="T1806" t="str">
        <f>IF(mental_health[Sleep_Hours]&lt;5,"Low",IF(mental_health[Sleep_Hours]&lt;7,"Medium","Good"))</f>
        <v>Medium</v>
      </c>
      <c r="U1806" t="str">
        <f>IF(mental_health[Stress_Level]&lt;=3,"Low",IF(mental_health[Stress_Level]&lt;=7,"Medium","High"))</f>
        <v>High</v>
      </c>
      <c r="V1806" t="str">
        <f>IF(mental_health[Daily_Screen_Time]&lt;=4,"Low",IF(mental_health[Daily_Screen_Time]&lt;=8,"Medium","High"))</f>
        <v>High</v>
      </c>
    </row>
    <row r="1807" spans="1:22" x14ac:dyDescent="0.3">
      <c r="A1807">
        <v>1806</v>
      </c>
      <c r="B1807">
        <v>43</v>
      </c>
      <c r="C1807" t="s">
        <v>23</v>
      </c>
      <c r="D1807" t="s">
        <v>22</v>
      </c>
      <c r="E1807">
        <v>9.6</v>
      </c>
      <c r="F1807">
        <v>5.8</v>
      </c>
      <c r="G1807">
        <v>1</v>
      </c>
      <c r="H1807" t="str">
        <f t="shared" si="28"/>
        <v>Night Usage</v>
      </c>
      <c r="I1807">
        <v>8.4</v>
      </c>
      <c r="J1807" s="3">
        <v>9</v>
      </c>
      <c r="K1807">
        <v>4.2</v>
      </c>
      <c r="L1807" t="s">
        <v>25</v>
      </c>
      <c r="M1807">
        <v>3</v>
      </c>
      <c r="N1807">
        <v>3</v>
      </c>
      <c r="O1807">
        <v>0</v>
      </c>
      <c r="P1807">
        <v>1</v>
      </c>
      <c r="Q1807">
        <v>1</v>
      </c>
      <c r="R1807">
        <v>1</v>
      </c>
      <c r="S1807">
        <v>0</v>
      </c>
      <c r="T1807" t="str">
        <f>IF(mental_health[Sleep_Hours]&lt;5,"Low",IF(mental_health[Sleep_Hours]&lt;7,"Medium","Good"))</f>
        <v>Good</v>
      </c>
      <c r="U1807" t="str">
        <f>IF(mental_health[Stress_Level]&lt;=3,"Low",IF(mental_health[Stress_Level]&lt;=7,"Medium","High"))</f>
        <v>High</v>
      </c>
      <c r="V1807" t="str">
        <f>IF(mental_health[Daily_Screen_Time]&lt;=4,"Low",IF(mental_health[Daily_Screen_Time]&lt;=8,"Medium","High"))</f>
        <v>High</v>
      </c>
    </row>
    <row r="1808" spans="1:22" x14ac:dyDescent="0.3">
      <c r="A1808">
        <v>1807</v>
      </c>
      <c r="B1808">
        <v>25</v>
      </c>
      <c r="C1808" t="s">
        <v>18</v>
      </c>
      <c r="D1808" t="s">
        <v>19</v>
      </c>
      <c r="E1808">
        <v>2.5</v>
      </c>
      <c r="F1808">
        <v>4.5999999999999996</v>
      </c>
      <c r="G1808">
        <v>0</v>
      </c>
      <c r="H1808" t="str">
        <f t="shared" si="28"/>
        <v>No Night Usage</v>
      </c>
      <c r="I1808">
        <v>8.8000000000000007</v>
      </c>
      <c r="J1808" s="3">
        <v>3</v>
      </c>
      <c r="K1808">
        <v>3.5</v>
      </c>
      <c r="L1808" t="s">
        <v>25</v>
      </c>
      <c r="M1808">
        <v>10</v>
      </c>
      <c r="N1808">
        <v>0</v>
      </c>
      <c r="O1808">
        <v>1</v>
      </c>
      <c r="P1808">
        <v>0</v>
      </c>
      <c r="Q1808">
        <v>1</v>
      </c>
      <c r="R1808">
        <v>0</v>
      </c>
      <c r="S1808">
        <v>0</v>
      </c>
      <c r="T1808" t="str">
        <f>IF(mental_health[Sleep_Hours]&lt;5,"Low",IF(mental_health[Sleep_Hours]&lt;7,"Medium","Good"))</f>
        <v>Good</v>
      </c>
      <c r="U1808" t="str">
        <f>IF(mental_health[Stress_Level]&lt;=3,"Low",IF(mental_health[Stress_Level]&lt;=7,"Medium","High"))</f>
        <v>Low</v>
      </c>
      <c r="V1808" t="str">
        <f>IF(mental_health[Daily_Screen_Time]&lt;=4,"Low",IF(mental_health[Daily_Screen_Time]&lt;=8,"Medium","High"))</f>
        <v>Low</v>
      </c>
    </row>
    <row r="1809" spans="1:22" x14ac:dyDescent="0.3">
      <c r="A1809">
        <v>1808</v>
      </c>
      <c r="B1809">
        <v>50</v>
      </c>
      <c r="C1809" t="s">
        <v>18</v>
      </c>
      <c r="D1809" t="s">
        <v>19</v>
      </c>
      <c r="E1809">
        <v>10.4</v>
      </c>
      <c r="F1809">
        <v>5.6</v>
      </c>
      <c r="G1809">
        <v>1</v>
      </c>
      <c r="H1809" t="str">
        <f t="shared" si="28"/>
        <v>Night Usage</v>
      </c>
      <c r="I1809">
        <v>6.9</v>
      </c>
      <c r="J1809" s="3">
        <v>1</v>
      </c>
      <c r="K1809">
        <v>7.7</v>
      </c>
      <c r="L1809" t="s">
        <v>21</v>
      </c>
      <c r="M1809">
        <v>6</v>
      </c>
      <c r="N1809">
        <v>1</v>
      </c>
      <c r="O1809">
        <v>1</v>
      </c>
      <c r="P1809">
        <v>1</v>
      </c>
      <c r="Q1809">
        <v>0</v>
      </c>
      <c r="R1809">
        <v>0</v>
      </c>
      <c r="S1809">
        <v>0</v>
      </c>
      <c r="T1809" t="str">
        <f>IF(mental_health[Sleep_Hours]&lt;5,"Low",IF(mental_health[Sleep_Hours]&lt;7,"Medium","Good"))</f>
        <v>Medium</v>
      </c>
      <c r="U1809" t="str">
        <f>IF(mental_health[Stress_Level]&lt;=3,"Low",IF(mental_health[Stress_Level]&lt;=7,"Medium","High"))</f>
        <v>Low</v>
      </c>
      <c r="V1809" t="str">
        <f>IF(mental_health[Daily_Screen_Time]&lt;=4,"Low",IF(mental_health[Daily_Screen_Time]&lt;=8,"Medium","High"))</f>
        <v>High</v>
      </c>
    </row>
    <row r="1810" spans="1:22" x14ac:dyDescent="0.3">
      <c r="A1810">
        <v>1809</v>
      </c>
      <c r="B1810">
        <v>44</v>
      </c>
      <c r="C1810" t="s">
        <v>18</v>
      </c>
      <c r="D1810" t="s">
        <v>19</v>
      </c>
      <c r="E1810">
        <v>6.4</v>
      </c>
      <c r="F1810">
        <v>7.2</v>
      </c>
      <c r="G1810">
        <v>0</v>
      </c>
      <c r="H1810" t="str">
        <f t="shared" si="28"/>
        <v>No Night Usage</v>
      </c>
      <c r="I1810">
        <v>8</v>
      </c>
      <c r="J1810" s="3">
        <v>1</v>
      </c>
      <c r="K1810">
        <v>11.8</v>
      </c>
      <c r="L1810" t="s">
        <v>20</v>
      </c>
      <c r="M1810">
        <v>4</v>
      </c>
      <c r="N1810">
        <v>2</v>
      </c>
      <c r="O1810">
        <v>0</v>
      </c>
      <c r="P1810">
        <v>1</v>
      </c>
      <c r="Q1810">
        <v>1</v>
      </c>
      <c r="R1810">
        <v>0</v>
      </c>
      <c r="S1810">
        <v>1</v>
      </c>
      <c r="T1810" t="str">
        <f>IF(mental_health[Sleep_Hours]&lt;5,"Low",IF(mental_health[Sleep_Hours]&lt;7,"Medium","Good"))</f>
        <v>Good</v>
      </c>
      <c r="U1810" t="str">
        <f>IF(mental_health[Stress_Level]&lt;=3,"Low",IF(mental_health[Stress_Level]&lt;=7,"Medium","High"))</f>
        <v>Low</v>
      </c>
      <c r="V1810" t="str">
        <f>IF(mental_health[Daily_Screen_Time]&lt;=4,"Low",IF(mental_health[Daily_Screen_Time]&lt;=8,"Medium","High"))</f>
        <v>Medium</v>
      </c>
    </row>
    <row r="1811" spans="1:22" x14ac:dyDescent="0.3">
      <c r="A1811">
        <v>1810</v>
      </c>
      <c r="B1811">
        <v>30</v>
      </c>
      <c r="C1811" t="s">
        <v>18</v>
      </c>
      <c r="D1811" t="s">
        <v>24</v>
      </c>
      <c r="E1811">
        <v>5.4</v>
      </c>
      <c r="F1811">
        <v>4.0999999999999996</v>
      </c>
      <c r="G1811">
        <v>1</v>
      </c>
      <c r="H1811" t="str">
        <f t="shared" si="28"/>
        <v>Night Usage</v>
      </c>
      <c r="I1811">
        <v>6.2</v>
      </c>
      <c r="J1811" s="3">
        <v>7</v>
      </c>
      <c r="K1811">
        <v>4.4000000000000004</v>
      </c>
      <c r="L1811" t="s">
        <v>20</v>
      </c>
      <c r="M1811">
        <v>7</v>
      </c>
      <c r="N1811">
        <v>3</v>
      </c>
      <c r="O1811">
        <v>1</v>
      </c>
      <c r="P1811">
        <v>1</v>
      </c>
      <c r="Q1811">
        <v>0</v>
      </c>
      <c r="R1811">
        <v>1</v>
      </c>
      <c r="S1811">
        <v>0</v>
      </c>
      <c r="T1811" t="str">
        <f>IF(mental_health[Sleep_Hours]&lt;5,"Low",IF(mental_health[Sleep_Hours]&lt;7,"Medium","Good"))</f>
        <v>Medium</v>
      </c>
      <c r="U1811" t="str">
        <f>IF(mental_health[Stress_Level]&lt;=3,"Low",IF(mental_health[Stress_Level]&lt;=7,"Medium","High"))</f>
        <v>Medium</v>
      </c>
      <c r="V1811" t="str">
        <f>IF(mental_health[Daily_Screen_Time]&lt;=4,"Low",IF(mental_health[Daily_Screen_Time]&lt;=8,"Medium","High"))</f>
        <v>Medium</v>
      </c>
    </row>
    <row r="1812" spans="1:22" x14ac:dyDescent="0.3">
      <c r="A1812">
        <v>1811</v>
      </c>
      <c r="B1812">
        <v>48</v>
      </c>
      <c r="C1812" t="s">
        <v>23</v>
      </c>
      <c r="D1812" t="s">
        <v>22</v>
      </c>
      <c r="E1812">
        <v>7.5</v>
      </c>
      <c r="F1812">
        <v>7.3</v>
      </c>
      <c r="G1812">
        <v>0</v>
      </c>
      <c r="H1812" t="str">
        <f t="shared" si="28"/>
        <v>No Night Usage</v>
      </c>
      <c r="I1812">
        <v>4.2</v>
      </c>
      <c r="J1812" s="3">
        <v>5</v>
      </c>
      <c r="K1812">
        <v>5.6</v>
      </c>
      <c r="L1812" t="s">
        <v>21</v>
      </c>
      <c r="M1812">
        <v>6</v>
      </c>
      <c r="N1812">
        <v>3</v>
      </c>
      <c r="O1812">
        <v>0</v>
      </c>
      <c r="P1812">
        <v>1</v>
      </c>
      <c r="Q1812">
        <v>1</v>
      </c>
      <c r="R1812">
        <v>0</v>
      </c>
      <c r="S1812">
        <v>0</v>
      </c>
      <c r="T1812" t="str">
        <f>IF(mental_health[Sleep_Hours]&lt;5,"Low",IF(mental_health[Sleep_Hours]&lt;7,"Medium","Good"))</f>
        <v>Low</v>
      </c>
      <c r="U1812" t="str">
        <f>IF(mental_health[Stress_Level]&lt;=3,"Low",IF(mental_health[Stress_Level]&lt;=7,"Medium","High"))</f>
        <v>Medium</v>
      </c>
      <c r="V1812" t="str">
        <f>IF(mental_health[Daily_Screen_Time]&lt;=4,"Low",IF(mental_health[Daily_Screen_Time]&lt;=8,"Medium","High"))</f>
        <v>Medium</v>
      </c>
    </row>
    <row r="1813" spans="1:22" x14ac:dyDescent="0.3">
      <c r="A1813">
        <v>1812</v>
      </c>
      <c r="B1813">
        <v>22</v>
      </c>
      <c r="C1813" t="s">
        <v>18</v>
      </c>
      <c r="D1813" t="s">
        <v>22</v>
      </c>
      <c r="E1813">
        <v>2.9</v>
      </c>
      <c r="F1813">
        <v>6.3</v>
      </c>
      <c r="G1813">
        <v>1</v>
      </c>
      <c r="H1813" t="str">
        <f t="shared" si="28"/>
        <v>Night Usage</v>
      </c>
      <c r="I1813">
        <v>6.1</v>
      </c>
      <c r="J1813" s="3">
        <v>1</v>
      </c>
      <c r="K1813">
        <v>4.5999999999999996</v>
      </c>
      <c r="L1813" t="s">
        <v>21</v>
      </c>
      <c r="M1813">
        <v>6</v>
      </c>
      <c r="N1813">
        <v>0</v>
      </c>
      <c r="O1813">
        <v>0</v>
      </c>
      <c r="P1813">
        <v>1</v>
      </c>
      <c r="Q1813">
        <v>0</v>
      </c>
      <c r="R1813">
        <v>1</v>
      </c>
      <c r="S1813">
        <v>1</v>
      </c>
      <c r="T1813" t="str">
        <f>IF(mental_health[Sleep_Hours]&lt;5,"Low",IF(mental_health[Sleep_Hours]&lt;7,"Medium","Good"))</f>
        <v>Medium</v>
      </c>
      <c r="U1813" t="str">
        <f>IF(mental_health[Stress_Level]&lt;=3,"Low",IF(mental_health[Stress_Level]&lt;=7,"Medium","High"))</f>
        <v>Low</v>
      </c>
      <c r="V1813" t="str">
        <f>IF(mental_health[Daily_Screen_Time]&lt;=4,"Low",IF(mental_health[Daily_Screen_Time]&lt;=8,"Medium","High"))</f>
        <v>Low</v>
      </c>
    </row>
    <row r="1814" spans="1:22" x14ac:dyDescent="0.3">
      <c r="A1814">
        <v>1813</v>
      </c>
      <c r="B1814">
        <v>27</v>
      </c>
      <c r="C1814" t="s">
        <v>23</v>
      </c>
      <c r="D1814" t="s">
        <v>22</v>
      </c>
      <c r="E1814">
        <v>9.6</v>
      </c>
      <c r="F1814">
        <v>4.4000000000000004</v>
      </c>
      <c r="G1814">
        <v>1</v>
      </c>
      <c r="H1814" t="str">
        <f t="shared" si="28"/>
        <v>Night Usage</v>
      </c>
      <c r="I1814">
        <v>6.3</v>
      </c>
      <c r="J1814" s="3">
        <v>6</v>
      </c>
      <c r="K1814">
        <v>4.7</v>
      </c>
      <c r="L1814" t="s">
        <v>20</v>
      </c>
      <c r="M1814">
        <v>3</v>
      </c>
      <c r="N1814">
        <v>3</v>
      </c>
      <c r="O1814">
        <v>0</v>
      </c>
      <c r="P1814">
        <v>1</v>
      </c>
      <c r="Q1814">
        <v>1</v>
      </c>
      <c r="R1814">
        <v>1</v>
      </c>
      <c r="S1814">
        <v>1</v>
      </c>
      <c r="T1814" t="str">
        <f>IF(mental_health[Sleep_Hours]&lt;5,"Low",IF(mental_health[Sleep_Hours]&lt;7,"Medium","Good"))</f>
        <v>Medium</v>
      </c>
      <c r="U1814" t="str">
        <f>IF(mental_health[Stress_Level]&lt;=3,"Low",IF(mental_health[Stress_Level]&lt;=7,"Medium","High"))</f>
        <v>Medium</v>
      </c>
      <c r="V1814" t="str">
        <f>IF(mental_health[Daily_Screen_Time]&lt;=4,"Low",IF(mental_health[Daily_Screen_Time]&lt;=8,"Medium","High"))</f>
        <v>High</v>
      </c>
    </row>
    <row r="1815" spans="1:22" x14ac:dyDescent="0.3">
      <c r="A1815">
        <v>1814</v>
      </c>
      <c r="B1815">
        <v>45</v>
      </c>
      <c r="C1815" t="s">
        <v>23</v>
      </c>
      <c r="D1815" t="s">
        <v>22</v>
      </c>
      <c r="E1815">
        <v>7.8</v>
      </c>
      <c r="F1815">
        <v>5.2</v>
      </c>
      <c r="G1815">
        <v>1</v>
      </c>
      <c r="H1815" t="str">
        <f t="shared" si="28"/>
        <v>Night Usage</v>
      </c>
      <c r="I1815">
        <v>7.5</v>
      </c>
      <c r="J1815" s="3">
        <v>6</v>
      </c>
      <c r="K1815">
        <v>6</v>
      </c>
      <c r="L1815" t="s">
        <v>21</v>
      </c>
      <c r="M1815">
        <v>8</v>
      </c>
      <c r="N1815">
        <v>1</v>
      </c>
      <c r="O1815">
        <v>1</v>
      </c>
      <c r="P1815">
        <v>1</v>
      </c>
      <c r="Q1815">
        <v>0</v>
      </c>
      <c r="R1815">
        <v>1</v>
      </c>
      <c r="S1815">
        <v>0</v>
      </c>
      <c r="T1815" t="str">
        <f>IF(mental_health[Sleep_Hours]&lt;5,"Low",IF(mental_health[Sleep_Hours]&lt;7,"Medium","Good"))</f>
        <v>Good</v>
      </c>
      <c r="U1815" t="str">
        <f>IF(mental_health[Stress_Level]&lt;=3,"Low",IF(mental_health[Stress_Level]&lt;=7,"Medium","High"))</f>
        <v>Medium</v>
      </c>
      <c r="V1815" t="str">
        <f>IF(mental_health[Daily_Screen_Time]&lt;=4,"Low",IF(mental_health[Daily_Screen_Time]&lt;=8,"Medium","High"))</f>
        <v>Medium</v>
      </c>
    </row>
    <row r="1816" spans="1:22" x14ac:dyDescent="0.3">
      <c r="A1816">
        <v>1815</v>
      </c>
      <c r="B1816">
        <v>36</v>
      </c>
      <c r="C1816" t="s">
        <v>23</v>
      </c>
      <c r="D1816" t="s">
        <v>19</v>
      </c>
      <c r="E1816">
        <v>3.9</v>
      </c>
      <c r="F1816">
        <v>3.3</v>
      </c>
      <c r="G1816">
        <v>1</v>
      </c>
      <c r="H1816" t="str">
        <f t="shared" si="28"/>
        <v>Night Usage</v>
      </c>
      <c r="I1816">
        <v>4.3</v>
      </c>
      <c r="J1816" s="3">
        <v>4</v>
      </c>
      <c r="K1816">
        <v>9</v>
      </c>
      <c r="L1816" t="s">
        <v>20</v>
      </c>
      <c r="M1816">
        <v>9</v>
      </c>
      <c r="N1816">
        <v>4</v>
      </c>
      <c r="O1816">
        <v>1</v>
      </c>
      <c r="P1816">
        <v>1</v>
      </c>
      <c r="Q1816">
        <v>0</v>
      </c>
      <c r="R1816">
        <v>0</v>
      </c>
      <c r="S1816">
        <v>0</v>
      </c>
      <c r="T1816" t="str">
        <f>IF(mental_health[Sleep_Hours]&lt;5,"Low",IF(mental_health[Sleep_Hours]&lt;7,"Medium","Good"))</f>
        <v>Low</v>
      </c>
      <c r="U1816" t="str">
        <f>IF(mental_health[Stress_Level]&lt;=3,"Low",IF(mental_health[Stress_Level]&lt;=7,"Medium","High"))</f>
        <v>Medium</v>
      </c>
      <c r="V1816" t="str">
        <f>IF(mental_health[Daily_Screen_Time]&lt;=4,"Low",IF(mental_health[Daily_Screen_Time]&lt;=8,"Medium","High"))</f>
        <v>Low</v>
      </c>
    </row>
    <row r="1817" spans="1:22" x14ac:dyDescent="0.3">
      <c r="A1817">
        <v>1816</v>
      </c>
      <c r="B1817">
        <v>46</v>
      </c>
      <c r="C1817" t="s">
        <v>18</v>
      </c>
      <c r="D1817" t="s">
        <v>19</v>
      </c>
      <c r="E1817">
        <v>3.9</v>
      </c>
      <c r="F1817">
        <v>7.9</v>
      </c>
      <c r="G1817">
        <v>0</v>
      </c>
      <c r="H1817" t="str">
        <f t="shared" si="28"/>
        <v>No Night Usage</v>
      </c>
      <c r="I1817">
        <v>5.2</v>
      </c>
      <c r="J1817" s="3">
        <v>7</v>
      </c>
      <c r="K1817">
        <v>2.4</v>
      </c>
      <c r="L1817" t="s">
        <v>25</v>
      </c>
      <c r="M1817">
        <v>6</v>
      </c>
      <c r="N1817">
        <v>2</v>
      </c>
      <c r="O1817">
        <v>0</v>
      </c>
      <c r="P1817">
        <v>0</v>
      </c>
      <c r="Q1817">
        <v>1</v>
      </c>
      <c r="R1817">
        <v>0</v>
      </c>
      <c r="S1817">
        <v>1</v>
      </c>
      <c r="T1817" t="str">
        <f>IF(mental_health[Sleep_Hours]&lt;5,"Low",IF(mental_health[Sleep_Hours]&lt;7,"Medium","Good"))</f>
        <v>Medium</v>
      </c>
      <c r="U1817" t="str">
        <f>IF(mental_health[Stress_Level]&lt;=3,"Low",IF(mental_health[Stress_Level]&lt;=7,"Medium","High"))</f>
        <v>Medium</v>
      </c>
      <c r="V1817" t="str">
        <f>IF(mental_health[Daily_Screen_Time]&lt;=4,"Low",IF(mental_health[Daily_Screen_Time]&lt;=8,"Medium","High"))</f>
        <v>Low</v>
      </c>
    </row>
    <row r="1818" spans="1:22" x14ac:dyDescent="0.3">
      <c r="A1818">
        <v>1817</v>
      </c>
      <c r="B1818">
        <v>39</v>
      </c>
      <c r="C1818" t="s">
        <v>18</v>
      </c>
      <c r="D1818" t="s">
        <v>24</v>
      </c>
      <c r="E1818">
        <v>3.8</v>
      </c>
      <c r="F1818">
        <v>5.7</v>
      </c>
      <c r="G1818">
        <v>0</v>
      </c>
      <c r="H1818" t="str">
        <f t="shared" si="28"/>
        <v>No Night Usage</v>
      </c>
      <c r="I1818">
        <v>5.2</v>
      </c>
      <c r="J1818" s="3">
        <v>7</v>
      </c>
      <c r="K1818">
        <v>11.6</v>
      </c>
      <c r="L1818" t="s">
        <v>25</v>
      </c>
      <c r="M1818">
        <v>2</v>
      </c>
      <c r="N1818">
        <v>0</v>
      </c>
      <c r="O1818">
        <v>0</v>
      </c>
      <c r="P1818">
        <v>1</v>
      </c>
      <c r="Q1818">
        <v>1</v>
      </c>
      <c r="R1818">
        <v>0</v>
      </c>
      <c r="S1818">
        <v>1</v>
      </c>
      <c r="T1818" t="str">
        <f>IF(mental_health[Sleep_Hours]&lt;5,"Low",IF(mental_health[Sleep_Hours]&lt;7,"Medium","Good"))</f>
        <v>Medium</v>
      </c>
      <c r="U1818" t="str">
        <f>IF(mental_health[Stress_Level]&lt;=3,"Low",IF(mental_health[Stress_Level]&lt;=7,"Medium","High"))</f>
        <v>Medium</v>
      </c>
      <c r="V1818" t="str">
        <f>IF(mental_health[Daily_Screen_Time]&lt;=4,"Low",IF(mental_health[Daily_Screen_Time]&lt;=8,"Medium","High"))</f>
        <v>Low</v>
      </c>
    </row>
    <row r="1819" spans="1:22" x14ac:dyDescent="0.3">
      <c r="A1819">
        <v>1818</v>
      </c>
      <c r="B1819">
        <v>35</v>
      </c>
      <c r="C1819" t="s">
        <v>23</v>
      </c>
      <c r="D1819" t="s">
        <v>22</v>
      </c>
      <c r="E1819">
        <v>2.6</v>
      </c>
      <c r="F1819">
        <v>1.3</v>
      </c>
      <c r="G1819">
        <v>0</v>
      </c>
      <c r="H1819" t="str">
        <f t="shared" si="28"/>
        <v>No Night Usage</v>
      </c>
      <c r="I1819">
        <v>8.8000000000000007</v>
      </c>
      <c r="J1819" s="3">
        <v>9</v>
      </c>
      <c r="K1819">
        <v>2.5</v>
      </c>
      <c r="L1819" t="s">
        <v>20</v>
      </c>
      <c r="M1819">
        <v>1</v>
      </c>
      <c r="N1819">
        <v>4</v>
      </c>
      <c r="O1819">
        <v>0</v>
      </c>
      <c r="P1819">
        <v>1</v>
      </c>
      <c r="Q1819">
        <v>1</v>
      </c>
      <c r="R1819">
        <v>1</v>
      </c>
      <c r="S1819">
        <v>0</v>
      </c>
      <c r="T1819" t="str">
        <f>IF(mental_health[Sleep_Hours]&lt;5,"Low",IF(mental_health[Sleep_Hours]&lt;7,"Medium","Good"))</f>
        <v>Good</v>
      </c>
      <c r="U1819" t="str">
        <f>IF(mental_health[Stress_Level]&lt;=3,"Low",IF(mental_health[Stress_Level]&lt;=7,"Medium","High"))</f>
        <v>High</v>
      </c>
      <c r="V1819" t="str">
        <f>IF(mental_health[Daily_Screen_Time]&lt;=4,"Low",IF(mental_health[Daily_Screen_Time]&lt;=8,"Medium","High"))</f>
        <v>Low</v>
      </c>
    </row>
    <row r="1820" spans="1:22" x14ac:dyDescent="0.3">
      <c r="A1820">
        <v>1819</v>
      </c>
      <c r="B1820">
        <v>52</v>
      </c>
      <c r="C1820" t="s">
        <v>23</v>
      </c>
      <c r="D1820" t="s">
        <v>19</v>
      </c>
      <c r="E1820">
        <v>7.9</v>
      </c>
      <c r="F1820">
        <v>3.3</v>
      </c>
      <c r="G1820">
        <v>1</v>
      </c>
      <c r="H1820" t="str">
        <f t="shared" si="28"/>
        <v>Night Usage</v>
      </c>
      <c r="I1820">
        <v>5.7</v>
      </c>
      <c r="J1820" s="3">
        <v>1</v>
      </c>
      <c r="K1820">
        <v>10.8</v>
      </c>
      <c r="L1820" t="s">
        <v>20</v>
      </c>
      <c r="M1820">
        <v>3</v>
      </c>
      <c r="N1820">
        <v>4</v>
      </c>
      <c r="O1820">
        <v>0</v>
      </c>
      <c r="P1820">
        <v>1</v>
      </c>
      <c r="Q1820">
        <v>0</v>
      </c>
      <c r="R1820">
        <v>0</v>
      </c>
      <c r="S1820">
        <v>1</v>
      </c>
      <c r="T1820" t="str">
        <f>IF(mental_health[Sleep_Hours]&lt;5,"Low",IF(mental_health[Sleep_Hours]&lt;7,"Medium","Good"))</f>
        <v>Medium</v>
      </c>
      <c r="U1820" t="str">
        <f>IF(mental_health[Stress_Level]&lt;=3,"Low",IF(mental_health[Stress_Level]&lt;=7,"Medium","High"))</f>
        <v>Low</v>
      </c>
      <c r="V1820" t="str">
        <f>IF(mental_health[Daily_Screen_Time]&lt;=4,"Low",IF(mental_health[Daily_Screen_Time]&lt;=8,"Medium","High"))</f>
        <v>Medium</v>
      </c>
    </row>
    <row r="1821" spans="1:22" x14ac:dyDescent="0.3">
      <c r="A1821">
        <v>1820</v>
      </c>
      <c r="B1821">
        <v>19</v>
      </c>
      <c r="C1821" t="s">
        <v>23</v>
      </c>
      <c r="D1821" t="s">
        <v>19</v>
      </c>
      <c r="E1821">
        <v>10.4</v>
      </c>
      <c r="F1821">
        <v>5.4</v>
      </c>
      <c r="G1821">
        <v>1</v>
      </c>
      <c r="H1821" t="str">
        <f t="shared" si="28"/>
        <v>Night Usage</v>
      </c>
      <c r="I1821">
        <v>7.5</v>
      </c>
      <c r="J1821" s="3">
        <v>5</v>
      </c>
      <c r="K1821">
        <v>10.9</v>
      </c>
      <c r="L1821" t="s">
        <v>25</v>
      </c>
      <c r="M1821">
        <v>3</v>
      </c>
      <c r="N1821">
        <v>0</v>
      </c>
      <c r="O1821">
        <v>1</v>
      </c>
      <c r="P1821">
        <v>1</v>
      </c>
      <c r="Q1821">
        <v>1</v>
      </c>
      <c r="R1821">
        <v>0</v>
      </c>
      <c r="S1821">
        <v>1</v>
      </c>
      <c r="T1821" t="str">
        <f>IF(mental_health[Sleep_Hours]&lt;5,"Low",IF(mental_health[Sleep_Hours]&lt;7,"Medium","Good"))</f>
        <v>Good</v>
      </c>
      <c r="U1821" t="str">
        <f>IF(mental_health[Stress_Level]&lt;=3,"Low",IF(mental_health[Stress_Level]&lt;=7,"Medium","High"))</f>
        <v>Medium</v>
      </c>
      <c r="V1821" t="str">
        <f>IF(mental_health[Daily_Screen_Time]&lt;=4,"Low",IF(mental_health[Daily_Screen_Time]&lt;=8,"Medium","High"))</f>
        <v>High</v>
      </c>
    </row>
    <row r="1822" spans="1:22" x14ac:dyDescent="0.3">
      <c r="A1822">
        <v>1821</v>
      </c>
      <c r="B1822">
        <v>43</v>
      </c>
      <c r="C1822" t="s">
        <v>18</v>
      </c>
      <c r="D1822" t="s">
        <v>24</v>
      </c>
      <c r="E1822">
        <v>2.2000000000000002</v>
      </c>
      <c r="F1822">
        <v>1.4</v>
      </c>
      <c r="G1822">
        <v>1</v>
      </c>
      <c r="H1822" t="str">
        <f t="shared" si="28"/>
        <v>Night Usage</v>
      </c>
      <c r="I1822">
        <v>7.5</v>
      </c>
      <c r="J1822" s="3">
        <v>10</v>
      </c>
      <c r="K1822">
        <v>7.2</v>
      </c>
      <c r="L1822" t="s">
        <v>25</v>
      </c>
      <c r="M1822">
        <v>8</v>
      </c>
      <c r="N1822">
        <v>1</v>
      </c>
      <c r="O1822">
        <v>1</v>
      </c>
      <c r="P1822">
        <v>1</v>
      </c>
      <c r="Q1822">
        <v>0</v>
      </c>
      <c r="R1822">
        <v>1</v>
      </c>
      <c r="S1822">
        <v>1</v>
      </c>
      <c r="T1822" t="str">
        <f>IF(mental_health[Sleep_Hours]&lt;5,"Low",IF(mental_health[Sleep_Hours]&lt;7,"Medium","Good"))</f>
        <v>Good</v>
      </c>
      <c r="U1822" t="str">
        <f>IF(mental_health[Stress_Level]&lt;=3,"Low",IF(mental_health[Stress_Level]&lt;=7,"Medium","High"))</f>
        <v>High</v>
      </c>
      <c r="V1822" t="str">
        <f>IF(mental_health[Daily_Screen_Time]&lt;=4,"Low",IF(mental_health[Daily_Screen_Time]&lt;=8,"Medium","High"))</f>
        <v>Low</v>
      </c>
    </row>
    <row r="1823" spans="1:22" x14ac:dyDescent="0.3">
      <c r="A1823">
        <v>1822</v>
      </c>
      <c r="B1823">
        <v>59</v>
      </c>
      <c r="C1823" t="s">
        <v>23</v>
      </c>
      <c r="D1823" t="s">
        <v>24</v>
      </c>
      <c r="E1823">
        <v>2.5</v>
      </c>
      <c r="F1823">
        <v>1.2</v>
      </c>
      <c r="G1823">
        <v>1</v>
      </c>
      <c r="H1823" t="str">
        <f t="shared" si="28"/>
        <v>Night Usage</v>
      </c>
      <c r="I1823">
        <v>4.5999999999999996</v>
      </c>
      <c r="J1823" s="3">
        <v>3</v>
      </c>
      <c r="K1823">
        <v>3.4</v>
      </c>
      <c r="L1823" t="s">
        <v>20</v>
      </c>
      <c r="M1823">
        <v>5</v>
      </c>
      <c r="N1823">
        <v>2</v>
      </c>
      <c r="O1823">
        <v>1</v>
      </c>
      <c r="P1823">
        <v>0</v>
      </c>
      <c r="Q1823">
        <v>1</v>
      </c>
      <c r="R1823">
        <v>0</v>
      </c>
      <c r="S1823">
        <v>0</v>
      </c>
      <c r="T1823" t="str">
        <f>IF(mental_health[Sleep_Hours]&lt;5,"Low",IF(mental_health[Sleep_Hours]&lt;7,"Medium","Good"))</f>
        <v>Low</v>
      </c>
      <c r="U1823" t="str">
        <f>IF(mental_health[Stress_Level]&lt;=3,"Low",IF(mental_health[Stress_Level]&lt;=7,"Medium","High"))</f>
        <v>Low</v>
      </c>
      <c r="V1823" t="str">
        <f>IF(mental_health[Daily_Screen_Time]&lt;=4,"Low",IF(mental_health[Daily_Screen_Time]&lt;=8,"Medium","High"))</f>
        <v>Low</v>
      </c>
    </row>
    <row r="1824" spans="1:22" x14ac:dyDescent="0.3">
      <c r="A1824">
        <v>1823</v>
      </c>
      <c r="B1824">
        <v>35</v>
      </c>
      <c r="C1824" t="s">
        <v>18</v>
      </c>
      <c r="D1824" t="s">
        <v>24</v>
      </c>
      <c r="E1824">
        <v>7.7</v>
      </c>
      <c r="F1824">
        <v>4.2</v>
      </c>
      <c r="G1824">
        <v>1</v>
      </c>
      <c r="H1824" t="str">
        <f t="shared" si="28"/>
        <v>Night Usage</v>
      </c>
      <c r="I1824">
        <v>6.4</v>
      </c>
      <c r="J1824" s="3">
        <v>7</v>
      </c>
      <c r="K1824">
        <v>7.7</v>
      </c>
      <c r="L1824" t="s">
        <v>21</v>
      </c>
      <c r="M1824">
        <v>1</v>
      </c>
      <c r="N1824">
        <v>0</v>
      </c>
      <c r="O1824">
        <v>1</v>
      </c>
      <c r="P1824">
        <v>0</v>
      </c>
      <c r="Q1824">
        <v>0</v>
      </c>
      <c r="R1824">
        <v>0</v>
      </c>
      <c r="S1824">
        <v>0</v>
      </c>
      <c r="T1824" t="str">
        <f>IF(mental_health[Sleep_Hours]&lt;5,"Low",IF(mental_health[Sleep_Hours]&lt;7,"Medium","Good"))</f>
        <v>Medium</v>
      </c>
      <c r="U1824" t="str">
        <f>IF(mental_health[Stress_Level]&lt;=3,"Low",IF(mental_health[Stress_Level]&lt;=7,"Medium","High"))</f>
        <v>Medium</v>
      </c>
      <c r="V1824" t="str">
        <f>IF(mental_health[Daily_Screen_Time]&lt;=4,"Low",IF(mental_health[Daily_Screen_Time]&lt;=8,"Medium","High"))</f>
        <v>Medium</v>
      </c>
    </row>
    <row r="1825" spans="1:22" x14ac:dyDescent="0.3">
      <c r="A1825">
        <v>1824</v>
      </c>
      <c r="B1825">
        <v>39</v>
      </c>
      <c r="C1825" t="s">
        <v>23</v>
      </c>
      <c r="D1825" t="s">
        <v>19</v>
      </c>
      <c r="E1825">
        <v>10.199999999999999</v>
      </c>
      <c r="F1825">
        <v>3.3</v>
      </c>
      <c r="G1825">
        <v>0</v>
      </c>
      <c r="H1825" t="str">
        <f t="shared" si="28"/>
        <v>No Night Usage</v>
      </c>
      <c r="I1825">
        <v>8.4</v>
      </c>
      <c r="J1825" s="3">
        <v>4</v>
      </c>
      <c r="K1825">
        <v>8.3000000000000007</v>
      </c>
      <c r="L1825" t="s">
        <v>21</v>
      </c>
      <c r="M1825">
        <v>4</v>
      </c>
      <c r="N1825">
        <v>4</v>
      </c>
      <c r="O1825">
        <v>1</v>
      </c>
      <c r="P1825">
        <v>1</v>
      </c>
      <c r="Q1825">
        <v>0</v>
      </c>
      <c r="R1825">
        <v>1</v>
      </c>
      <c r="S1825">
        <v>1</v>
      </c>
      <c r="T1825" t="str">
        <f>IF(mental_health[Sleep_Hours]&lt;5,"Low",IF(mental_health[Sleep_Hours]&lt;7,"Medium","Good"))</f>
        <v>Good</v>
      </c>
      <c r="U1825" t="str">
        <f>IF(mental_health[Stress_Level]&lt;=3,"Low",IF(mental_health[Stress_Level]&lt;=7,"Medium","High"))</f>
        <v>Medium</v>
      </c>
      <c r="V1825" t="str">
        <f>IF(mental_health[Daily_Screen_Time]&lt;=4,"Low",IF(mental_health[Daily_Screen_Time]&lt;=8,"Medium","High"))</f>
        <v>High</v>
      </c>
    </row>
    <row r="1826" spans="1:22" x14ac:dyDescent="0.3">
      <c r="A1826">
        <v>1825</v>
      </c>
      <c r="B1826">
        <v>47</v>
      </c>
      <c r="C1826" t="s">
        <v>23</v>
      </c>
      <c r="D1826" t="s">
        <v>19</v>
      </c>
      <c r="E1826">
        <v>5.3</v>
      </c>
      <c r="F1826">
        <v>4.0999999999999996</v>
      </c>
      <c r="G1826">
        <v>0</v>
      </c>
      <c r="H1826" t="str">
        <f t="shared" si="28"/>
        <v>No Night Usage</v>
      </c>
      <c r="I1826">
        <v>5.9</v>
      </c>
      <c r="J1826" s="3">
        <v>4</v>
      </c>
      <c r="K1826">
        <v>10.6</v>
      </c>
      <c r="L1826" t="s">
        <v>20</v>
      </c>
      <c r="M1826">
        <v>7</v>
      </c>
      <c r="N1826">
        <v>4</v>
      </c>
      <c r="O1826">
        <v>0</v>
      </c>
      <c r="P1826">
        <v>1</v>
      </c>
      <c r="Q1826">
        <v>0</v>
      </c>
      <c r="R1826">
        <v>1</v>
      </c>
      <c r="S1826">
        <v>1</v>
      </c>
      <c r="T1826" t="str">
        <f>IF(mental_health[Sleep_Hours]&lt;5,"Low",IF(mental_health[Sleep_Hours]&lt;7,"Medium","Good"))</f>
        <v>Medium</v>
      </c>
      <c r="U1826" t="str">
        <f>IF(mental_health[Stress_Level]&lt;=3,"Low",IF(mental_health[Stress_Level]&lt;=7,"Medium","High"))</f>
        <v>Medium</v>
      </c>
      <c r="V1826" t="str">
        <f>IF(mental_health[Daily_Screen_Time]&lt;=4,"Low",IF(mental_health[Daily_Screen_Time]&lt;=8,"Medium","High"))</f>
        <v>Medium</v>
      </c>
    </row>
    <row r="1827" spans="1:22" x14ac:dyDescent="0.3">
      <c r="A1827">
        <v>1826</v>
      </c>
      <c r="B1827">
        <v>56</v>
      </c>
      <c r="C1827" t="s">
        <v>23</v>
      </c>
      <c r="D1827" t="s">
        <v>24</v>
      </c>
      <c r="E1827">
        <v>5.5</v>
      </c>
      <c r="F1827">
        <v>2.8</v>
      </c>
      <c r="G1827">
        <v>0</v>
      </c>
      <c r="H1827" t="str">
        <f t="shared" si="28"/>
        <v>No Night Usage</v>
      </c>
      <c r="I1827">
        <v>8.6999999999999993</v>
      </c>
      <c r="J1827" s="3">
        <v>1</v>
      </c>
      <c r="K1827">
        <v>7.5</v>
      </c>
      <c r="L1827" t="s">
        <v>21</v>
      </c>
      <c r="M1827">
        <v>5</v>
      </c>
      <c r="N1827">
        <v>0</v>
      </c>
      <c r="O1827">
        <v>1</v>
      </c>
      <c r="P1827">
        <v>1</v>
      </c>
      <c r="Q1827">
        <v>0</v>
      </c>
      <c r="R1827">
        <v>0</v>
      </c>
      <c r="S1827">
        <v>1</v>
      </c>
      <c r="T1827" t="str">
        <f>IF(mental_health[Sleep_Hours]&lt;5,"Low",IF(mental_health[Sleep_Hours]&lt;7,"Medium","Good"))</f>
        <v>Good</v>
      </c>
      <c r="U1827" t="str">
        <f>IF(mental_health[Stress_Level]&lt;=3,"Low",IF(mental_health[Stress_Level]&lt;=7,"Medium","High"))</f>
        <v>Low</v>
      </c>
      <c r="V1827" t="str">
        <f>IF(mental_health[Daily_Screen_Time]&lt;=4,"Low",IF(mental_health[Daily_Screen_Time]&lt;=8,"Medium","High"))</f>
        <v>Medium</v>
      </c>
    </row>
    <row r="1828" spans="1:22" x14ac:dyDescent="0.3">
      <c r="A1828">
        <v>1827</v>
      </c>
      <c r="B1828">
        <v>51</v>
      </c>
      <c r="C1828" t="s">
        <v>18</v>
      </c>
      <c r="D1828" t="s">
        <v>22</v>
      </c>
      <c r="E1828">
        <v>8</v>
      </c>
      <c r="F1828">
        <v>2.2000000000000002</v>
      </c>
      <c r="G1828">
        <v>1</v>
      </c>
      <c r="H1828" t="str">
        <f t="shared" si="28"/>
        <v>Night Usage</v>
      </c>
      <c r="I1828">
        <v>4.3</v>
      </c>
      <c r="J1828" s="3">
        <v>1</v>
      </c>
      <c r="K1828">
        <v>6.1</v>
      </c>
      <c r="L1828" t="s">
        <v>25</v>
      </c>
      <c r="M1828">
        <v>10</v>
      </c>
      <c r="N1828">
        <v>4</v>
      </c>
      <c r="O1828">
        <v>0</v>
      </c>
      <c r="P1828">
        <v>1</v>
      </c>
      <c r="Q1828">
        <v>1</v>
      </c>
      <c r="R1828">
        <v>0</v>
      </c>
      <c r="S1828">
        <v>1</v>
      </c>
      <c r="T1828" t="str">
        <f>IF(mental_health[Sleep_Hours]&lt;5,"Low",IF(mental_health[Sleep_Hours]&lt;7,"Medium","Good"))</f>
        <v>Low</v>
      </c>
      <c r="U1828" t="str">
        <f>IF(mental_health[Stress_Level]&lt;=3,"Low",IF(mental_health[Stress_Level]&lt;=7,"Medium","High"))</f>
        <v>Low</v>
      </c>
      <c r="V1828" t="str">
        <f>IF(mental_health[Daily_Screen_Time]&lt;=4,"Low",IF(mental_health[Daily_Screen_Time]&lt;=8,"Medium","High"))</f>
        <v>Medium</v>
      </c>
    </row>
    <row r="1829" spans="1:22" x14ac:dyDescent="0.3">
      <c r="A1829">
        <v>1828</v>
      </c>
      <c r="B1829">
        <v>49</v>
      </c>
      <c r="C1829" t="s">
        <v>18</v>
      </c>
      <c r="D1829" t="s">
        <v>24</v>
      </c>
      <c r="E1829">
        <v>4.7</v>
      </c>
      <c r="F1829">
        <v>5.8</v>
      </c>
      <c r="G1829">
        <v>1</v>
      </c>
      <c r="H1829" t="str">
        <f t="shared" si="28"/>
        <v>Night Usage</v>
      </c>
      <c r="I1829">
        <v>3.4</v>
      </c>
      <c r="J1829" s="3">
        <v>10</v>
      </c>
      <c r="K1829">
        <v>10.4</v>
      </c>
      <c r="L1829" t="s">
        <v>25</v>
      </c>
      <c r="M1829">
        <v>6</v>
      </c>
      <c r="N1829">
        <v>0</v>
      </c>
      <c r="O1829">
        <v>0</v>
      </c>
      <c r="P1829">
        <v>0</v>
      </c>
      <c r="Q1829">
        <v>1</v>
      </c>
      <c r="R1829">
        <v>0</v>
      </c>
      <c r="S1829">
        <v>1</v>
      </c>
      <c r="T1829" t="str">
        <f>IF(mental_health[Sleep_Hours]&lt;5,"Low",IF(mental_health[Sleep_Hours]&lt;7,"Medium","Good"))</f>
        <v>Low</v>
      </c>
      <c r="U1829" t="str">
        <f>IF(mental_health[Stress_Level]&lt;=3,"Low",IF(mental_health[Stress_Level]&lt;=7,"Medium","High"))</f>
        <v>High</v>
      </c>
      <c r="V1829" t="str">
        <f>IF(mental_health[Daily_Screen_Time]&lt;=4,"Low",IF(mental_health[Daily_Screen_Time]&lt;=8,"Medium","High"))</f>
        <v>Medium</v>
      </c>
    </row>
    <row r="1830" spans="1:22" x14ac:dyDescent="0.3">
      <c r="A1830">
        <v>1829</v>
      </c>
      <c r="B1830">
        <v>51</v>
      </c>
      <c r="C1830" t="s">
        <v>23</v>
      </c>
      <c r="D1830" t="s">
        <v>24</v>
      </c>
      <c r="E1830">
        <v>2.2999999999999998</v>
      </c>
      <c r="F1830">
        <v>4.5999999999999996</v>
      </c>
      <c r="G1830">
        <v>1</v>
      </c>
      <c r="H1830" t="str">
        <f t="shared" si="28"/>
        <v>Night Usage</v>
      </c>
      <c r="I1830">
        <v>8.3000000000000007</v>
      </c>
      <c r="J1830" s="3">
        <v>2</v>
      </c>
      <c r="K1830">
        <v>11.8</v>
      </c>
      <c r="L1830" t="s">
        <v>21</v>
      </c>
      <c r="M1830">
        <v>10</v>
      </c>
      <c r="N1830">
        <v>0</v>
      </c>
      <c r="O1830">
        <v>1</v>
      </c>
      <c r="P1830">
        <v>1</v>
      </c>
      <c r="Q1830">
        <v>0</v>
      </c>
      <c r="R1830">
        <v>1</v>
      </c>
      <c r="S1830">
        <v>0</v>
      </c>
      <c r="T1830" t="str">
        <f>IF(mental_health[Sleep_Hours]&lt;5,"Low",IF(mental_health[Sleep_Hours]&lt;7,"Medium","Good"))</f>
        <v>Good</v>
      </c>
      <c r="U1830" t="str">
        <f>IF(mental_health[Stress_Level]&lt;=3,"Low",IF(mental_health[Stress_Level]&lt;=7,"Medium","High"))</f>
        <v>Low</v>
      </c>
      <c r="V1830" t="str">
        <f>IF(mental_health[Daily_Screen_Time]&lt;=4,"Low",IF(mental_health[Daily_Screen_Time]&lt;=8,"Medium","High"))</f>
        <v>Low</v>
      </c>
    </row>
    <row r="1831" spans="1:22" x14ac:dyDescent="0.3">
      <c r="A1831">
        <v>1830</v>
      </c>
      <c r="B1831">
        <v>17</v>
      </c>
      <c r="C1831" t="s">
        <v>18</v>
      </c>
      <c r="D1831" t="s">
        <v>24</v>
      </c>
      <c r="E1831">
        <v>9.4</v>
      </c>
      <c r="F1831">
        <v>2.4</v>
      </c>
      <c r="G1831">
        <v>1</v>
      </c>
      <c r="H1831" t="str">
        <f t="shared" si="28"/>
        <v>Night Usage</v>
      </c>
      <c r="I1831">
        <v>8.1</v>
      </c>
      <c r="J1831" s="3">
        <v>2</v>
      </c>
      <c r="K1831">
        <v>8.5</v>
      </c>
      <c r="L1831" t="s">
        <v>20</v>
      </c>
      <c r="M1831">
        <v>4</v>
      </c>
      <c r="N1831">
        <v>2</v>
      </c>
      <c r="O1831">
        <v>1</v>
      </c>
      <c r="P1831">
        <v>0</v>
      </c>
      <c r="Q1831">
        <v>0</v>
      </c>
      <c r="R1831">
        <v>0</v>
      </c>
      <c r="S1831">
        <v>1</v>
      </c>
      <c r="T1831" t="str">
        <f>IF(mental_health[Sleep_Hours]&lt;5,"Low",IF(mental_health[Sleep_Hours]&lt;7,"Medium","Good"))</f>
        <v>Good</v>
      </c>
      <c r="U1831" t="str">
        <f>IF(mental_health[Stress_Level]&lt;=3,"Low",IF(mental_health[Stress_Level]&lt;=7,"Medium","High"))</f>
        <v>Low</v>
      </c>
      <c r="V1831" t="str">
        <f>IF(mental_health[Daily_Screen_Time]&lt;=4,"Low",IF(mental_health[Daily_Screen_Time]&lt;=8,"Medium","High"))</f>
        <v>High</v>
      </c>
    </row>
    <row r="1832" spans="1:22" x14ac:dyDescent="0.3">
      <c r="A1832">
        <v>1831</v>
      </c>
      <c r="B1832">
        <v>30</v>
      </c>
      <c r="C1832" t="s">
        <v>23</v>
      </c>
      <c r="D1832" t="s">
        <v>24</v>
      </c>
      <c r="E1832">
        <v>8.3000000000000007</v>
      </c>
      <c r="F1832">
        <v>3.2</v>
      </c>
      <c r="G1832">
        <v>1</v>
      </c>
      <c r="H1832" t="str">
        <f t="shared" si="28"/>
        <v>Night Usage</v>
      </c>
      <c r="I1832">
        <v>9</v>
      </c>
      <c r="J1832" s="3">
        <v>1</v>
      </c>
      <c r="K1832">
        <v>10.7</v>
      </c>
      <c r="L1832" t="s">
        <v>25</v>
      </c>
      <c r="M1832">
        <v>2</v>
      </c>
      <c r="N1832">
        <v>0</v>
      </c>
      <c r="O1832">
        <v>0</v>
      </c>
      <c r="P1832">
        <v>1</v>
      </c>
      <c r="Q1832">
        <v>1</v>
      </c>
      <c r="R1832">
        <v>0</v>
      </c>
      <c r="S1832">
        <v>0</v>
      </c>
      <c r="T1832" t="str">
        <f>IF(mental_health[Sleep_Hours]&lt;5,"Low",IF(mental_health[Sleep_Hours]&lt;7,"Medium","Good"))</f>
        <v>Good</v>
      </c>
      <c r="U1832" t="str">
        <f>IF(mental_health[Stress_Level]&lt;=3,"Low",IF(mental_health[Stress_Level]&lt;=7,"Medium","High"))</f>
        <v>Low</v>
      </c>
      <c r="V1832" t="str">
        <f>IF(mental_health[Daily_Screen_Time]&lt;=4,"Low",IF(mental_health[Daily_Screen_Time]&lt;=8,"Medium","High"))</f>
        <v>High</v>
      </c>
    </row>
    <row r="1833" spans="1:22" x14ac:dyDescent="0.3">
      <c r="A1833">
        <v>1832</v>
      </c>
      <c r="B1833">
        <v>49</v>
      </c>
      <c r="C1833" t="s">
        <v>18</v>
      </c>
      <c r="D1833" t="s">
        <v>19</v>
      </c>
      <c r="E1833">
        <v>7.8</v>
      </c>
      <c r="F1833">
        <v>5.0999999999999996</v>
      </c>
      <c r="G1833">
        <v>1</v>
      </c>
      <c r="H1833" t="str">
        <f t="shared" si="28"/>
        <v>Night Usage</v>
      </c>
      <c r="I1833">
        <v>7.1</v>
      </c>
      <c r="J1833" s="3">
        <v>8</v>
      </c>
      <c r="K1833">
        <v>8</v>
      </c>
      <c r="L1833" t="s">
        <v>25</v>
      </c>
      <c r="M1833">
        <v>9</v>
      </c>
      <c r="N1833">
        <v>4</v>
      </c>
      <c r="O1833">
        <v>0</v>
      </c>
      <c r="P1833">
        <v>0</v>
      </c>
      <c r="Q1833">
        <v>0</v>
      </c>
      <c r="R1833">
        <v>1</v>
      </c>
      <c r="S1833">
        <v>1</v>
      </c>
      <c r="T1833" t="str">
        <f>IF(mental_health[Sleep_Hours]&lt;5,"Low",IF(mental_health[Sleep_Hours]&lt;7,"Medium","Good"))</f>
        <v>Good</v>
      </c>
      <c r="U1833" t="str">
        <f>IF(mental_health[Stress_Level]&lt;=3,"Low",IF(mental_health[Stress_Level]&lt;=7,"Medium","High"))</f>
        <v>High</v>
      </c>
      <c r="V1833" t="str">
        <f>IF(mental_health[Daily_Screen_Time]&lt;=4,"Low",IF(mental_health[Daily_Screen_Time]&lt;=8,"Medium","High"))</f>
        <v>Medium</v>
      </c>
    </row>
    <row r="1834" spans="1:22" x14ac:dyDescent="0.3">
      <c r="A1834">
        <v>1833</v>
      </c>
      <c r="B1834">
        <v>51</v>
      </c>
      <c r="C1834" t="s">
        <v>18</v>
      </c>
      <c r="D1834" t="s">
        <v>22</v>
      </c>
      <c r="E1834">
        <v>9.4</v>
      </c>
      <c r="F1834">
        <v>1.5</v>
      </c>
      <c r="G1834">
        <v>1</v>
      </c>
      <c r="H1834" t="str">
        <f t="shared" si="28"/>
        <v>Night Usage</v>
      </c>
      <c r="I1834">
        <v>8.6</v>
      </c>
      <c r="J1834" s="3">
        <v>6</v>
      </c>
      <c r="K1834">
        <v>8.9</v>
      </c>
      <c r="L1834" t="s">
        <v>25</v>
      </c>
      <c r="M1834">
        <v>2</v>
      </c>
      <c r="N1834">
        <v>3</v>
      </c>
      <c r="O1834">
        <v>0</v>
      </c>
      <c r="P1834">
        <v>0</v>
      </c>
      <c r="Q1834">
        <v>0</v>
      </c>
      <c r="R1834">
        <v>1</v>
      </c>
      <c r="S1834">
        <v>0</v>
      </c>
      <c r="T1834" t="str">
        <f>IF(mental_health[Sleep_Hours]&lt;5,"Low",IF(mental_health[Sleep_Hours]&lt;7,"Medium","Good"))</f>
        <v>Good</v>
      </c>
      <c r="U1834" t="str">
        <f>IF(mental_health[Stress_Level]&lt;=3,"Low",IF(mental_health[Stress_Level]&lt;=7,"Medium","High"))</f>
        <v>Medium</v>
      </c>
      <c r="V1834" t="str">
        <f>IF(mental_health[Daily_Screen_Time]&lt;=4,"Low",IF(mental_health[Daily_Screen_Time]&lt;=8,"Medium","High"))</f>
        <v>High</v>
      </c>
    </row>
    <row r="1835" spans="1:22" x14ac:dyDescent="0.3">
      <c r="A1835">
        <v>1834</v>
      </c>
      <c r="B1835">
        <v>21</v>
      </c>
      <c r="C1835" t="s">
        <v>18</v>
      </c>
      <c r="D1835" t="s">
        <v>24</v>
      </c>
      <c r="E1835">
        <v>8.8000000000000007</v>
      </c>
      <c r="F1835">
        <v>2</v>
      </c>
      <c r="G1835">
        <v>0</v>
      </c>
      <c r="H1835" t="str">
        <f t="shared" si="28"/>
        <v>No Night Usage</v>
      </c>
      <c r="I1835">
        <v>8</v>
      </c>
      <c r="J1835" s="3">
        <v>6</v>
      </c>
      <c r="K1835">
        <v>8.9</v>
      </c>
      <c r="L1835" t="s">
        <v>21</v>
      </c>
      <c r="M1835">
        <v>2</v>
      </c>
      <c r="N1835">
        <v>2</v>
      </c>
      <c r="O1835">
        <v>1</v>
      </c>
      <c r="P1835">
        <v>0</v>
      </c>
      <c r="Q1835">
        <v>0</v>
      </c>
      <c r="R1835">
        <v>1</v>
      </c>
      <c r="S1835">
        <v>0</v>
      </c>
      <c r="T1835" t="str">
        <f>IF(mental_health[Sleep_Hours]&lt;5,"Low",IF(mental_health[Sleep_Hours]&lt;7,"Medium","Good"))</f>
        <v>Good</v>
      </c>
      <c r="U1835" t="str">
        <f>IF(mental_health[Stress_Level]&lt;=3,"Low",IF(mental_health[Stress_Level]&lt;=7,"Medium","High"))</f>
        <v>Medium</v>
      </c>
      <c r="V1835" t="str">
        <f>IF(mental_health[Daily_Screen_Time]&lt;=4,"Low",IF(mental_health[Daily_Screen_Time]&lt;=8,"Medium","High"))</f>
        <v>High</v>
      </c>
    </row>
    <row r="1836" spans="1:22" x14ac:dyDescent="0.3">
      <c r="A1836">
        <v>1835</v>
      </c>
      <c r="B1836">
        <v>54</v>
      </c>
      <c r="C1836" t="s">
        <v>23</v>
      </c>
      <c r="D1836" t="s">
        <v>22</v>
      </c>
      <c r="E1836">
        <v>4.0999999999999996</v>
      </c>
      <c r="F1836">
        <v>1.5</v>
      </c>
      <c r="G1836">
        <v>0</v>
      </c>
      <c r="H1836" t="str">
        <f t="shared" si="28"/>
        <v>No Night Usage</v>
      </c>
      <c r="I1836">
        <v>8.1</v>
      </c>
      <c r="J1836" s="3">
        <v>10</v>
      </c>
      <c r="K1836">
        <v>9</v>
      </c>
      <c r="L1836" t="s">
        <v>20</v>
      </c>
      <c r="M1836">
        <v>2</v>
      </c>
      <c r="N1836">
        <v>4</v>
      </c>
      <c r="O1836">
        <v>1</v>
      </c>
      <c r="P1836">
        <v>1</v>
      </c>
      <c r="Q1836">
        <v>0</v>
      </c>
      <c r="R1836">
        <v>1</v>
      </c>
      <c r="S1836">
        <v>1</v>
      </c>
      <c r="T1836" t="str">
        <f>IF(mental_health[Sleep_Hours]&lt;5,"Low",IF(mental_health[Sleep_Hours]&lt;7,"Medium","Good"))</f>
        <v>Good</v>
      </c>
      <c r="U1836" t="str">
        <f>IF(mental_health[Stress_Level]&lt;=3,"Low",IF(mental_health[Stress_Level]&lt;=7,"Medium","High"))</f>
        <v>High</v>
      </c>
      <c r="V1836" t="str">
        <f>IF(mental_health[Daily_Screen_Time]&lt;=4,"Low",IF(mental_health[Daily_Screen_Time]&lt;=8,"Medium","High"))</f>
        <v>Medium</v>
      </c>
    </row>
    <row r="1837" spans="1:22" x14ac:dyDescent="0.3">
      <c r="A1837">
        <v>1836</v>
      </c>
      <c r="B1837">
        <v>57</v>
      </c>
      <c r="C1837" t="s">
        <v>18</v>
      </c>
      <c r="D1837" t="s">
        <v>22</v>
      </c>
      <c r="E1837">
        <v>5.5</v>
      </c>
      <c r="F1837">
        <v>6.7</v>
      </c>
      <c r="G1837">
        <v>1</v>
      </c>
      <c r="H1837" t="str">
        <f t="shared" si="28"/>
        <v>Night Usage</v>
      </c>
      <c r="I1837">
        <v>6.4</v>
      </c>
      <c r="J1837" s="3">
        <v>10</v>
      </c>
      <c r="K1837">
        <v>5.2</v>
      </c>
      <c r="L1837" t="s">
        <v>21</v>
      </c>
      <c r="M1837">
        <v>1</v>
      </c>
      <c r="N1837">
        <v>4</v>
      </c>
      <c r="O1837">
        <v>1</v>
      </c>
      <c r="P1837">
        <v>1</v>
      </c>
      <c r="Q1837">
        <v>1</v>
      </c>
      <c r="R1837">
        <v>1</v>
      </c>
      <c r="S1837">
        <v>1</v>
      </c>
      <c r="T1837" t="str">
        <f>IF(mental_health[Sleep_Hours]&lt;5,"Low",IF(mental_health[Sleep_Hours]&lt;7,"Medium","Good"))</f>
        <v>Medium</v>
      </c>
      <c r="U1837" t="str">
        <f>IF(mental_health[Stress_Level]&lt;=3,"Low",IF(mental_health[Stress_Level]&lt;=7,"Medium","High"))</f>
        <v>High</v>
      </c>
      <c r="V1837" t="str">
        <f>IF(mental_health[Daily_Screen_Time]&lt;=4,"Low",IF(mental_health[Daily_Screen_Time]&lt;=8,"Medium","High"))</f>
        <v>Medium</v>
      </c>
    </row>
    <row r="1838" spans="1:22" x14ac:dyDescent="0.3">
      <c r="A1838">
        <v>1837</v>
      </c>
      <c r="B1838">
        <v>27</v>
      </c>
      <c r="C1838" t="s">
        <v>18</v>
      </c>
      <c r="D1838" t="s">
        <v>22</v>
      </c>
      <c r="E1838">
        <v>3.3</v>
      </c>
      <c r="F1838">
        <v>6.3</v>
      </c>
      <c r="G1838">
        <v>1</v>
      </c>
      <c r="H1838" t="str">
        <f t="shared" si="28"/>
        <v>Night Usage</v>
      </c>
      <c r="I1838">
        <v>5.3</v>
      </c>
      <c r="J1838" s="3">
        <v>9</v>
      </c>
      <c r="K1838">
        <v>7.8</v>
      </c>
      <c r="L1838" t="s">
        <v>20</v>
      </c>
      <c r="M1838">
        <v>3</v>
      </c>
      <c r="N1838">
        <v>2</v>
      </c>
      <c r="O1838">
        <v>1</v>
      </c>
      <c r="P1838">
        <v>1</v>
      </c>
      <c r="Q1838">
        <v>1</v>
      </c>
      <c r="R1838">
        <v>1</v>
      </c>
      <c r="S1838">
        <v>1</v>
      </c>
      <c r="T1838" t="str">
        <f>IF(mental_health[Sleep_Hours]&lt;5,"Low",IF(mental_health[Sleep_Hours]&lt;7,"Medium","Good"))</f>
        <v>Medium</v>
      </c>
      <c r="U1838" t="str">
        <f>IF(mental_health[Stress_Level]&lt;=3,"Low",IF(mental_health[Stress_Level]&lt;=7,"Medium","High"))</f>
        <v>High</v>
      </c>
      <c r="V1838" t="str">
        <f>IF(mental_health[Daily_Screen_Time]&lt;=4,"Low",IF(mental_health[Daily_Screen_Time]&lt;=8,"Medium","High"))</f>
        <v>Low</v>
      </c>
    </row>
    <row r="1839" spans="1:22" x14ac:dyDescent="0.3">
      <c r="A1839">
        <v>1838</v>
      </c>
      <c r="B1839">
        <v>18</v>
      </c>
      <c r="C1839" t="s">
        <v>23</v>
      </c>
      <c r="D1839" t="s">
        <v>24</v>
      </c>
      <c r="E1839">
        <v>3.3</v>
      </c>
      <c r="F1839">
        <v>6.3</v>
      </c>
      <c r="G1839">
        <v>1</v>
      </c>
      <c r="H1839" t="str">
        <f t="shared" si="28"/>
        <v>Night Usage</v>
      </c>
      <c r="I1839">
        <v>8.6</v>
      </c>
      <c r="J1839" s="3">
        <v>5</v>
      </c>
      <c r="K1839">
        <v>7.9</v>
      </c>
      <c r="L1839" t="s">
        <v>20</v>
      </c>
      <c r="M1839">
        <v>6</v>
      </c>
      <c r="N1839">
        <v>2</v>
      </c>
      <c r="O1839">
        <v>0</v>
      </c>
      <c r="P1839">
        <v>1</v>
      </c>
      <c r="Q1839">
        <v>1</v>
      </c>
      <c r="R1839">
        <v>0</v>
      </c>
      <c r="S1839">
        <v>0</v>
      </c>
      <c r="T1839" t="str">
        <f>IF(mental_health[Sleep_Hours]&lt;5,"Low",IF(mental_health[Sleep_Hours]&lt;7,"Medium","Good"))</f>
        <v>Good</v>
      </c>
      <c r="U1839" t="str">
        <f>IF(mental_health[Stress_Level]&lt;=3,"Low",IF(mental_health[Stress_Level]&lt;=7,"Medium","High"))</f>
        <v>Medium</v>
      </c>
      <c r="V1839" t="str">
        <f>IF(mental_health[Daily_Screen_Time]&lt;=4,"Low",IF(mental_health[Daily_Screen_Time]&lt;=8,"Medium","High"))</f>
        <v>Low</v>
      </c>
    </row>
    <row r="1840" spans="1:22" x14ac:dyDescent="0.3">
      <c r="A1840">
        <v>1839</v>
      </c>
      <c r="B1840">
        <v>33</v>
      </c>
      <c r="C1840" t="s">
        <v>23</v>
      </c>
      <c r="D1840" t="s">
        <v>19</v>
      </c>
      <c r="E1840">
        <v>8.8000000000000007</v>
      </c>
      <c r="F1840">
        <v>6</v>
      </c>
      <c r="G1840">
        <v>0</v>
      </c>
      <c r="H1840" t="str">
        <f t="shared" si="28"/>
        <v>No Night Usage</v>
      </c>
      <c r="I1840">
        <v>5.6</v>
      </c>
      <c r="J1840" s="3">
        <v>4</v>
      </c>
      <c r="K1840">
        <v>5.2</v>
      </c>
      <c r="L1840" t="s">
        <v>21</v>
      </c>
      <c r="M1840">
        <v>7</v>
      </c>
      <c r="N1840">
        <v>4</v>
      </c>
      <c r="O1840">
        <v>1</v>
      </c>
      <c r="P1840">
        <v>1</v>
      </c>
      <c r="Q1840">
        <v>1</v>
      </c>
      <c r="R1840">
        <v>1</v>
      </c>
      <c r="S1840">
        <v>0</v>
      </c>
      <c r="T1840" t="str">
        <f>IF(mental_health[Sleep_Hours]&lt;5,"Low",IF(mental_health[Sleep_Hours]&lt;7,"Medium","Good"))</f>
        <v>Medium</v>
      </c>
      <c r="U1840" t="str">
        <f>IF(mental_health[Stress_Level]&lt;=3,"Low",IF(mental_health[Stress_Level]&lt;=7,"Medium","High"))</f>
        <v>Medium</v>
      </c>
      <c r="V1840" t="str">
        <f>IF(mental_health[Daily_Screen_Time]&lt;=4,"Low",IF(mental_health[Daily_Screen_Time]&lt;=8,"Medium","High"))</f>
        <v>High</v>
      </c>
    </row>
    <row r="1841" spans="1:22" x14ac:dyDescent="0.3">
      <c r="A1841">
        <v>1840</v>
      </c>
      <c r="B1841">
        <v>55</v>
      </c>
      <c r="C1841" t="s">
        <v>23</v>
      </c>
      <c r="D1841" t="s">
        <v>24</v>
      </c>
      <c r="E1841">
        <v>10.6</v>
      </c>
      <c r="F1841">
        <v>5.7</v>
      </c>
      <c r="G1841">
        <v>0</v>
      </c>
      <c r="H1841" t="str">
        <f t="shared" si="28"/>
        <v>No Night Usage</v>
      </c>
      <c r="I1841">
        <v>6.2</v>
      </c>
      <c r="J1841" s="3">
        <v>6</v>
      </c>
      <c r="K1841">
        <v>5.5</v>
      </c>
      <c r="L1841" t="s">
        <v>25</v>
      </c>
      <c r="M1841">
        <v>1</v>
      </c>
      <c r="N1841">
        <v>3</v>
      </c>
      <c r="O1841">
        <v>0</v>
      </c>
      <c r="P1841">
        <v>0</v>
      </c>
      <c r="Q1841">
        <v>1</v>
      </c>
      <c r="R1841">
        <v>1</v>
      </c>
      <c r="S1841">
        <v>1</v>
      </c>
      <c r="T1841" t="str">
        <f>IF(mental_health[Sleep_Hours]&lt;5,"Low",IF(mental_health[Sleep_Hours]&lt;7,"Medium","Good"))</f>
        <v>Medium</v>
      </c>
      <c r="U1841" t="str">
        <f>IF(mental_health[Stress_Level]&lt;=3,"Low",IF(mental_health[Stress_Level]&lt;=7,"Medium","High"))</f>
        <v>Medium</v>
      </c>
      <c r="V1841" t="str">
        <f>IF(mental_health[Daily_Screen_Time]&lt;=4,"Low",IF(mental_health[Daily_Screen_Time]&lt;=8,"Medium","High"))</f>
        <v>High</v>
      </c>
    </row>
    <row r="1842" spans="1:22" x14ac:dyDescent="0.3">
      <c r="A1842">
        <v>1841</v>
      </c>
      <c r="B1842">
        <v>36</v>
      </c>
      <c r="C1842" t="s">
        <v>23</v>
      </c>
      <c r="D1842" t="s">
        <v>22</v>
      </c>
      <c r="E1842">
        <v>11.6</v>
      </c>
      <c r="F1842">
        <v>4.3</v>
      </c>
      <c r="G1842">
        <v>1</v>
      </c>
      <c r="H1842" t="str">
        <f t="shared" si="28"/>
        <v>Night Usage</v>
      </c>
      <c r="I1842">
        <v>5.7</v>
      </c>
      <c r="J1842" s="3">
        <v>8</v>
      </c>
      <c r="K1842">
        <v>9.6</v>
      </c>
      <c r="L1842" t="s">
        <v>20</v>
      </c>
      <c r="M1842">
        <v>5</v>
      </c>
      <c r="N1842">
        <v>1</v>
      </c>
      <c r="O1842">
        <v>1</v>
      </c>
      <c r="P1842">
        <v>0</v>
      </c>
      <c r="Q1842">
        <v>1</v>
      </c>
      <c r="R1842">
        <v>1</v>
      </c>
      <c r="S1842">
        <v>1</v>
      </c>
      <c r="T1842" t="str">
        <f>IF(mental_health[Sleep_Hours]&lt;5,"Low",IF(mental_health[Sleep_Hours]&lt;7,"Medium","Good"))</f>
        <v>Medium</v>
      </c>
      <c r="U1842" t="str">
        <f>IF(mental_health[Stress_Level]&lt;=3,"Low",IF(mental_health[Stress_Level]&lt;=7,"Medium","High"))</f>
        <v>High</v>
      </c>
      <c r="V1842" t="str">
        <f>IF(mental_health[Daily_Screen_Time]&lt;=4,"Low",IF(mental_health[Daily_Screen_Time]&lt;=8,"Medium","High"))</f>
        <v>High</v>
      </c>
    </row>
    <row r="1843" spans="1:22" x14ac:dyDescent="0.3">
      <c r="A1843">
        <v>1842</v>
      </c>
      <c r="B1843">
        <v>30</v>
      </c>
      <c r="C1843" t="s">
        <v>18</v>
      </c>
      <c r="D1843" t="s">
        <v>22</v>
      </c>
      <c r="E1843">
        <v>8.3000000000000007</v>
      </c>
      <c r="F1843">
        <v>5.5</v>
      </c>
      <c r="G1843">
        <v>0</v>
      </c>
      <c r="H1843" t="str">
        <f t="shared" si="28"/>
        <v>No Night Usage</v>
      </c>
      <c r="I1843">
        <v>6.4</v>
      </c>
      <c r="J1843" s="3">
        <v>1</v>
      </c>
      <c r="K1843">
        <v>7.8</v>
      </c>
      <c r="L1843" t="s">
        <v>21</v>
      </c>
      <c r="M1843">
        <v>5</v>
      </c>
      <c r="N1843">
        <v>4</v>
      </c>
      <c r="O1843">
        <v>1</v>
      </c>
      <c r="P1843">
        <v>0</v>
      </c>
      <c r="Q1843">
        <v>0</v>
      </c>
      <c r="R1843">
        <v>1</v>
      </c>
      <c r="S1843">
        <v>0</v>
      </c>
      <c r="T1843" t="str">
        <f>IF(mental_health[Sleep_Hours]&lt;5,"Low",IF(mental_health[Sleep_Hours]&lt;7,"Medium","Good"))</f>
        <v>Medium</v>
      </c>
      <c r="U1843" t="str">
        <f>IF(mental_health[Stress_Level]&lt;=3,"Low",IF(mental_health[Stress_Level]&lt;=7,"Medium","High"))</f>
        <v>Low</v>
      </c>
      <c r="V1843" t="str">
        <f>IF(mental_health[Daily_Screen_Time]&lt;=4,"Low",IF(mental_health[Daily_Screen_Time]&lt;=8,"Medium","High"))</f>
        <v>High</v>
      </c>
    </row>
    <row r="1844" spans="1:22" x14ac:dyDescent="0.3">
      <c r="A1844">
        <v>1843</v>
      </c>
      <c r="B1844">
        <v>48</v>
      </c>
      <c r="C1844" t="s">
        <v>18</v>
      </c>
      <c r="D1844" t="s">
        <v>19</v>
      </c>
      <c r="E1844">
        <v>3.8</v>
      </c>
      <c r="F1844">
        <v>1.3</v>
      </c>
      <c r="G1844">
        <v>0</v>
      </c>
      <c r="H1844" t="str">
        <f t="shared" si="28"/>
        <v>No Night Usage</v>
      </c>
      <c r="I1844">
        <v>5.8</v>
      </c>
      <c r="J1844" s="3">
        <v>7</v>
      </c>
      <c r="K1844">
        <v>3.5</v>
      </c>
      <c r="L1844" t="s">
        <v>25</v>
      </c>
      <c r="M1844">
        <v>1</v>
      </c>
      <c r="N1844">
        <v>2</v>
      </c>
      <c r="O1844">
        <v>1</v>
      </c>
      <c r="P1844">
        <v>1</v>
      </c>
      <c r="Q1844">
        <v>0</v>
      </c>
      <c r="R1844">
        <v>0</v>
      </c>
      <c r="S1844">
        <v>1</v>
      </c>
      <c r="T1844" t="str">
        <f>IF(mental_health[Sleep_Hours]&lt;5,"Low",IF(mental_health[Sleep_Hours]&lt;7,"Medium","Good"))</f>
        <v>Medium</v>
      </c>
      <c r="U1844" t="str">
        <f>IF(mental_health[Stress_Level]&lt;=3,"Low",IF(mental_health[Stress_Level]&lt;=7,"Medium","High"))</f>
        <v>Medium</v>
      </c>
      <c r="V1844" t="str">
        <f>IF(mental_health[Daily_Screen_Time]&lt;=4,"Low",IF(mental_health[Daily_Screen_Time]&lt;=8,"Medium","High"))</f>
        <v>Low</v>
      </c>
    </row>
    <row r="1845" spans="1:22" x14ac:dyDescent="0.3">
      <c r="A1845">
        <v>1844</v>
      </c>
      <c r="B1845">
        <v>50</v>
      </c>
      <c r="C1845" t="s">
        <v>18</v>
      </c>
      <c r="D1845" t="s">
        <v>24</v>
      </c>
      <c r="E1845">
        <v>3.1</v>
      </c>
      <c r="F1845">
        <v>5.4</v>
      </c>
      <c r="G1845">
        <v>0</v>
      </c>
      <c r="H1845" t="str">
        <f t="shared" si="28"/>
        <v>No Night Usage</v>
      </c>
      <c r="I1845">
        <v>3.3</v>
      </c>
      <c r="J1845" s="3">
        <v>8</v>
      </c>
      <c r="K1845">
        <v>10.4</v>
      </c>
      <c r="L1845" t="s">
        <v>20</v>
      </c>
      <c r="M1845">
        <v>4</v>
      </c>
      <c r="N1845">
        <v>0</v>
      </c>
      <c r="O1845">
        <v>0</v>
      </c>
      <c r="P1845">
        <v>0</v>
      </c>
      <c r="Q1845">
        <v>0</v>
      </c>
      <c r="R1845">
        <v>0</v>
      </c>
      <c r="S1845">
        <v>0</v>
      </c>
      <c r="T1845" t="str">
        <f>IF(mental_health[Sleep_Hours]&lt;5,"Low",IF(mental_health[Sleep_Hours]&lt;7,"Medium","Good"))</f>
        <v>Low</v>
      </c>
      <c r="U1845" t="str">
        <f>IF(mental_health[Stress_Level]&lt;=3,"Low",IF(mental_health[Stress_Level]&lt;=7,"Medium","High"))</f>
        <v>High</v>
      </c>
      <c r="V1845" t="str">
        <f>IF(mental_health[Daily_Screen_Time]&lt;=4,"Low",IF(mental_health[Daily_Screen_Time]&lt;=8,"Medium","High"))</f>
        <v>Low</v>
      </c>
    </row>
    <row r="1846" spans="1:22" x14ac:dyDescent="0.3">
      <c r="A1846">
        <v>1845</v>
      </c>
      <c r="B1846">
        <v>41</v>
      </c>
      <c r="C1846" t="s">
        <v>18</v>
      </c>
      <c r="D1846" t="s">
        <v>22</v>
      </c>
      <c r="E1846">
        <v>10.1</v>
      </c>
      <c r="F1846">
        <v>6.4</v>
      </c>
      <c r="G1846">
        <v>1</v>
      </c>
      <c r="H1846" t="str">
        <f t="shared" si="28"/>
        <v>Night Usage</v>
      </c>
      <c r="I1846">
        <v>8.3000000000000007</v>
      </c>
      <c r="J1846" s="3">
        <v>9</v>
      </c>
      <c r="K1846">
        <v>10.8</v>
      </c>
      <c r="L1846" t="s">
        <v>20</v>
      </c>
      <c r="M1846">
        <v>10</v>
      </c>
      <c r="N1846">
        <v>0</v>
      </c>
      <c r="O1846">
        <v>0</v>
      </c>
      <c r="P1846">
        <v>1</v>
      </c>
      <c r="Q1846">
        <v>1</v>
      </c>
      <c r="R1846">
        <v>1</v>
      </c>
      <c r="S1846">
        <v>1</v>
      </c>
      <c r="T1846" t="str">
        <f>IF(mental_health[Sleep_Hours]&lt;5,"Low",IF(mental_health[Sleep_Hours]&lt;7,"Medium","Good"))</f>
        <v>Good</v>
      </c>
      <c r="U1846" t="str">
        <f>IF(mental_health[Stress_Level]&lt;=3,"Low",IF(mental_health[Stress_Level]&lt;=7,"Medium","High"))</f>
        <v>High</v>
      </c>
      <c r="V1846" t="str">
        <f>IF(mental_health[Daily_Screen_Time]&lt;=4,"Low",IF(mental_health[Daily_Screen_Time]&lt;=8,"Medium","High"))</f>
        <v>High</v>
      </c>
    </row>
    <row r="1847" spans="1:22" x14ac:dyDescent="0.3">
      <c r="A1847">
        <v>1846</v>
      </c>
      <c r="B1847">
        <v>23</v>
      </c>
      <c r="C1847" t="s">
        <v>18</v>
      </c>
      <c r="D1847" t="s">
        <v>19</v>
      </c>
      <c r="E1847">
        <v>7.8</v>
      </c>
      <c r="F1847">
        <v>4.5</v>
      </c>
      <c r="G1847">
        <v>0</v>
      </c>
      <c r="H1847" t="str">
        <f t="shared" si="28"/>
        <v>No Night Usage</v>
      </c>
      <c r="I1847">
        <v>5.7</v>
      </c>
      <c r="J1847" s="3">
        <v>8</v>
      </c>
      <c r="K1847">
        <v>6.7</v>
      </c>
      <c r="L1847" t="s">
        <v>25</v>
      </c>
      <c r="M1847">
        <v>1</v>
      </c>
      <c r="N1847">
        <v>2</v>
      </c>
      <c r="O1847">
        <v>1</v>
      </c>
      <c r="P1847">
        <v>0</v>
      </c>
      <c r="Q1847">
        <v>0</v>
      </c>
      <c r="R1847">
        <v>0</v>
      </c>
      <c r="S1847">
        <v>1</v>
      </c>
      <c r="T1847" t="str">
        <f>IF(mental_health[Sleep_Hours]&lt;5,"Low",IF(mental_health[Sleep_Hours]&lt;7,"Medium","Good"))</f>
        <v>Medium</v>
      </c>
      <c r="U1847" t="str">
        <f>IF(mental_health[Stress_Level]&lt;=3,"Low",IF(mental_health[Stress_Level]&lt;=7,"Medium","High"))</f>
        <v>High</v>
      </c>
      <c r="V1847" t="str">
        <f>IF(mental_health[Daily_Screen_Time]&lt;=4,"Low",IF(mental_health[Daily_Screen_Time]&lt;=8,"Medium","High"))</f>
        <v>Medium</v>
      </c>
    </row>
    <row r="1848" spans="1:22" x14ac:dyDescent="0.3">
      <c r="A1848">
        <v>1847</v>
      </c>
      <c r="B1848">
        <v>51</v>
      </c>
      <c r="C1848" t="s">
        <v>23</v>
      </c>
      <c r="D1848" t="s">
        <v>22</v>
      </c>
      <c r="E1848">
        <v>8.1999999999999993</v>
      </c>
      <c r="F1848">
        <v>3.5</v>
      </c>
      <c r="G1848">
        <v>0</v>
      </c>
      <c r="H1848" t="str">
        <f t="shared" si="28"/>
        <v>No Night Usage</v>
      </c>
      <c r="I1848">
        <v>6.5</v>
      </c>
      <c r="J1848" s="3">
        <v>7</v>
      </c>
      <c r="K1848">
        <v>4.0999999999999996</v>
      </c>
      <c r="L1848" t="s">
        <v>20</v>
      </c>
      <c r="M1848">
        <v>1</v>
      </c>
      <c r="N1848">
        <v>2</v>
      </c>
      <c r="O1848">
        <v>0</v>
      </c>
      <c r="P1848">
        <v>1</v>
      </c>
      <c r="Q1848">
        <v>1</v>
      </c>
      <c r="R1848">
        <v>0</v>
      </c>
      <c r="S1848">
        <v>0</v>
      </c>
      <c r="T1848" t="str">
        <f>IF(mental_health[Sleep_Hours]&lt;5,"Low",IF(mental_health[Sleep_Hours]&lt;7,"Medium","Good"))</f>
        <v>Medium</v>
      </c>
      <c r="U1848" t="str">
        <f>IF(mental_health[Stress_Level]&lt;=3,"Low",IF(mental_health[Stress_Level]&lt;=7,"Medium","High"))</f>
        <v>Medium</v>
      </c>
      <c r="V1848" t="str">
        <f>IF(mental_health[Daily_Screen_Time]&lt;=4,"Low",IF(mental_health[Daily_Screen_Time]&lt;=8,"Medium","High"))</f>
        <v>High</v>
      </c>
    </row>
    <row r="1849" spans="1:22" x14ac:dyDescent="0.3">
      <c r="A1849">
        <v>1848</v>
      </c>
      <c r="B1849">
        <v>45</v>
      </c>
      <c r="C1849" t="s">
        <v>18</v>
      </c>
      <c r="D1849" t="s">
        <v>19</v>
      </c>
      <c r="E1849">
        <v>9.8000000000000007</v>
      </c>
      <c r="F1849">
        <v>2.9</v>
      </c>
      <c r="G1849">
        <v>1</v>
      </c>
      <c r="H1849" t="str">
        <f t="shared" si="28"/>
        <v>Night Usage</v>
      </c>
      <c r="I1849">
        <v>3.8</v>
      </c>
      <c r="J1849" s="3">
        <v>3</v>
      </c>
      <c r="K1849">
        <v>11.5</v>
      </c>
      <c r="L1849" t="s">
        <v>21</v>
      </c>
      <c r="M1849">
        <v>7</v>
      </c>
      <c r="N1849">
        <v>1</v>
      </c>
      <c r="O1849">
        <v>0</v>
      </c>
      <c r="P1849">
        <v>0</v>
      </c>
      <c r="Q1849">
        <v>0</v>
      </c>
      <c r="R1849">
        <v>1</v>
      </c>
      <c r="S1849">
        <v>0</v>
      </c>
      <c r="T1849" t="str">
        <f>IF(mental_health[Sleep_Hours]&lt;5,"Low",IF(mental_health[Sleep_Hours]&lt;7,"Medium","Good"))</f>
        <v>Low</v>
      </c>
      <c r="U1849" t="str">
        <f>IF(mental_health[Stress_Level]&lt;=3,"Low",IF(mental_health[Stress_Level]&lt;=7,"Medium","High"))</f>
        <v>Low</v>
      </c>
      <c r="V1849" t="str">
        <f>IF(mental_health[Daily_Screen_Time]&lt;=4,"Low",IF(mental_health[Daily_Screen_Time]&lt;=8,"Medium","High"))</f>
        <v>High</v>
      </c>
    </row>
    <row r="1850" spans="1:22" x14ac:dyDescent="0.3">
      <c r="A1850">
        <v>1849</v>
      </c>
      <c r="B1850">
        <v>38</v>
      </c>
      <c r="C1850" t="s">
        <v>18</v>
      </c>
      <c r="D1850" t="s">
        <v>19</v>
      </c>
      <c r="E1850">
        <v>9</v>
      </c>
      <c r="F1850">
        <v>5.5</v>
      </c>
      <c r="G1850">
        <v>1</v>
      </c>
      <c r="H1850" t="str">
        <f t="shared" si="28"/>
        <v>Night Usage</v>
      </c>
      <c r="I1850">
        <v>3</v>
      </c>
      <c r="J1850" s="3">
        <v>2</v>
      </c>
      <c r="K1850">
        <v>10.8</v>
      </c>
      <c r="L1850" t="s">
        <v>20</v>
      </c>
      <c r="M1850">
        <v>7</v>
      </c>
      <c r="N1850">
        <v>2</v>
      </c>
      <c r="O1850">
        <v>1</v>
      </c>
      <c r="P1850">
        <v>1</v>
      </c>
      <c r="Q1850">
        <v>0</v>
      </c>
      <c r="R1850">
        <v>1</v>
      </c>
      <c r="S1850">
        <v>1</v>
      </c>
      <c r="T1850" t="str">
        <f>IF(mental_health[Sleep_Hours]&lt;5,"Low",IF(mental_health[Sleep_Hours]&lt;7,"Medium","Good"))</f>
        <v>Low</v>
      </c>
      <c r="U1850" t="str">
        <f>IF(mental_health[Stress_Level]&lt;=3,"Low",IF(mental_health[Stress_Level]&lt;=7,"Medium","High"))</f>
        <v>Low</v>
      </c>
      <c r="V1850" t="str">
        <f>IF(mental_health[Daily_Screen_Time]&lt;=4,"Low",IF(mental_health[Daily_Screen_Time]&lt;=8,"Medium","High"))</f>
        <v>High</v>
      </c>
    </row>
    <row r="1851" spans="1:22" x14ac:dyDescent="0.3">
      <c r="A1851">
        <v>1850</v>
      </c>
      <c r="B1851">
        <v>57</v>
      </c>
      <c r="C1851" t="s">
        <v>18</v>
      </c>
      <c r="D1851" t="s">
        <v>24</v>
      </c>
      <c r="E1851">
        <v>10.3</v>
      </c>
      <c r="F1851">
        <v>5.8</v>
      </c>
      <c r="G1851">
        <v>0</v>
      </c>
      <c r="H1851" t="str">
        <f t="shared" si="28"/>
        <v>No Night Usage</v>
      </c>
      <c r="I1851">
        <v>4.5</v>
      </c>
      <c r="J1851" s="3">
        <v>3</v>
      </c>
      <c r="K1851">
        <v>4.4000000000000004</v>
      </c>
      <c r="L1851" t="s">
        <v>20</v>
      </c>
      <c r="M1851">
        <v>3</v>
      </c>
      <c r="N1851">
        <v>0</v>
      </c>
      <c r="O1851">
        <v>1</v>
      </c>
      <c r="P1851">
        <v>0</v>
      </c>
      <c r="Q1851">
        <v>1</v>
      </c>
      <c r="R1851">
        <v>1</v>
      </c>
      <c r="S1851">
        <v>0</v>
      </c>
      <c r="T1851" t="str">
        <f>IF(mental_health[Sleep_Hours]&lt;5,"Low",IF(mental_health[Sleep_Hours]&lt;7,"Medium","Good"))</f>
        <v>Low</v>
      </c>
      <c r="U1851" t="str">
        <f>IF(mental_health[Stress_Level]&lt;=3,"Low",IF(mental_health[Stress_Level]&lt;=7,"Medium","High"))</f>
        <v>Low</v>
      </c>
      <c r="V1851" t="str">
        <f>IF(mental_health[Daily_Screen_Time]&lt;=4,"Low",IF(mental_health[Daily_Screen_Time]&lt;=8,"Medium","High"))</f>
        <v>High</v>
      </c>
    </row>
    <row r="1852" spans="1:22" x14ac:dyDescent="0.3">
      <c r="A1852">
        <v>1851</v>
      </c>
      <c r="B1852">
        <v>59</v>
      </c>
      <c r="C1852" t="s">
        <v>23</v>
      </c>
      <c r="D1852" t="s">
        <v>22</v>
      </c>
      <c r="E1852">
        <v>2.6</v>
      </c>
      <c r="F1852">
        <v>7.1</v>
      </c>
      <c r="G1852">
        <v>1</v>
      </c>
      <c r="H1852" t="str">
        <f t="shared" si="28"/>
        <v>Night Usage</v>
      </c>
      <c r="I1852">
        <v>7.2</v>
      </c>
      <c r="J1852" s="3">
        <v>4</v>
      </c>
      <c r="K1852">
        <v>3</v>
      </c>
      <c r="L1852" t="s">
        <v>25</v>
      </c>
      <c r="M1852">
        <v>7</v>
      </c>
      <c r="N1852">
        <v>3</v>
      </c>
      <c r="O1852">
        <v>0</v>
      </c>
      <c r="P1852">
        <v>0</v>
      </c>
      <c r="Q1852">
        <v>0</v>
      </c>
      <c r="R1852">
        <v>0</v>
      </c>
      <c r="S1852">
        <v>0</v>
      </c>
      <c r="T1852" t="str">
        <f>IF(mental_health[Sleep_Hours]&lt;5,"Low",IF(mental_health[Sleep_Hours]&lt;7,"Medium","Good"))</f>
        <v>Good</v>
      </c>
      <c r="U1852" t="str">
        <f>IF(mental_health[Stress_Level]&lt;=3,"Low",IF(mental_health[Stress_Level]&lt;=7,"Medium","High"))</f>
        <v>Medium</v>
      </c>
      <c r="V1852" t="str">
        <f>IF(mental_health[Daily_Screen_Time]&lt;=4,"Low",IF(mental_health[Daily_Screen_Time]&lt;=8,"Medium","High"))</f>
        <v>Low</v>
      </c>
    </row>
    <row r="1853" spans="1:22" x14ac:dyDescent="0.3">
      <c r="A1853">
        <v>1852</v>
      </c>
      <c r="B1853">
        <v>29</v>
      </c>
      <c r="C1853" t="s">
        <v>23</v>
      </c>
      <c r="D1853" t="s">
        <v>24</v>
      </c>
      <c r="E1853">
        <v>9.5</v>
      </c>
      <c r="F1853">
        <v>3.4</v>
      </c>
      <c r="G1853">
        <v>0</v>
      </c>
      <c r="H1853" t="str">
        <f t="shared" si="28"/>
        <v>No Night Usage</v>
      </c>
      <c r="I1853">
        <v>3.6</v>
      </c>
      <c r="J1853" s="3">
        <v>4</v>
      </c>
      <c r="K1853">
        <v>6.4</v>
      </c>
      <c r="L1853" t="s">
        <v>21</v>
      </c>
      <c r="M1853">
        <v>3</v>
      </c>
      <c r="N1853">
        <v>2</v>
      </c>
      <c r="O1853">
        <v>1</v>
      </c>
      <c r="P1853">
        <v>0</v>
      </c>
      <c r="Q1853">
        <v>1</v>
      </c>
      <c r="R1853">
        <v>1</v>
      </c>
      <c r="S1853">
        <v>0</v>
      </c>
      <c r="T1853" t="str">
        <f>IF(mental_health[Sleep_Hours]&lt;5,"Low",IF(mental_health[Sleep_Hours]&lt;7,"Medium","Good"))</f>
        <v>Low</v>
      </c>
      <c r="U1853" t="str">
        <f>IF(mental_health[Stress_Level]&lt;=3,"Low",IF(mental_health[Stress_Level]&lt;=7,"Medium","High"))</f>
        <v>Medium</v>
      </c>
      <c r="V1853" t="str">
        <f>IF(mental_health[Daily_Screen_Time]&lt;=4,"Low",IF(mental_health[Daily_Screen_Time]&lt;=8,"Medium","High"))</f>
        <v>High</v>
      </c>
    </row>
    <row r="1854" spans="1:22" x14ac:dyDescent="0.3">
      <c r="A1854">
        <v>1853</v>
      </c>
      <c r="B1854">
        <v>29</v>
      </c>
      <c r="C1854" t="s">
        <v>18</v>
      </c>
      <c r="D1854" t="s">
        <v>22</v>
      </c>
      <c r="E1854">
        <v>10.5</v>
      </c>
      <c r="F1854">
        <v>6.4</v>
      </c>
      <c r="G1854">
        <v>0</v>
      </c>
      <c r="H1854" t="str">
        <f t="shared" si="28"/>
        <v>No Night Usage</v>
      </c>
      <c r="I1854">
        <v>8.5</v>
      </c>
      <c r="J1854" s="3">
        <v>6</v>
      </c>
      <c r="K1854">
        <v>8.8000000000000007</v>
      </c>
      <c r="L1854" t="s">
        <v>25</v>
      </c>
      <c r="M1854">
        <v>2</v>
      </c>
      <c r="N1854">
        <v>1</v>
      </c>
      <c r="O1854">
        <v>0</v>
      </c>
      <c r="P1854">
        <v>1</v>
      </c>
      <c r="Q1854">
        <v>1</v>
      </c>
      <c r="R1854">
        <v>1</v>
      </c>
      <c r="S1854">
        <v>0</v>
      </c>
      <c r="T1854" t="str">
        <f>IF(mental_health[Sleep_Hours]&lt;5,"Low",IF(mental_health[Sleep_Hours]&lt;7,"Medium","Good"))</f>
        <v>Good</v>
      </c>
      <c r="U1854" t="str">
        <f>IF(mental_health[Stress_Level]&lt;=3,"Low",IF(mental_health[Stress_Level]&lt;=7,"Medium","High"))</f>
        <v>Medium</v>
      </c>
      <c r="V1854" t="str">
        <f>IF(mental_health[Daily_Screen_Time]&lt;=4,"Low",IF(mental_health[Daily_Screen_Time]&lt;=8,"Medium","High"))</f>
        <v>High</v>
      </c>
    </row>
    <row r="1855" spans="1:22" x14ac:dyDescent="0.3">
      <c r="A1855">
        <v>1854</v>
      </c>
      <c r="B1855">
        <v>17</v>
      </c>
      <c r="C1855" t="s">
        <v>23</v>
      </c>
      <c r="D1855" t="s">
        <v>24</v>
      </c>
      <c r="E1855">
        <v>4.9000000000000004</v>
      </c>
      <c r="F1855">
        <v>4.9000000000000004</v>
      </c>
      <c r="G1855">
        <v>1</v>
      </c>
      <c r="H1855" t="str">
        <f t="shared" si="28"/>
        <v>Night Usage</v>
      </c>
      <c r="I1855">
        <v>4.3</v>
      </c>
      <c r="J1855" s="3">
        <v>7</v>
      </c>
      <c r="K1855">
        <v>3.8</v>
      </c>
      <c r="L1855" t="s">
        <v>21</v>
      </c>
      <c r="M1855">
        <v>10</v>
      </c>
      <c r="N1855">
        <v>3</v>
      </c>
      <c r="O1855">
        <v>0</v>
      </c>
      <c r="P1855">
        <v>0</v>
      </c>
      <c r="Q1855">
        <v>1</v>
      </c>
      <c r="R1855">
        <v>1</v>
      </c>
      <c r="S1855">
        <v>1</v>
      </c>
      <c r="T1855" t="str">
        <f>IF(mental_health[Sleep_Hours]&lt;5,"Low",IF(mental_health[Sleep_Hours]&lt;7,"Medium","Good"))</f>
        <v>Low</v>
      </c>
      <c r="U1855" t="str">
        <f>IF(mental_health[Stress_Level]&lt;=3,"Low",IF(mental_health[Stress_Level]&lt;=7,"Medium","High"))</f>
        <v>Medium</v>
      </c>
      <c r="V1855" t="str">
        <f>IF(mental_health[Daily_Screen_Time]&lt;=4,"Low",IF(mental_health[Daily_Screen_Time]&lt;=8,"Medium","High"))</f>
        <v>Medium</v>
      </c>
    </row>
    <row r="1856" spans="1:22" x14ac:dyDescent="0.3">
      <c r="A1856">
        <v>1855</v>
      </c>
      <c r="B1856">
        <v>52</v>
      </c>
      <c r="C1856" t="s">
        <v>23</v>
      </c>
      <c r="D1856" t="s">
        <v>22</v>
      </c>
      <c r="E1856">
        <v>8.4</v>
      </c>
      <c r="F1856">
        <v>7.2</v>
      </c>
      <c r="G1856">
        <v>1</v>
      </c>
      <c r="H1856" t="str">
        <f t="shared" si="28"/>
        <v>Night Usage</v>
      </c>
      <c r="I1856">
        <v>4.2</v>
      </c>
      <c r="J1856" s="3">
        <v>4</v>
      </c>
      <c r="K1856">
        <v>7.1</v>
      </c>
      <c r="L1856" t="s">
        <v>25</v>
      </c>
      <c r="M1856">
        <v>4</v>
      </c>
      <c r="N1856">
        <v>1</v>
      </c>
      <c r="O1856">
        <v>1</v>
      </c>
      <c r="P1856">
        <v>0</v>
      </c>
      <c r="Q1856">
        <v>0</v>
      </c>
      <c r="R1856">
        <v>0</v>
      </c>
      <c r="S1856">
        <v>1</v>
      </c>
      <c r="T1856" t="str">
        <f>IF(mental_health[Sleep_Hours]&lt;5,"Low",IF(mental_health[Sleep_Hours]&lt;7,"Medium","Good"))</f>
        <v>Low</v>
      </c>
      <c r="U1856" t="str">
        <f>IF(mental_health[Stress_Level]&lt;=3,"Low",IF(mental_health[Stress_Level]&lt;=7,"Medium","High"))</f>
        <v>Medium</v>
      </c>
      <c r="V1856" t="str">
        <f>IF(mental_health[Daily_Screen_Time]&lt;=4,"Low",IF(mental_health[Daily_Screen_Time]&lt;=8,"Medium","High"))</f>
        <v>High</v>
      </c>
    </row>
    <row r="1857" spans="1:22" x14ac:dyDescent="0.3">
      <c r="A1857">
        <v>1856</v>
      </c>
      <c r="B1857">
        <v>20</v>
      </c>
      <c r="C1857" t="s">
        <v>23</v>
      </c>
      <c r="D1857" t="s">
        <v>24</v>
      </c>
      <c r="E1857">
        <v>5.0999999999999996</v>
      </c>
      <c r="F1857">
        <v>4.7</v>
      </c>
      <c r="G1857">
        <v>0</v>
      </c>
      <c r="H1857" t="str">
        <f t="shared" si="28"/>
        <v>No Night Usage</v>
      </c>
      <c r="I1857">
        <v>4.0999999999999996</v>
      </c>
      <c r="J1857" s="3">
        <v>10</v>
      </c>
      <c r="K1857">
        <v>6.3</v>
      </c>
      <c r="L1857" t="s">
        <v>20</v>
      </c>
      <c r="M1857">
        <v>10</v>
      </c>
      <c r="N1857">
        <v>3</v>
      </c>
      <c r="O1857">
        <v>0</v>
      </c>
      <c r="P1857">
        <v>0</v>
      </c>
      <c r="Q1857">
        <v>1</v>
      </c>
      <c r="R1857">
        <v>0</v>
      </c>
      <c r="S1857">
        <v>1</v>
      </c>
      <c r="T1857" t="str">
        <f>IF(mental_health[Sleep_Hours]&lt;5,"Low",IF(mental_health[Sleep_Hours]&lt;7,"Medium","Good"))</f>
        <v>Low</v>
      </c>
      <c r="U1857" t="str">
        <f>IF(mental_health[Stress_Level]&lt;=3,"Low",IF(mental_health[Stress_Level]&lt;=7,"Medium","High"))</f>
        <v>High</v>
      </c>
      <c r="V1857" t="str">
        <f>IF(mental_health[Daily_Screen_Time]&lt;=4,"Low",IF(mental_health[Daily_Screen_Time]&lt;=8,"Medium","High"))</f>
        <v>Medium</v>
      </c>
    </row>
    <row r="1858" spans="1:22" x14ac:dyDescent="0.3">
      <c r="A1858">
        <v>1857</v>
      </c>
      <c r="B1858">
        <v>53</v>
      </c>
      <c r="C1858" t="s">
        <v>23</v>
      </c>
      <c r="D1858" t="s">
        <v>19</v>
      </c>
      <c r="E1858">
        <v>11.6</v>
      </c>
      <c r="F1858">
        <v>4.5999999999999996</v>
      </c>
      <c r="G1858">
        <v>1</v>
      </c>
      <c r="H1858" t="str">
        <f t="shared" ref="H1858:H1921" si="29">IF(G1858=1,"Night Usage","No Night Usage")</f>
        <v>Night Usage</v>
      </c>
      <c r="I1858">
        <v>3.1</v>
      </c>
      <c r="J1858" s="3">
        <v>6</v>
      </c>
      <c r="K1858">
        <v>10.9</v>
      </c>
      <c r="L1858" t="s">
        <v>21</v>
      </c>
      <c r="M1858">
        <v>3</v>
      </c>
      <c r="N1858">
        <v>2</v>
      </c>
      <c r="O1858">
        <v>1</v>
      </c>
      <c r="P1858">
        <v>1</v>
      </c>
      <c r="Q1858">
        <v>1</v>
      </c>
      <c r="R1858">
        <v>1</v>
      </c>
      <c r="S1858">
        <v>1</v>
      </c>
      <c r="T1858" t="str">
        <f>IF(mental_health[Sleep_Hours]&lt;5,"Low",IF(mental_health[Sleep_Hours]&lt;7,"Medium","Good"))</f>
        <v>Low</v>
      </c>
      <c r="U1858" t="str">
        <f>IF(mental_health[Stress_Level]&lt;=3,"Low",IF(mental_health[Stress_Level]&lt;=7,"Medium","High"))</f>
        <v>Medium</v>
      </c>
      <c r="V1858" t="str">
        <f>IF(mental_health[Daily_Screen_Time]&lt;=4,"Low",IF(mental_health[Daily_Screen_Time]&lt;=8,"Medium","High"))</f>
        <v>High</v>
      </c>
    </row>
    <row r="1859" spans="1:22" x14ac:dyDescent="0.3">
      <c r="A1859">
        <v>1858</v>
      </c>
      <c r="B1859">
        <v>56</v>
      </c>
      <c r="C1859" t="s">
        <v>23</v>
      </c>
      <c r="D1859" t="s">
        <v>22</v>
      </c>
      <c r="E1859">
        <v>2.2999999999999998</v>
      </c>
      <c r="F1859">
        <v>5</v>
      </c>
      <c r="G1859">
        <v>1</v>
      </c>
      <c r="H1859" t="str">
        <f t="shared" si="29"/>
        <v>Night Usage</v>
      </c>
      <c r="I1859">
        <v>7.6</v>
      </c>
      <c r="J1859" s="3">
        <v>9</v>
      </c>
      <c r="K1859">
        <v>6.3</v>
      </c>
      <c r="L1859" t="s">
        <v>21</v>
      </c>
      <c r="M1859">
        <v>7</v>
      </c>
      <c r="N1859">
        <v>0</v>
      </c>
      <c r="O1859">
        <v>0</v>
      </c>
      <c r="P1859">
        <v>0</v>
      </c>
      <c r="Q1859">
        <v>0</v>
      </c>
      <c r="R1859">
        <v>1</v>
      </c>
      <c r="S1859">
        <v>1</v>
      </c>
      <c r="T1859" t="str">
        <f>IF(mental_health[Sleep_Hours]&lt;5,"Low",IF(mental_health[Sleep_Hours]&lt;7,"Medium","Good"))</f>
        <v>Good</v>
      </c>
      <c r="U1859" t="str">
        <f>IF(mental_health[Stress_Level]&lt;=3,"Low",IF(mental_health[Stress_Level]&lt;=7,"Medium","High"))</f>
        <v>High</v>
      </c>
      <c r="V1859" t="str">
        <f>IF(mental_health[Daily_Screen_Time]&lt;=4,"Low",IF(mental_health[Daily_Screen_Time]&lt;=8,"Medium","High"))</f>
        <v>Low</v>
      </c>
    </row>
    <row r="1860" spans="1:22" x14ac:dyDescent="0.3">
      <c r="A1860">
        <v>1859</v>
      </c>
      <c r="B1860">
        <v>29</v>
      </c>
      <c r="C1860" t="s">
        <v>23</v>
      </c>
      <c r="D1860" t="s">
        <v>22</v>
      </c>
      <c r="E1860">
        <v>7.8</v>
      </c>
      <c r="F1860">
        <v>6.2</v>
      </c>
      <c r="G1860">
        <v>0</v>
      </c>
      <c r="H1860" t="str">
        <f t="shared" si="29"/>
        <v>No Night Usage</v>
      </c>
      <c r="I1860">
        <v>8.3000000000000007</v>
      </c>
      <c r="J1860" s="3">
        <v>6</v>
      </c>
      <c r="K1860">
        <v>7.3</v>
      </c>
      <c r="L1860" t="s">
        <v>20</v>
      </c>
      <c r="M1860">
        <v>1</v>
      </c>
      <c r="N1860">
        <v>3</v>
      </c>
      <c r="O1860">
        <v>0</v>
      </c>
      <c r="P1860">
        <v>1</v>
      </c>
      <c r="Q1860">
        <v>0</v>
      </c>
      <c r="R1860">
        <v>0</v>
      </c>
      <c r="S1860">
        <v>0</v>
      </c>
      <c r="T1860" t="str">
        <f>IF(mental_health[Sleep_Hours]&lt;5,"Low",IF(mental_health[Sleep_Hours]&lt;7,"Medium","Good"))</f>
        <v>Good</v>
      </c>
      <c r="U1860" t="str">
        <f>IF(mental_health[Stress_Level]&lt;=3,"Low",IF(mental_health[Stress_Level]&lt;=7,"Medium","High"))</f>
        <v>Medium</v>
      </c>
      <c r="V1860" t="str">
        <f>IF(mental_health[Daily_Screen_Time]&lt;=4,"Low",IF(mental_health[Daily_Screen_Time]&lt;=8,"Medium","High"))</f>
        <v>Medium</v>
      </c>
    </row>
    <row r="1861" spans="1:22" x14ac:dyDescent="0.3">
      <c r="A1861">
        <v>1860</v>
      </c>
      <c r="B1861">
        <v>54</v>
      </c>
      <c r="C1861" t="s">
        <v>23</v>
      </c>
      <c r="D1861" t="s">
        <v>19</v>
      </c>
      <c r="E1861">
        <v>3.7</v>
      </c>
      <c r="F1861">
        <v>7.8</v>
      </c>
      <c r="G1861">
        <v>0</v>
      </c>
      <c r="H1861" t="str">
        <f t="shared" si="29"/>
        <v>No Night Usage</v>
      </c>
      <c r="I1861">
        <v>6.7</v>
      </c>
      <c r="J1861" s="3">
        <v>3</v>
      </c>
      <c r="K1861">
        <v>11.6</v>
      </c>
      <c r="L1861" t="s">
        <v>25</v>
      </c>
      <c r="M1861">
        <v>6</v>
      </c>
      <c r="N1861">
        <v>4</v>
      </c>
      <c r="O1861">
        <v>0</v>
      </c>
      <c r="P1861">
        <v>0</v>
      </c>
      <c r="Q1861">
        <v>0</v>
      </c>
      <c r="R1861">
        <v>1</v>
      </c>
      <c r="S1861">
        <v>1</v>
      </c>
      <c r="T1861" t="str">
        <f>IF(mental_health[Sleep_Hours]&lt;5,"Low",IF(mental_health[Sleep_Hours]&lt;7,"Medium","Good"))</f>
        <v>Medium</v>
      </c>
      <c r="U1861" t="str">
        <f>IF(mental_health[Stress_Level]&lt;=3,"Low",IF(mental_health[Stress_Level]&lt;=7,"Medium","High"))</f>
        <v>Low</v>
      </c>
      <c r="V1861" t="str">
        <f>IF(mental_health[Daily_Screen_Time]&lt;=4,"Low",IF(mental_health[Daily_Screen_Time]&lt;=8,"Medium","High"))</f>
        <v>Low</v>
      </c>
    </row>
    <row r="1862" spans="1:22" x14ac:dyDescent="0.3">
      <c r="A1862">
        <v>1861</v>
      </c>
      <c r="B1862">
        <v>40</v>
      </c>
      <c r="C1862" t="s">
        <v>18</v>
      </c>
      <c r="D1862" t="s">
        <v>24</v>
      </c>
      <c r="E1862">
        <v>9.1</v>
      </c>
      <c r="F1862">
        <v>1.5</v>
      </c>
      <c r="G1862">
        <v>0</v>
      </c>
      <c r="H1862" t="str">
        <f t="shared" si="29"/>
        <v>No Night Usage</v>
      </c>
      <c r="I1862">
        <v>4.0999999999999996</v>
      </c>
      <c r="J1862" s="3">
        <v>1</v>
      </c>
      <c r="K1862">
        <v>5</v>
      </c>
      <c r="L1862" t="s">
        <v>21</v>
      </c>
      <c r="M1862">
        <v>2</v>
      </c>
      <c r="N1862">
        <v>1</v>
      </c>
      <c r="O1862">
        <v>0</v>
      </c>
      <c r="P1862">
        <v>0</v>
      </c>
      <c r="Q1862">
        <v>1</v>
      </c>
      <c r="R1862">
        <v>0</v>
      </c>
      <c r="S1862">
        <v>1</v>
      </c>
      <c r="T1862" t="str">
        <f>IF(mental_health[Sleep_Hours]&lt;5,"Low",IF(mental_health[Sleep_Hours]&lt;7,"Medium","Good"))</f>
        <v>Low</v>
      </c>
      <c r="U1862" t="str">
        <f>IF(mental_health[Stress_Level]&lt;=3,"Low",IF(mental_health[Stress_Level]&lt;=7,"Medium","High"))</f>
        <v>Low</v>
      </c>
      <c r="V1862" t="str">
        <f>IF(mental_health[Daily_Screen_Time]&lt;=4,"Low",IF(mental_health[Daily_Screen_Time]&lt;=8,"Medium","High"))</f>
        <v>High</v>
      </c>
    </row>
    <row r="1863" spans="1:22" x14ac:dyDescent="0.3">
      <c r="A1863">
        <v>1862</v>
      </c>
      <c r="B1863">
        <v>35</v>
      </c>
      <c r="C1863" t="s">
        <v>18</v>
      </c>
      <c r="D1863" t="s">
        <v>22</v>
      </c>
      <c r="E1863">
        <v>3.8</v>
      </c>
      <c r="F1863">
        <v>1.4</v>
      </c>
      <c r="G1863">
        <v>0</v>
      </c>
      <c r="H1863" t="str">
        <f t="shared" si="29"/>
        <v>No Night Usage</v>
      </c>
      <c r="I1863">
        <v>4.7</v>
      </c>
      <c r="J1863" s="3">
        <v>10</v>
      </c>
      <c r="K1863">
        <v>4.9000000000000004</v>
      </c>
      <c r="L1863" t="s">
        <v>20</v>
      </c>
      <c r="M1863">
        <v>8</v>
      </c>
      <c r="N1863">
        <v>3</v>
      </c>
      <c r="O1863">
        <v>0</v>
      </c>
      <c r="P1863">
        <v>1</v>
      </c>
      <c r="Q1863">
        <v>1</v>
      </c>
      <c r="R1863">
        <v>0</v>
      </c>
      <c r="S1863">
        <v>0</v>
      </c>
      <c r="T1863" t="str">
        <f>IF(mental_health[Sleep_Hours]&lt;5,"Low",IF(mental_health[Sleep_Hours]&lt;7,"Medium","Good"))</f>
        <v>Low</v>
      </c>
      <c r="U1863" t="str">
        <f>IF(mental_health[Stress_Level]&lt;=3,"Low",IF(mental_health[Stress_Level]&lt;=7,"Medium","High"))</f>
        <v>High</v>
      </c>
      <c r="V1863" t="str">
        <f>IF(mental_health[Daily_Screen_Time]&lt;=4,"Low",IF(mental_health[Daily_Screen_Time]&lt;=8,"Medium","High"))</f>
        <v>Low</v>
      </c>
    </row>
    <row r="1864" spans="1:22" x14ac:dyDescent="0.3">
      <c r="A1864">
        <v>1863</v>
      </c>
      <c r="B1864">
        <v>17</v>
      </c>
      <c r="C1864" t="s">
        <v>23</v>
      </c>
      <c r="D1864" t="s">
        <v>22</v>
      </c>
      <c r="E1864">
        <v>4.4000000000000004</v>
      </c>
      <c r="F1864">
        <v>7.6</v>
      </c>
      <c r="G1864">
        <v>0</v>
      </c>
      <c r="H1864" t="str">
        <f t="shared" si="29"/>
        <v>No Night Usage</v>
      </c>
      <c r="I1864">
        <v>5.9</v>
      </c>
      <c r="J1864" s="3">
        <v>10</v>
      </c>
      <c r="K1864">
        <v>10</v>
      </c>
      <c r="L1864" t="s">
        <v>20</v>
      </c>
      <c r="M1864">
        <v>5</v>
      </c>
      <c r="N1864">
        <v>1</v>
      </c>
      <c r="O1864">
        <v>0</v>
      </c>
      <c r="P1864">
        <v>1</v>
      </c>
      <c r="Q1864">
        <v>0</v>
      </c>
      <c r="R1864">
        <v>0</v>
      </c>
      <c r="S1864">
        <v>1</v>
      </c>
      <c r="T1864" t="str">
        <f>IF(mental_health[Sleep_Hours]&lt;5,"Low",IF(mental_health[Sleep_Hours]&lt;7,"Medium","Good"))</f>
        <v>Medium</v>
      </c>
      <c r="U1864" t="str">
        <f>IF(mental_health[Stress_Level]&lt;=3,"Low",IF(mental_health[Stress_Level]&lt;=7,"Medium","High"))</f>
        <v>High</v>
      </c>
      <c r="V1864" t="str">
        <f>IF(mental_health[Daily_Screen_Time]&lt;=4,"Low",IF(mental_health[Daily_Screen_Time]&lt;=8,"Medium","High"))</f>
        <v>Medium</v>
      </c>
    </row>
    <row r="1865" spans="1:22" x14ac:dyDescent="0.3">
      <c r="A1865">
        <v>1864</v>
      </c>
      <c r="B1865">
        <v>54</v>
      </c>
      <c r="C1865" t="s">
        <v>18</v>
      </c>
      <c r="D1865" t="s">
        <v>24</v>
      </c>
      <c r="E1865">
        <v>6.9</v>
      </c>
      <c r="F1865">
        <v>4.7</v>
      </c>
      <c r="G1865">
        <v>0</v>
      </c>
      <c r="H1865" t="str">
        <f t="shared" si="29"/>
        <v>No Night Usage</v>
      </c>
      <c r="I1865">
        <v>8.6999999999999993</v>
      </c>
      <c r="J1865" s="3">
        <v>5</v>
      </c>
      <c r="K1865">
        <v>4.8</v>
      </c>
      <c r="L1865" t="s">
        <v>21</v>
      </c>
      <c r="M1865">
        <v>3</v>
      </c>
      <c r="N1865">
        <v>0</v>
      </c>
      <c r="O1865">
        <v>1</v>
      </c>
      <c r="P1865">
        <v>0</v>
      </c>
      <c r="Q1865">
        <v>0</v>
      </c>
      <c r="R1865">
        <v>0</v>
      </c>
      <c r="S1865">
        <v>0</v>
      </c>
      <c r="T1865" t="str">
        <f>IF(mental_health[Sleep_Hours]&lt;5,"Low",IF(mental_health[Sleep_Hours]&lt;7,"Medium","Good"))</f>
        <v>Good</v>
      </c>
      <c r="U1865" t="str">
        <f>IF(mental_health[Stress_Level]&lt;=3,"Low",IF(mental_health[Stress_Level]&lt;=7,"Medium","High"))</f>
        <v>Medium</v>
      </c>
      <c r="V1865" t="str">
        <f>IF(mental_health[Daily_Screen_Time]&lt;=4,"Low",IF(mental_health[Daily_Screen_Time]&lt;=8,"Medium","High"))</f>
        <v>Medium</v>
      </c>
    </row>
    <row r="1866" spans="1:22" x14ac:dyDescent="0.3">
      <c r="A1866">
        <v>1865</v>
      </c>
      <c r="B1866">
        <v>21</v>
      </c>
      <c r="C1866" t="s">
        <v>18</v>
      </c>
      <c r="D1866" t="s">
        <v>19</v>
      </c>
      <c r="E1866">
        <v>11.1</v>
      </c>
      <c r="F1866">
        <v>5.3</v>
      </c>
      <c r="G1866">
        <v>1</v>
      </c>
      <c r="H1866" t="str">
        <f t="shared" si="29"/>
        <v>Night Usage</v>
      </c>
      <c r="I1866">
        <v>4.5</v>
      </c>
      <c r="J1866" s="3">
        <v>10</v>
      </c>
      <c r="K1866">
        <v>10.3</v>
      </c>
      <c r="L1866" t="s">
        <v>21</v>
      </c>
      <c r="M1866">
        <v>10</v>
      </c>
      <c r="N1866">
        <v>1</v>
      </c>
      <c r="O1866">
        <v>0</v>
      </c>
      <c r="P1866">
        <v>1</v>
      </c>
      <c r="Q1866">
        <v>1</v>
      </c>
      <c r="R1866">
        <v>1</v>
      </c>
      <c r="S1866">
        <v>1</v>
      </c>
      <c r="T1866" t="str">
        <f>IF(mental_health[Sleep_Hours]&lt;5,"Low",IF(mental_health[Sleep_Hours]&lt;7,"Medium","Good"))</f>
        <v>Low</v>
      </c>
      <c r="U1866" t="str">
        <f>IF(mental_health[Stress_Level]&lt;=3,"Low",IF(mental_health[Stress_Level]&lt;=7,"Medium","High"))</f>
        <v>High</v>
      </c>
      <c r="V1866" t="str">
        <f>IF(mental_health[Daily_Screen_Time]&lt;=4,"Low",IF(mental_health[Daily_Screen_Time]&lt;=8,"Medium","High"))</f>
        <v>High</v>
      </c>
    </row>
    <row r="1867" spans="1:22" x14ac:dyDescent="0.3">
      <c r="A1867">
        <v>1866</v>
      </c>
      <c r="B1867">
        <v>32</v>
      </c>
      <c r="C1867" t="s">
        <v>23</v>
      </c>
      <c r="D1867" t="s">
        <v>24</v>
      </c>
      <c r="E1867">
        <v>4.0999999999999996</v>
      </c>
      <c r="F1867">
        <v>4.4000000000000004</v>
      </c>
      <c r="G1867">
        <v>1</v>
      </c>
      <c r="H1867" t="str">
        <f t="shared" si="29"/>
        <v>Night Usage</v>
      </c>
      <c r="I1867">
        <v>7.4</v>
      </c>
      <c r="J1867" s="3">
        <v>10</v>
      </c>
      <c r="K1867">
        <v>3</v>
      </c>
      <c r="L1867" t="s">
        <v>21</v>
      </c>
      <c r="M1867">
        <v>7</v>
      </c>
      <c r="N1867">
        <v>1</v>
      </c>
      <c r="O1867">
        <v>0</v>
      </c>
      <c r="P1867">
        <v>1</v>
      </c>
      <c r="Q1867">
        <v>1</v>
      </c>
      <c r="R1867">
        <v>0</v>
      </c>
      <c r="S1867">
        <v>1</v>
      </c>
      <c r="T1867" t="str">
        <f>IF(mental_health[Sleep_Hours]&lt;5,"Low",IF(mental_health[Sleep_Hours]&lt;7,"Medium","Good"))</f>
        <v>Good</v>
      </c>
      <c r="U1867" t="str">
        <f>IF(mental_health[Stress_Level]&lt;=3,"Low",IF(mental_health[Stress_Level]&lt;=7,"Medium","High"))</f>
        <v>High</v>
      </c>
      <c r="V1867" t="str">
        <f>IF(mental_health[Daily_Screen_Time]&lt;=4,"Low",IF(mental_health[Daily_Screen_Time]&lt;=8,"Medium","High"))</f>
        <v>Medium</v>
      </c>
    </row>
    <row r="1868" spans="1:22" x14ac:dyDescent="0.3">
      <c r="A1868">
        <v>1867</v>
      </c>
      <c r="B1868">
        <v>40</v>
      </c>
      <c r="C1868" t="s">
        <v>18</v>
      </c>
      <c r="D1868" t="s">
        <v>24</v>
      </c>
      <c r="E1868">
        <v>3.4</v>
      </c>
      <c r="F1868">
        <v>1.7</v>
      </c>
      <c r="G1868">
        <v>0</v>
      </c>
      <c r="H1868" t="str">
        <f t="shared" si="29"/>
        <v>No Night Usage</v>
      </c>
      <c r="I1868">
        <v>5.6</v>
      </c>
      <c r="J1868" s="3">
        <v>3</v>
      </c>
      <c r="K1868">
        <v>3.1</v>
      </c>
      <c r="L1868" t="s">
        <v>20</v>
      </c>
      <c r="M1868">
        <v>2</v>
      </c>
      <c r="N1868">
        <v>4</v>
      </c>
      <c r="O1868">
        <v>0</v>
      </c>
      <c r="P1868">
        <v>1</v>
      </c>
      <c r="Q1868">
        <v>0</v>
      </c>
      <c r="R1868">
        <v>0</v>
      </c>
      <c r="S1868">
        <v>0</v>
      </c>
      <c r="T1868" t="str">
        <f>IF(mental_health[Sleep_Hours]&lt;5,"Low",IF(mental_health[Sleep_Hours]&lt;7,"Medium","Good"))</f>
        <v>Medium</v>
      </c>
      <c r="U1868" t="str">
        <f>IF(mental_health[Stress_Level]&lt;=3,"Low",IF(mental_health[Stress_Level]&lt;=7,"Medium","High"))</f>
        <v>Low</v>
      </c>
      <c r="V1868" t="str">
        <f>IF(mental_health[Daily_Screen_Time]&lt;=4,"Low",IF(mental_health[Daily_Screen_Time]&lt;=8,"Medium","High"))</f>
        <v>Low</v>
      </c>
    </row>
    <row r="1869" spans="1:22" x14ac:dyDescent="0.3">
      <c r="A1869">
        <v>1868</v>
      </c>
      <c r="B1869">
        <v>43</v>
      </c>
      <c r="C1869" t="s">
        <v>23</v>
      </c>
      <c r="D1869" t="s">
        <v>24</v>
      </c>
      <c r="E1869">
        <v>9.6</v>
      </c>
      <c r="F1869">
        <v>6.4</v>
      </c>
      <c r="G1869">
        <v>1</v>
      </c>
      <c r="H1869" t="str">
        <f t="shared" si="29"/>
        <v>Night Usage</v>
      </c>
      <c r="I1869">
        <v>4.8</v>
      </c>
      <c r="J1869" s="3">
        <v>8</v>
      </c>
      <c r="K1869">
        <v>11</v>
      </c>
      <c r="L1869" t="s">
        <v>25</v>
      </c>
      <c r="M1869">
        <v>5</v>
      </c>
      <c r="N1869">
        <v>1</v>
      </c>
      <c r="O1869">
        <v>1</v>
      </c>
      <c r="P1869">
        <v>0</v>
      </c>
      <c r="Q1869">
        <v>0</v>
      </c>
      <c r="R1869">
        <v>0</v>
      </c>
      <c r="S1869">
        <v>0</v>
      </c>
      <c r="T1869" t="str">
        <f>IF(mental_health[Sleep_Hours]&lt;5,"Low",IF(mental_health[Sleep_Hours]&lt;7,"Medium","Good"))</f>
        <v>Low</v>
      </c>
      <c r="U1869" t="str">
        <f>IF(mental_health[Stress_Level]&lt;=3,"Low",IF(mental_health[Stress_Level]&lt;=7,"Medium","High"))</f>
        <v>High</v>
      </c>
      <c r="V1869" t="str">
        <f>IF(mental_health[Daily_Screen_Time]&lt;=4,"Low",IF(mental_health[Daily_Screen_Time]&lt;=8,"Medium","High"))</f>
        <v>High</v>
      </c>
    </row>
    <row r="1870" spans="1:22" x14ac:dyDescent="0.3">
      <c r="A1870">
        <v>1869</v>
      </c>
      <c r="B1870">
        <v>17</v>
      </c>
      <c r="C1870" t="s">
        <v>23</v>
      </c>
      <c r="D1870" t="s">
        <v>22</v>
      </c>
      <c r="E1870">
        <v>7</v>
      </c>
      <c r="F1870">
        <v>6.2</v>
      </c>
      <c r="G1870">
        <v>1</v>
      </c>
      <c r="H1870" t="str">
        <f t="shared" si="29"/>
        <v>Night Usage</v>
      </c>
      <c r="I1870">
        <v>5.7</v>
      </c>
      <c r="J1870" s="3">
        <v>10</v>
      </c>
      <c r="K1870">
        <v>7.4</v>
      </c>
      <c r="L1870" t="s">
        <v>25</v>
      </c>
      <c r="M1870">
        <v>8</v>
      </c>
      <c r="N1870">
        <v>3</v>
      </c>
      <c r="O1870">
        <v>0</v>
      </c>
      <c r="P1870">
        <v>0</v>
      </c>
      <c r="Q1870">
        <v>1</v>
      </c>
      <c r="R1870">
        <v>0</v>
      </c>
      <c r="S1870">
        <v>1</v>
      </c>
      <c r="T1870" t="str">
        <f>IF(mental_health[Sleep_Hours]&lt;5,"Low",IF(mental_health[Sleep_Hours]&lt;7,"Medium","Good"))</f>
        <v>Medium</v>
      </c>
      <c r="U1870" t="str">
        <f>IF(mental_health[Stress_Level]&lt;=3,"Low",IF(mental_health[Stress_Level]&lt;=7,"Medium","High"))</f>
        <v>High</v>
      </c>
      <c r="V1870" t="str">
        <f>IF(mental_health[Daily_Screen_Time]&lt;=4,"Low",IF(mental_health[Daily_Screen_Time]&lt;=8,"Medium","High"))</f>
        <v>Medium</v>
      </c>
    </row>
    <row r="1871" spans="1:22" x14ac:dyDescent="0.3">
      <c r="A1871">
        <v>1870</v>
      </c>
      <c r="B1871">
        <v>50</v>
      </c>
      <c r="C1871" t="s">
        <v>23</v>
      </c>
      <c r="D1871" t="s">
        <v>19</v>
      </c>
      <c r="E1871">
        <v>11.1</v>
      </c>
      <c r="F1871">
        <v>3.2</v>
      </c>
      <c r="G1871">
        <v>0</v>
      </c>
      <c r="H1871" t="str">
        <f t="shared" si="29"/>
        <v>No Night Usage</v>
      </c>
      <c r="I1871">
        <v>3.4</v>
      </c>
      <c r="J1871" s="3">
        <v>1</v>
      </c>
      <c r="K1871">
        <v>9.1999999999999993</v>
      </c>
      <c r="L1871" t="s">
        <v>21</v>
      </c>
      <c r="M1871">
        <v>1</v>
      </c>
      <c r="N1871">
        <v>1</v>
      </c>
      <c r="O1871">
        <v>0</v>
      </c>
      <c r="P1871">
        <v>0</v>
      </c>
      <c r="Q1871">
        <v>0</v>
      </c>
      <c r="R1871">
        <v>1</v>
      </c>
      <c r="S1871">
        <v>1</v>
      </c>
      <c r="T1871" t="str">
        <f>IF(mental_health[Sleep_Hours]&lt;5,"Low",IF(mental_health[Sleep_Hours]&lt;7,"Medium","Good"))</f>
        <v>Low</v>
      </c>
      <c r="U1871" t="str">
        <f>IF(mental_health[Stress_Level]&lt;=3,"Low",IF(mental_health[Stress_Level]&lt;=7,"Medium","High"))</f>
        <v>Low</v>
      </c>
      <c r="V1871" t="str">
        <f>IF(mental_health[Daily_Screen_Time]&lt;=4,"Low",IF(mental_health[Daily_Screen_Time]&lt;=8,"Medium","High"))</f>
        <v>High</v>
      </c>
    </row>
    <row r="1872" spans="1:22" x14ac:dyDescent="0.3">
      <c r="A1872">
        <v>1871</v>
      </c>
      <c r="B1872">
        <v>52</v>
      </c>
      <c r="C1872" t="s">
        <v>18</v>
      </c>
      <c r="D1872" t="s">
        <v>19</v>
      </c>
      <c r="E1872">
        <v>3.5</v>
      </c>
      <c r="F1872">
        <v>3.1</v>
      </c>
      <c r="G1872">
        <v>1</v>
      </c>
      <c r="H1872" t="str">
        <f t="shared" si="29"/>
        <v>Night Usage</v>
      </c>
      <c r="I1872">
        <v>7.8</v>
      </c>
      <c r="J1872" s="3">
        <v>2</v>
      </c>
      <c r="K1872">
        <v>4.3</v>
      </c>
      <c r="L1872" t="s">
        <v>20</v>
      </c>
      <c r="M1872">
        <v>1</v>
      </c>
      <c r="N1872">
        <v>2</v>
      </c>
      <c r="O1872">
        <v>0</v>
      </c>
      <c r="P1872">
        <v>1</v>
      </c>
      <c r="Q1872">
        <v>0</v>
      </c>
      <c r="R1872">
        <v>0</v>
      </c>
      <c r="S1872">
        <v>0</v>
      </c>
      <c r="T1872" t="str">
        <f>IF(mental_health[Sleep_Hours]&lt;5,"Low",IF(mental_health[Sleep_Hours]&lt;7,"Medium","Good"))</f>
        <v>Good</v>
      </c>
      <c r="U1872" t="str">
        <f>IF(mental_health[Stress_Level]&lt;=3,"Low",IF(mental_health[Stress_Level]&lt;=7,"Medium","High"))</f>
        <v>Low</v>
      </c>
      <c r="V1872" t="str">
        <f>IF(mental_health[Daily_Screen_Time]&lt;=4,"Low",IF(mental_health[Daily_Screen_Time]&lt;=8,"Medium","High"))</f>
        <v>Low</v>
      </c>
    </row>
    <row r="1873" spans="1:22" x14ac:dyDescent="0.3">
      <c r="A1873">
        <v>1872</v>
      </c>
      <c r="B1873">
        <v>20</v>
      </c>
      <c r="C1873" t="s">
        <v>18</v>
      </c>
      <c r="D1873" t="s">
        <v>24</v>
      </c>
      <c r="E1873">
        <v>8.5</v>
      </c>
      <c r="F1873">
        <v>6.9</v>
      </c>
      <c r="G1873">
        <v>1</v>
      </c>
      <c r="H1873" t="str">
        <f t="shared" si="29"/>
        <v>Night Usage</v>
      </c>
      <c r="I1873">
        <v>4.5</v>
      </c>
      <c r="J1873" s="3">
        <v>3</v>
      </c>
      <c r="K1873">
        <v>3.7</v>
      </c>
      <c r="L1873" t="s">
        <v>20</v>
      </c>
      <c r="M1873">
        <v>3</v>
      </c>
      <c r="N1873">
        <v>1</v>
      </c>
      <c r="O1873">
        <v>1</v>
      </c>
      <c r="P1873">
        <v>1</v>
      </c>
      <c r="Q1873">
        <v>1</v>
      </c>
      <c r="R1873">
        <v>1</v>
      </c>
      <c r="S1873">
        <v>1</v>
      </c>
      <c r="T1873" t="str">
        <f>IF(mental_health[Sleep_Hours]&lt;5,"Low",IF(mental_health[Sleep_Hours]&lt;7,"Medium","Good"))</f>
        <v>Low</v>
      </c>
      <c r="U1873" t="str">
        <f>IF(mental_health[Stress_Level]&lt;=3,"Low",IF(mental_health[Stress_Level]&lt;=7,"Medium","High"))</f>
        <v>Low</v>
      </c>
      <c r="V1873" t="str">
        <f>IF(mental_health[Daily_Screen_Time]&lt;=4,"Low",IF(mental_health[Daily_Screen_Time]&lt;=8,"Medium","High"))</f>
        <v>High</v>
      </c>
    </row>
    <row r="1874" spans="1:22" x14ac:dyDescent="0.3">
      <c r="A1874">
        <v>1873</v>
      </c>
      <c r="B1874">
        <v>16</v>
      </c>
      <c r="C1874" t="s">
        <v>18</v>
      </c>
      <c r="D1874" t="s">
        <v>22</v>
      </c>
      <c r="E1874">
        <v>4.3</v>
      </c>
      <c r="F1874">
        <v>1.5</v>
      </c>
      <c r="G1874">
        <v>0</v>
      </c>
      <c r="H1874" t="str">
        <f t="shared" si="29"/>
        <v>No Night Usage</v>
      </c>
      <c r="I1874">
        <v>7.4</v>
      </c>
      <c r="J1874" s="3">
        <v>3</v>
      </c>
      <c r="K1874">
        <v>10.3</v>
      </c>
      <c r="L1874" t="s">
        <v>21</v>
      </c>
      <c r="M1874">
        <v>3</v>
      </c>
      <c r="N1874">
        <v>2</v>
      </c>
      <c r="O1874">
        <v>1</v>
      </c>
      <c r="P1874">
        <v>1</v>
      </c>
      <c r="Q1874">
        <v>1</v>
      </c>
      <c r="R1874">
        <v>0</v>
      </c>
      <c r="S1874">
        <v>0</v>
      </c>
      <c r="T1874" t="str">
        <f>IF(mental_health[Sleep_Hours]&lt;5,"Low",IF(mental_health[Sleep_Hours]&lt;7,"Medium","Good"))</f>
        <v>Good</v>
      </c>
      <c r="U1874" t="str">
        <f>IF(mental_health[Stress_Level]&lt;=3,"Low",IF(mental_health[Stress_Level]&lt;=7,"Medium","High"))</f>
        <v>Low</v>
      </c>
      <c r="V1874" t="str">
        <f>IF(mental_health[Daily_Screen_Time]&lt;=4,"Low",IF(mental_health[Daily_Screen_Time]&lt;=8,"Medium","High"))</f>
        <v>Medium</v>
      </c>
    </row>
    <row r="1875" spans="1:22" x14ac:dyDescent="0.3">
      <c r="A1875">
        <v>1874</v>
      </c>
      <c r="B1875">
        <v>55</v>
      </c>
      <c r="C1875" t="s">
        <v>18</v>
      </c>
      <c r="D1875" t="s">
        <v>24</v>
      </c>
      <c r="E1875">
        <v>3.6</v>
      </c>
      <c r="F1875">
        <v>7.2</v>
      </c>
      <c r="G1875">
        <v>1</v>
      </c>
      <c r="H1875" t="str">
        <f t="shared" si="29"/>
        <v>Night Usage</v>
      </c>
      <c r="I1875">
        <v>3.4</v>
      </c>
      <c r="J1875" s="3">
        <v>8</v>
      </c>
      <c r="K1875">
        <v>5.6</v>
      </c>
      <c r="L1875" t="s">
        <v>20</v>
      </c>
      <c r="M1875">
        <v>7</v>
      </c>
      <c r="N1875">
        <v>1</v>
      </c>
      <c r="O1875">
        <v>1</v>
      </c>
      <c r="P1875">
        <v>1</v>
      </c>
      <c r="Q1875">
        <v>0</v>
      </c>
      <c r="R1875">
        <v>0</v>
      </c>
      <c r="S1875">
        <v>1</v>
      </c>
      <c r="T1875" t="str">
        <f>IF(mental_health[Sleep_Hours]&lt;5,"Low",IF(mental_health[Sleep_Hours]&lt;7,"Medium","Good"))</f>
        <v>Low</v>
      </c>
      <c r="U1875" t="str">
        <f>IF(mental_health[Stress_Level]&lt;=3,"Low",IF(mental_health[Stress_Level]&lt;=7,"Medium","High"))</f>
        <v>High</v>
      </c>
      <c r="V1875" t="str">
        <f>IF(mental_health[Daily_Screen_Time]&lt;=4,"Low",IF(mental_health[Daily_Screen_Time]&lt;=8,"Medium","High"))</f>
        <v>Low</v>
      </c>
    </row>
    <row r="1876" spans="1:22" x14ac:dyDescent="0.3">
      <c r="A1876">
        <v>1875</v>
      </c>
      <c r="B1876">
        <v>27</v>
      </c>
      <c r="C1876" t="s">
        <v>23</v>
      </c>
      <c r="D1876" t="s">
        <v>22</v>
      </c>
      <c r="E1876">
        <v>8.8000000000000007</v>
      </c>
      <c r="F1876">
        <v>2.8</v>
      </c>
      <c r="G1876">
        <v>1</v>
      </c>
      <c r="H1876" t="str">
        <f t="shared" si="29"/>
        <v>Night Usage</v>
      </c>
      <c r="I1876">
        <v>8.6999999999999993</v>
      </c>
      <c r="J1876" s="3">
        <v>5</v>
      </c>
      <c r="K1876">
        <v>6.6</v>
      </c>
      <c r="L1876" t="s">
        <v>20</v>
      </c>
      <c r="M1876">
        <v>6</v>
      </c>
      <c r="N1876">
        <v>1</v>
      </c>
      <c r="O1876">
        <v>0</v>
      </c>
      <c r="P1876">
        <v>0</v>
      </c>
      <c r="Q1876">
        <v>0</v>
      </c>
      <c r="R1876">
        <v>0</v>
      </c>
      <c r="S1876">
        <v>0</v>
      </c>
      <c r="T1876" t="str">
        <f>IF(mental_health[Sleep_Hours]&lt;5,"Low",IF(mental_health[Sleep_Hours]&lt;7,"Medium","Good"))</f>
        <v>Good</v>
      </c>
      <c r="U1876" t="str">
        <f>IF(mental_health[Stress_Level]&lt;=3,"Low",IF(mental_health[Stress_Level]&lt;=7,"Medium","High"))</f>
        <v>Medium</v>
      </c>
      <c r="V1876" t="str">
        <f>IF(mental_health[Daily_Screen_Time]&lt;=4,"Low",IF(mental_health[Daily_Screen_Time]&lt;=8,"Medium","High"))</f>
        <v>High</v>
      </c>
    </row>
    <row r="1877" spans="1:22" x14ac:dyDescent="0.3">
      <c r="A1877">
        <v>1876</v>
      </c>
      <c r="B1877">
        <v>51</v>
      </c>
      <c r="C1877" t="s">
        <v>23</v>
      </c>
      <c r="D1877" t="s">
        <v>22</v>
      </c>
      <c r="E1877">
        <v>7.9</v>
      </c>
      <c r="F1877">
        <v>5.2</v>
      </c>
      <c r="G1877">
        <v>0</v>
      </c>
      <c r="H1877" t="str">
        <f t="shared" si="29"/>
        <v>No Night Usage</v>
      </c>
      <c r="I1877">
        <v>4.2</v>
      </c>
      <c r="J1877" s="3">
        <v>8</v>
      </c>
      <c r="K1877">
        <v>2.2999999999999998</v>
      </c>
      <c r="L1877" t="s">
        <v>20</v>
      </c>
      <c r="M1877">
        <v>7</v>
      </c>
      <c r="N1877">
        <v>3</v>
      </c>
      <c r="O1877">
        <v>0</v>
      </c>
      <c r="P1877">
        <v>1</v>
      </c>
      <c r="Q1877">
        <v>1</v>
      </c>
      <c r="R1877">
        <v>1</v>
      </c>
      <c r="S1877">
        <v>1</v>
      </c>
      <c r="T1877" t="str">
        <f>IF(mental_health[Sleep_Hours]&lt;5,"Low",IF(mental_health[Sleep_Hours]&lt;7,"Medium","Good"))</f>
        <v>Low</v>
      </c>
      <c r="U1877" t="str">
        <f>IF(mental_health[Stress_Level]&lt;=3,"Low",IF(mental_health[Stress_Level]&lt;=7,"Medium","High"))</f>
        <v>High</v>
      </c>
      <c r="V1877" t="str">
        <f>IF(mental_health[Daily_Screen_Time]&lt;=4,"Low",IF(mental_health[Daily_Screen_Time]&lt;=8,"Medium","High"))</f>
        <v>Medium</v>
      </c>
    </row>
    <row r="1878" spans="1:22" x14ac:dyDescent="0.3">
      <c r="A1878">
        <v>1877</v>
      </c>
      <c r="B1878">
        <v>38</v>
      </c>
      <c r="C1878" t="s">
        <v>18</v>
      </c>
      <c r="D1878" t="s">
        <v>22</v>
      </c>
      <c r="E1878">
        <v>9.5</v>
      </c>
      <c r="F1878">
        <v>7.6</v>
      </c>
      <c r="G1878">
        <v>1</v>
      </c>
      <c r="H1878" t="str">
        <f t="shared" si="29"/>
        <v>Night Usage</v>
      </c>
      <c r="I1878">
        <v>8.3000000000000007</v>
      </c>
      <c r="J1878" s="3">
        <v>6</v>
      </c>
      <c r="K1878">
        <v>5.9</v>
      </c>
      <c r="L1878" t="s">
        <v>21</v>
      </c>
      <c r="M1878">
        <v>4</v>
      </c>
      <c r="N1878">
        <v>2</v>
      </c>
      <c r="O1878">
        <v>0</v>
      </c>
      <c r="P1878">
        <v>0</v>
      </c>
      <c r="Q1878">
        <v>1</v>
      </c>
      <c r="R1878">
        <v>1</v>
      </c>
      <c r="S1878">
        <v>0</v>
      </c>
      <c r="T1878" t="str">
        <f>IF(mental_health[Sleep_Hours]&lt;5,"Low",IF(mental_health[Sleep_Hours]&lt;7,"Medium","Good"))</f>
        <v>Good</v>
      </c>
      <c r="U1878" t="str">
        <f>IF(mental_health[Stress_Level]&lt;=3,"Low",IF(mental_health[Stress_Level]&lt;=7,"Medium","High"))</f>
        <v>Medium</v>
      </c>
      <c r="V1878" t="str">
        <f>IF(mental_health[Daily_Screen_Time]&lt;=4,"Low",IF(mental_health[Daily_Screen_Time]&lt;=8,"Medium","High"))</f>
        <v>High</v>
      </c>
    </row>
    <row r="1879" spans="1:22" x14ac:dyDescent="0.3">
      <c r="A1879">
        <v>1878</v>
      </c>
      <c r="B1879">
        <v>46</v>
      </c>
      <c r="C1879" t="s">
        <v>23</v>
      </c>
      <c r="D1879" t="s">
        <v>22</v>
      </c>
      <c r="E1879">
        <v>5.0999999999999996</v>
      </c>
      <c r="F1879">
        <v>5.7</v>
      </c>
      <c r="G1879">
        <v>1</v>
      </c>
      <c r="H1879" t="str">
        <f t="shared" si="29"/>
        <v>Night Usage</v>
      </c>
      <c r="I1879">
        <v>7.9</v>
      </c>
      <c r="J1879" s="3">
        <v>2</v>
      </c>
      <c r="K1879">
        <v>9.6999999999999993</v>
      </c>
      <c r="L1879" t="s">
        <v>21</v>
      </c>
      <c r="M1879">
        <v>2</v>
      </c>
      <c r="N1879">
        <v>2</v>
      </c>
      <c r="O1879">
        <v>1</v>
      </c>
      <c r="P1879">
        <v>1</v>
      </c>
      <c r="Q1879">
        <v>0</v>
      </c>
      <c r="R1879">
        <v>1</v>
      </c>
      <c r="S1879">
        <v>0</v>
      </c>
      <c r="T1879" t="str">
        <f>IF(mental_health[Sleep_Hours]&lt;5,"Low",IF(mental_health[Sleep_Hours]&lt;7,"Medium","Good"))</f>
        <v>Good</v>
      </c>
      <c r="U1879" t="str">
        <f>IF(mental_health[Stress_Level]&lt;=3,"Low",IF(mental_health[Stress_Level]&lt;=7,"Medium","High"))</f>
        <v>Low</v>
      </c>
      <c r="V1879" t="str">
        <f>IF(mental_health[Daily_Screen_Time]&lt;=4,"Low",IF(mental_health[Daily_Screen_Time]&lt;=8,"Medium","High"))</f>
        <v>Medium</v>
      </c>
    </row>
    <row r="1880" spans="1:22" x14ac:dyDescent="0.3">
      <c r="A1880">
        <v>1879</v>
      </c>
      <c r="B1880">
        <v>26</v>
      </c>
      <c r="C1880" t="s">
        <v>23</v>
      </c>
      <c r="D1880" t="s">
        <v>19</v>
      </c>
      <c r="E1880">
        <v>6.5</v>
      </c>
      <c r="F1880">
        <v>3.9</v>
      </c>
      <c r="G1880">
        <v>1</v>
      </c>
      <c r="H1880" t="str">
        <f t="shared" si="29"/>
        <v>Night Usage</v>
      </c>
      <c r="I1880">
        <v>8.8000000000000007</v>
      </c>
      <c r="J1880" s="3">
        <v>4</v>
      </c>
      <c r="K1880">
        <v>10.199999999999999</v>
      </c>
      <c r="L1880" t="s">
        <v>21</v>
      </c>
      <c r="M1880">
        <v>2</v>
      </c>
      <c r="N1880">
        <v>4</v>
      </c>
      <c r="O1880">
        <v>0</v>
      </c>
      <c r="P1880">
        <v>0</v>
      </c>
      <c r="Q1880">
        <v>0</v>
      </c>
      <c r="R1880">
        <v>1</v>
      </c>
      <c r="S1880">
        <v>1</v>
      </c>
      <c r="T1880" t="str">
        <f>IF(mental_health[Sleep_Hours]&lt;5,"Low",IF(mental_health[Sleep_Hours]&lt;7,"Medium","Good"))</f>
        <v>Good</v>
      </c>
      <c r="U1880" t="str">
        <f>IF(mental_health[Stress_Level]&lt;=3,"Low",IF(mental_health[Stress_Level]&lt;=7,"Medium","High"))</f>
        <v>Medium</v>
      </c>
      <c r="V1880" t="str">
        <f>IF(mental_health[Daily_Screen_Time]&lt;=4,"Low",IF(mental_health[Daily_Screen_Time]&lt;=8,"Medium","High"))</f>
        <v>Medium</v>
      </c>
    </row>
    <row r="1881" spans="1:22" x14ac:dyDescent="0.3">
      <c r="A1881">
        <v>1880</v>
      </c>
      <c r="B1881">
        <v>25</v>
      </c>
      <c r="C1881" t="s">
        <v>18</v>
      </c>
      <c r="D1881" t="s">
        <v>22</v>
      </c>
      <c r="E1881">
        <v>6.1</v>
      </c>
      <c r="F1881">
        <v>5.8</v>
      </c>
      <c r="G1881">
        <v>0</v>
      </c>
      <c r="H1881" t="str">
        <f t="shared" si="29"/>
        <v>No Night Usage</v>
      </c>
      <c r="I1881">
        <v>5.9</v>
      </c>
      <c r="J1881" s="3">
        <v>9</v>
      </c>
      <c r="K1881">
        <v>9</v>
      </c>
      <c r="L1881" t="s">
        <v>25</v>
      </c>
      <c r="M1881">
        <v>10</v>
      </c>
      <c r="N1881">
        <v>1</v>
      </c>
      <c r="O1881">
        <v>1</v>
      </c>
      <c r="P1881">
        <v>0</v>
      </c>
      <c r="Q1881">
        <v>1</v>
      </c>
      <c r="R1881">
        <v>0</v>
      </c>
      <c r="S1881">
        <v>0</v>
      </c>
      <c r="T1881" t="str">
        <f>IF(mental_health[Sleep_Hours]&lt;5,"Low",IF(mental_health[Sleep_Hours]&lt;7,"Medium","Good"))</f>
        <v>Medium</v>
      </c>
      <c r="U1881" t="str">
        <f>IF(mental_health[Stress_Level]&lt;=3,"Low",IF(mental_health[Stress_Level]&lt;=7,"Medium","High"))</f>
        <v>High</v>
      </c>
      <c r="V1881" t="str">
        <f>IF(mental_health[Daily_Screen_Time]&lt;=4,"Low",IF(mental_health[Daily_Screen_Time]&lt;=8,"Medium","High"))</f>
        <v>Medium</v>
      </c>
    </row>
    <row r="1882" spans="1:22" x14ac:dyDescent="0.3">
      <c r="A1882">
        <v>1881</v>
      </c>
      <c r="B1882">
        <v>18</v>
      </c>
      <c r="C1882" t="s">
        <v>23</v>
      </c>
      <c r="D1882" t="s">
        <v>22</v>
      </c>
      <c r="E1882">
        <v>11.8</v>
      </c>
      <c r="F1882">
        <v>3.4</v>
      </c>
      <c r="G1882">
        <v>0</v>
      </c>
      <c r="H1882" t="str">
        <f t="shared" si="29"/>
        <v>No Night Usage</v>
      </c>
      <c r="I1882">
        <v>7.4</v>
      </c>
      <c r="J1882" s="3">
        <v>4</v>
      </c>
      <c r="K1882">
        <v>8.9</v>
      </c>
      <c r="L1882" t="s">
        <v>25</v>
      </c>
      <c r="M1882">
        <v>1</v>
      </c>
      <c r="N1882">
        <v>1</v>
      </c>
      <c r="O1882">
        <v>1</v>
      </c>
      <c r="P1882">
        <v>1</v>
      </c>
      <c r="Q1882">
        <v>1</v>
      </c>
      <c r="R1882">
        <v>0</v>
      </c>
      <c r="S1882">
        <v>1</v>
      </c>
      <c r="T1882" t="str">
        <f>IF(mental_health[Sleep_Hours]&lt;5,"Low",IF(mental_health[Sleep_Hours]&lt;7,"Medium","Good"))</f>
        <v>Good</v>
      </c>
      <c r="U1882" t="str">
        <f>IF(mental_health[Stress_Level]&lt;=3,"Low",IF(mental_health[Stress_Level]&lt;=7,"Medium","High"))</f>
        <v>Medium</v>
      </c>
      <c r="V1882" t="str">
        <f>IF(mental_health[Daily_Screen_Time]&lt;=4,"Low",IF(mental_health[Daily_Screen_Time]&lt;=8,"Medium","High"))</f>
        <v>High</v>
      </c>
    </row>
    <row r="1883" spans="1:22" x14ac:dyDescent="0.3">
      <c r="A1883">
        <v>1882</v>
      </c>
      <c r="B1883">
        <v>29</v>
      </c>
      <c r="C1883" t="s">
        <v>18</v>
      </c>
      <c r="D1883" t="s">
        <v>24</v>
      </c>
      <c r="E1883">
        <v>4.9000000000000004</v>
      </c>
      <c r="F1883">
        <v>2.9</v>
      </c>
      <c r="G1883">
        <v>1</v>
      </c>
      <c r="H1883" t="str">
        <f t="shared" si="29"/>
        <v>Night Usage</v>
      </c>
      <c r="I1883">
        <v>5.2</v>
      </c>
      <c r="J1883" s="3">
        <v>5</v>
      </c>
      <c r="K1883">
        <v>7.1</v>
      </c>
      <c r="L1883" t="s">
        <v>21</v>
      </c>
      <c r="M1883">
        <v>9</v>
      </c>
      <c r="N1883">
        <v>3</v>
      </c>
      <c r="O1883">
        <v>0</v>
      </c>
      <c r="P1883">
        <v>1</v>
      </c>
      <c r="Q1883">
        <v>0</v>
      </c>
      <c r="R1883">
        <v>1</v>
      </c>
      <c r="S1883">
        <v>1</v>
      </c>
      <c r="T1883" t="str">
        <f>IF(mental_health[Sleep_Hours]&lt;5,"Low",IF(mental_health[Sleep_Hours]&lt;7,"Medium","Good"))</f>
        <v>Medium</v>
      </c>
      <c r="U1883" t="str">
        <f>IF(mental_health[Stress_Level]&lt;=3,"Low",IF(mental_health[Stress_Level]&lt;=7,"Medium","High"))</f>
        <v>Medium</v>
      </c>
      <c r="V1883" t="str">
        <f>IF(mental_health[Daily_Screen_Time]&lt;=4,"Low",IF(mental_health[Daily_Screen_Time]&lt;=8,"Medium","High"))</f>
        <v>Medium</v>
      </c>
    </row>
    <row r="1884" spans="1:22" x14ac:dyDescent="0.3">
      <c r="A1884">
        <v>1883</v>
      </c>
      <c r="B1884">
        <v>31</v>
      </c>
      <c r="C1884" t="s">
        <v>23</v>
      </c>
      <c r="D1884" t="s">
        <v>24</v>
      </c>
      <c r="E1884">
        <v>4.9000000000000004</v>
      </c>
      <c r="F1884">
        <v>8</v>
      </c>
      <c r="G1884">
        <v>1</v>
      </c>
      <c r="H1884" t="str">
        <f t="shared" si="29"/>
        <v>Night Usage</v>
      </c>
      <c r="I1884">
        <v>4.0999999999999996</v>
      </c>
      <c r="J1884" s="3">
        <v>5</v>
      </c>
      <c r="K1884">
        <v>7.4</v>
      </c>
      <c r="L1884" t="s">
        <v>20</v>
      </c>
      <c r="M1884">
        <v>7</v>
      </c>
      <c r="N1884">
        <v>4</v>
      </c>
      <c r="O1884">
        <v>0</v>
      </c>
      <c r="P1884">
        <v>1</v>
      </c>
      <c r="Q1884">
        <v>1</v>
      </c>
      <c r="R1884">
        <v>0</v>
      </c>
      <c r="S1884">
        <v>1</v>
      </c>
      <c r="T1884" t="str">
        <f>IF(mental_health[Sleep_Hours]&lt;5,"Low",IF(mental_health[Sleep_Hours]&lt;7,"Medium","Good"))</f>
        <v>Low</v>
      </c>
      <c r="U1884" t="str">
        <f>IF(mental_health[Stress_Level]&lt;=3,"Low",IF(mental_health[Stress_Level]&lt;=7,"Medium","High"))</f>
        <v>Medium</v>
      </c>
      <c r="V1884" t="str">
        <f>IF(mental_health[Daily_Screen_Time]&lt;=4,"Low",IF(mental_health[Daily_Screen_Time]&lt;=8,"Medium","High"))</f>
        <v>Medium</v>
      </c>
    </row>
    <row r="1885" spans="1:22" x14ac:dyDescent="0.3">
      <c r="A1885">
        <v>1884</v>
      </c>
      <c r="B1885">
        <v>25</v>
      </c>
      <c r="C1885" t="s">
        <v>18</v>
      </c>
      <c r="D1885" t="s">
        <v>19</v>
      </c>
      <c r="E1885">
        <v>5.5</v>
      </c>
      <c r="F1885">
        <v>6.3</v>
      </c>
      <c r="G1885">
        <v>0</v>
      </c>
      <c r="H1885" t="str">
        <f t="shared" si="29"/>
        <v>No Night Usage</v>
      </c>
      <c r="I1885">
        <v>5.7</v>
      </c>
      <c r="J1885" s="3">
        <v>10</v>
      </c>
      <c r="K1885">
        <v>9.4</v>
      </c>
      <c r="L1885" t="s">
        <v>20</v>
      </c>
      <c r="M1885">
        <v>10</v>
      </c>
      <c r="N1885">
        <v>4</v>
      </c>
      <c r="O1885">
        <v>1</v>
      </c>
      <c r="P1885">
        <v>0</v>
      </c>
      <c r="Q1885">
        <v>1</v>
      </c>
      <c r="R1885">
        <v>1</v>
      </c>
      <c r="S1885">
        <v>0</v>
      </c>
      <c r="T1885" t="str">
        <f>IF(mental_health[Sleep_Hours]&lt;5,"Low",IF(mental_health[Sleep_Hours]&lt;7,"Medium","Good"))</f>
        <v>Medium</v>
      </c>
      <c r="U1885" t="str">
        <f>IF(mental_health[Stress_Level]&lt;=3,"Low",IF(mental_health[Stress_Level]&lt;=7,"Medium","High"))</f>
        <v>High</v>
      </c>
      <c r="V1885" t="str">
        <f>IF(mental_health[Daily_Screen_Time]&lt;=4,"Low",IF(mental_health[Daily_Screen_Time]&lt;=8,"Medium","High"))</f>
        <v>Medium</v>
      </c>
    </row>
    <row r="1886" spans="1:22" x14ac:dyDescent="0.3">
      <c r="A1886">
        <v>1885</v>
      </c>
      <c r="B1886">
        <v>44</v>
      </c>
      <c r="C1886" t="s">
        <v>23</v>
      </c>
      <c r="D1886" t="s">
        <v>24</v>
      </c>
      <c r="E1886">
        <v>7.6</v>
      </c>
      <c r="F1886">
        <v>5.5</v>
      </c>
      <c r="G1886">
        <v>0</v>
      </c>
      <c r="H1886" t="str">
        <f t="shared" si="29"/>
        <v>No Night Usage</v>
      </c>
      <c r="I1886">
        <v>4</v>
      </c>
      <c r="J1886" s="3">
        <v>8</v>
      </c>
      <c r="K1886">
        <v>4.5</v>
      </c>
      <c r="L1886" t="s">
        <v>21</v>
      </c>
      <c r="M1886">
        <v>3</v>
      </c>
      <c r="N1886">
        <v>3</v>
      </c>
      <c r="O1886">
        <v>0</v>
      </c>
      <c r="P1886">
        <v>1</v>
      </c>
      <c r="Q1886">
        <v>1</v>
      </c>
      <c r="R1886">
        <v>0</v>
      </c>
      <c r="S1886">
        <v>1</v>
      </c>
      <c r="T1886" t="str">
        <f>IF(mental_health[Sleep_Hours]&lt;5,"Low",IF(mental_health[Sleep_Hours]&lt;7,"Medium","Good"))</f>
        <v>Low</v>
      </c>
      <c r="U1886" t="str">
        <f>IF(mental_health[Stress_Level]&lt;=3,"Low",IF(mental_health[Stress_Level]&lt;=7,"Medium","High"))</f>
        <v>High</v>
      </c>
      <c r="V1886" t="str">
        <f>IF(mental_health[Daily_Screen_Time]&lt;=4,"Low",IF(mental_health[Daily_Screen_Time]&lt;=8,"Medium","High"))</f>
        <v>Medium</v>
      </c>
    </row>
    <row r="1887" spans="1:22" x14ac:dyDescent="0.3">
      <c r="A1887">
        <v>1886</v>
      </c>
      <c r="B1887">
        <v>25</v>
      </c>
      <c r="C1887" t="s">
        <v>23</v>
      </c>
      <c r="D1887" t="s">
        <v>22</v>
      </c>
      <c r="E1887">
        <v>4.5</v>
      </c>
      <c r="F1887">
        <v>3.5</v>
      </c>
      <c r="G1887">
        <v>1</v>
      </c>
      <c r="H1887" t="str">
        <f t="shared" si="29"/>
        <v>Night Usage</v>
      </c>
      <c r="I1887">
        <v>8.9</v>
      </c>
      <c r="J1887" s="3">
        <v>6</v>
      </c>
      <c r="K1887">
        <v>4.3</v>
      </c>
      <c r="L1887" t="s">
        <v>20</v>
      </c>
      <c r="M1887">
        <v>2</v>
      </c>
      <c r="N1887">
        <v>2</v>
      </c>
      <c r="O1887">
        <v>1</v>
      </c>
      <c r="P1887">
        <v>0</v>
      </c>
      <c r="Q1887">
        <v>0</v>
      </c>
      <c r="R1887">
        <v>1</v>
      </c>
      <c r="S1887">
        <v>0</v>
      </c>
      <c r="T1887" t="str">
        <f>IF(mental_health[Sleep_Hours]&lt;5,"Low",IF(mental_health[Sleep_Hours]&lt;7,"Medium","Good"))</f>
        <v>Good</v>
      </c>
      <c r="U1887" t="str">
        <f>IF(mental_health[Stress_Level]&lt;=3,"Low",IF(mental_health[Stress_Level]&lt;=7,"Medium","High"))</f>
        <v>Medium</v>
      </c>
      <c r="V1887" t="str">
        <f>IF(mental_health[Daily_Screen_Time]&lt;=4,"Low",IF(mental_health[Daily_Screen_Time]&lt;=8,"Medium","High"))</f>
        <v>Medium</v>
      </c>
    </row>
    <row r="1888" spans="1:22" x14ac:dyDescent="0.3">
      <c r="A1888">
        <v>1887</v>
      </c>
      <c r="B1888">
        <v>27</v>
      </c>
      <c r="C1888" t="s">
        <v>18</v>
      </c>
      <c r="D1888" t="s">
        <v>24</v>
      </c>
      <c r="E1888">
        <v>11.2</v>
      </c>
      <c r="F1888">
        <v>1.3</v>
      </c>
      <c r="G1888">
        <v>0</v>
      </c>
      <c r="H1888" t="str">
        <f t="shared" si="29"/>
        <v>No Night Usage</v>
      </c>
      <c r="I1888">
        <v>3.6</v>
      </c>
      <c r="J1888" s="3">
        <v>10</v>
      </c>
      <c r="K1888">
        <v>11.5</v>
      </c>
      <c r="L1888" t="s">
        <v>20</v>
      </c>
      <c r="M1888">
        <v>3</v>
      </c>
      <c r="N1888">
        <v>0</v>
      </c>
      <c r="O1888">
        <v>1</v>
      </c>
      <c r="P1888">
        <v>1</v>
      </c>
      <c r="Q1888">
        <v>1</v>
      </c>
      <c r="R1888">
        <v>1</v>
      </c>
      <c r="S1888">
        <v>1</v>
      </c>
      <c r="T1888" t="str">
        <f>IF(mental_health[Sleep_Hours]&lt;5,"Low",IF(mental_health[Sleep_Hours]&lt;7,"Medium","Good"))</f>
        <v>Low</v>
      </c>
      <c r="U1888" t="str">
        <f>IF(mental_health[Stress_Level]&lt;=3,"Low",IF(mental_health[Stress_Level]&lt;=7,"Medium","High"))</f>
        <v>High</v>
      </c>
      <c r="V1888" t="str">
        <f>IF(mental_health[Daily_Screen_Time]&lt;=4,"Low",IF(mental_health[Daily_Screen_Time]&lt;=8,"Medium","High"))</f>
        <v>High</v>
      </c>
    </row>
    <row r="1889" spans="1:22" x14ac:dyDescent="0.3">
      <c r="A1889">
        <v>1888</v>
      </c>
      <c r="B1889">
        <v>45</v>
      </c>
      <c r="C1889" t="s">
        <v>18</v>
      </c>
      <c r="D1889" t="s">
        <v>19</v>
      </c>
      <c r="E1889">
        <v>4.7</v>
      </c>
      <c r="F1889">
        <v>1.2</v>
      </c>
      <c r="G1889">
        <v>1</v>
      </c>
      <c r="H1889" t="str">
        <f t="shared" si="29"/>
        <v>Night Usage</v>
      </c>
      <c r="I1889">
        <v>6.5</v>
      </c>
      <c r="J1889" s="3">
        <v>7</v>
      </c>
      <c r="K1889">
        <v>2.2999999999999998</v>
      </c>
      <c r="L1889" t="s">
        <v>25</v>
      </c>
      <c r="M1889">
        <v>7</v>
      </c>
      <c r="N1889">
        <v>3</v>
      </c>
      <c r="O1889">
        <v>0</v>
      </c>
      <c r="P1889">
        <v>0</v>
      </c>
      <c r="Q1889">
        <v>1</v>
      </c>
      <c r="R1889">
        <v>1</v>
      </c>
      <c r="S1889">
        <v>1</v>
      </c>
      <c r="T1889" t="str">
        <f>IF(mental_health[Sleep_Hours]&lt;5,"Low",IF(mental_health[Sleep_Hours]&lt;7,"Medium","Good"))</f>
        <v>Medium</v>
      </c>
      <c r="U1889" t="str">
        <f>IF(mental_health[Stress_Level]&lt;=3,"Low",IF(mental_health[Stress_Level]&lt;=7,"Medium","High"))</f>
        <v>Medium</v>
      </c>
      <c r="V1889" t="str">
        <f>IF(mental_health[Daily_Screen_Time]&lt;=4,"Low",IF(mental_health[Daily_Screen_Time]&lt;=8,"Medium","High"))</f>
        <v>Medium</v>
      </c>
    </row>
    <row r="1890" spans="1:22" x14ac:dyDescent="0.3">
      <c r="A1890">
        <v>1889</v>
      </c>
      <c r="B1890">
        <v>56</v>
      </c>
      <c r="C1890" t="s">
        <v>18</v>
      </c>
      <c r="D1890" t="s">
        <v>24</v>
      </c>
      <c r="E1890">
        <v>11</v>
      </c>
      <c r="F1890">
        <v>4.9000000000000004</v>
      </c>
      <c r="G1890">
        <v>1</v>
      </c>
      <c r="H1890" t="str">
        <f t="shared" si="29"/>
        <v>Night Usage</v>
      </c>
      <c r="I1890">
        <v>6.8</v>
      </c>
      <c r="J1890" s="3">
        <v>6</v>
      </c>
      <c r="K1890">
        <v>3.4</v>
      </c>
      <c r="L1890" t="s">
        <v>20</v>
      </c>
      <c r="M1890">
        <v>5</v>
      </c>
      <c r="N1890">
        <v>2</v>
      </c>
      <c r="O1890">
        <v>0</v>
      </c>
      <c r="P1890">
        <v>1</v>
      </c>
      <c r="Q1890">
        <v>0</v>
      </c>
      <c r="R1890">
        <v>0</v>
      </c>
      <c r="S1890">
        <v>1</v>
      </c>
      <c r="T1890" t="str">
        <f>IF(mental_health[Sleep_Hours]&lt;5,"Low",IF(mental_health[Sleep_Hours]&lt;7,"Medium","Good"))</f>
        <v>Medium</v>
      </c>
      <c r="U1890" t="str">
        <f>IF(mental_health[Stress_Level]&lt;=3,"Low",IF(mental_health[Stress_Level]&lt;=7,"Medium","High"))</f>
        <v>Medium</v>
      </c>
      <c r="V1890" t="str">
        <f>IF(mental_health[Daily_Screen_Time]&lt;=4,"Low",IF(mental_health[Daily_Screen_Time]&lt;=8,"Medium","High"))</f>
        <v>High</v>
      </c>
    </row>
    <row r="1891" spans="1:22" x14ac:dyDescent="0.3">
      <c r="A1891">
        <v>1890</v>
      </c>
      <c r="B1891">
        <v>16</v>
      </c>
      <c r="C1891" t="s">
        <v>18</v>
      </c>
      <c r="D1891" t="s">
        <v>24</v>
      </c>
      <c r="E1891">
        <v>3</v>
      </c>
      <c r="F1891">
        <v>6.3</v>
      </c>
      <c r="G1891">
        <v>0</v>
      </c>
      <c r="H1891" t="str">
        <f t="shared" si="29"/>
        <v>No Night Usage</v>
      </c>
      <c r="I1891">
        <v>6.2</v>
      </c>
      <c r="J1891" s="3">
        <v>5</v>
      </c>
      <c r="K1891">
        <v>7.7</v>
      </c>
      <c r="L1891" t="s">
        <v>20</v>
      </c>
      <c r="M1891">
        <v>3</v>
      </c>
      <c r="N1891">
        <v>4</v>
      </c>
      <c r="O1891">
        <v>0</v>
      </c>
      <c r="P1891">
        <v>0</v>
      </c>
      <c r="Q1891">
        <v>0</v>
      </c>
      <c r="R1891">
        <v>1</v>
      </c>
      <c r="S1891">
        <v>0</v>
      </c>
      <c r="T1891" t="str">
        <f>IF(mental_health[Sleep_Hours]&lt;5,"Low",IF(mental_health[Sleep_Hours]&lt;7,"Medium","Good"))</f>
        <v>Medium</v>
      </c>
      <c r="U1891" t="str">
        <f>IF(mental_health[Stress_Level]&lt;=3,"Low",IF(mental_health[Stress_Level]&lt;=7,"Medium","High"))</f>
        <v>Medium</v>
      </c>
      <c r="V1891" t="str">
        <f>IF(mental_health[Daily_Screen_Time]&lt;=4,"Low",IF(mental_health[Daily_Screen_Time]&lt;=8,"Medium","High"))</f>
        <v>Low</v>
      </c>
    </row>
    <row r="1892" spans="1:22" x14ac:dyDescent="0.3">
      <c r="A1892">
        <v>1891</v>
      </c>
      <c r="B1892">
        <v>20</v>
      </c>
      <c r="C1892" t="s">
        <v>23</v>
      </c>
      <c r="D1892" t="s">
        <v>19</v>
      </c>
      <c r="E1892">
        <v>8.6</v>
      </c>
      <c r="F1892">
        <v>4.8</v>
      </c>
      <c r="G1892">
        <v>0</v>
      </c>
      <c r="H1892" t="str">
        <f t="shared" si="29"/>
        <v>No Night Usage</v>
      </c>
      <c r="I1892">
        <v>7</v>
      </c>
      <c r="J1892" s="3">
        <v>5</v>
      </c>
      <c r="K1892">
        <v>9.4</v>
      </c>
      <c r="L1892" t="s">
        <v>21</v>
      </c>
      <c r="M1892">
        <v>9</v>
      </c>
      <c r="N1892">
        <v>3</v>
      </c>
      <c r="O1892">
        <v>0</v>
      </c>
      <c r="P1892">
        <v>0</v>
      </c>
      <c r="Q1892">
        <v>0</v>
      </c>
      <c r="R1892">
        <v>1</v>
      </c>
      <c r="S1892">
        <v>1</v>
      </c>
      <c r="T1892" t="str">
        <f>IF(mental_health[Sleep_Hours]&lt;5,"Low",IF(mental_health[Sleep_Hours]&lt;7,"Medium","Good"))</f>
        <v>Good</v>
      </c>
      <c r="U1892" t="str">
        <f>IF(mental_health[Stress_Level]&lt;=3,"Low",IF(mental_health[Stress_Level]&lt;=7,"Medium","High"))</f>
        <v>Medium</v>
      </c>
      <c r="V1892" t="str">
        <f>IF(mental_health[Daily_Screen_Time]&lt;=4,"Low",IF(mental_health[Daily_Screen_Time]&lt;=8,"Medium","High"))</f>
        <v>High</v>
      </c>
    </row>
    <row r="1893" spans="1:22" x14ac:dyDescent="0.3">
      <c r="A1893">
        <v>1892</v>
      </c>
      <c r="B1893">
        <v>35</v>
      </c>
      <c r="C1893" t="s">
        <v>23</v>
      </c>
      <c r="D1893" t="s">
        <v>19</v>
      </c>
      <c r="E1893">
        <v>11.1</v>
      </c>
      <c r="F1893">
        <v>6.9</v>
      </c>
      <c r="G1893">
        <v>1</v>
      </c>
      <c r="H1893" t="str">
        <f t="shared" si="29"/>
        <v>Night Usage</v>
      </c>
      <c r="I1893">
        <v>3.7</v>
      </c>
      <c r="J1893" s="3">
        <v>3</v>
      </c>
      <c r="K1893">
        <v>7.4</v>
      </c>
      <c r="L1893" t="s">
        <v>25</v>
      </c>
      <c r="M1893">
        <v>2</v>
      </c>
      <c r="N1893">
        <v>0</v>
      </c>
      <c r="O1893">
        <v>0</v>
      </c>
      <c r="P1893">
        <v>0</v>
      </c>
      <c r="Q1893">
        <v>1</v>
      </c>
      <c r="R1893">
        <v>0</v>
      </c>
      <c r="S1893">
        <v>1</v>
      </c>
      <c r="T1893" t="str">
        <f>IF(mental_health[Sleep_Hours]&lt;5,"Low",IF(mental_health[Sleep_Hours]&lt;7,"Medium","Good"))</f>
        <v>Low</v>
      </c>
      <c r="U1893" t="str">
        <f>IF(mental_health[Stress_Level]&lt;=3,"Low",IF(mental_health[Stress_Level]&lt;=7,"Medium","High"))</f>
        <v>Low</v>
      </c>
      <c r="V1893" t="str">
        <f>IF(mental_health[Daily_Screen_Time]&lt;=4,"Low",IF(mental_health[Daily_Screen_Time]&lt;=8,"Medium","High"))</f>
        <v>High</v>
      </c>
    </row>
    <row r="1894" spans="1:22" x14ac:dyDescent="0.3">
      <c r="A1894">
        <v>1893</v>
      </c>
      <c r="B1894">
        <v>23</v>
      </c>
      <c r="C1894" t="s">
        <v>18</v>
      </c>
      <c r="D1894" t="s">
        <v>22</v>
      </c>
      <c r="E1894">
        <v>3.7</v>
      </c>
      <c r="F1894">
        <v>1.2</v>
      </c>
      <c r="G1894">
        <v>1</v>
      </c>
      <c r="H1894" t="str">
        <f t="shared" si="29"/>
        <v>Night Usage</v>
      </c>
      <c r="I1894">
        <v>6.3</v>
      </c>
      <c r="J1894" s="3">
        <v>7</v>
      </c>
      <c r="K1894">
        <v>5.6</v>
      </c>
      <c r="L1894" t="s">
        <v>25</v>
      </c>
      <c r="M1894">
        <v>7</v>
      </c>
      <c r="N1894">
        <v>1</v>
      </c>
      <c r="O1894">
        <v>0</v>
      </c>
      <c r="P1894">
        <v>1</v>
      </c>
      <c r="Q1894">
        <v>1</v>
      </c>
      <c r="R1894">
        <v>0</v>
      </c>
      <c r="S1894">
        <v>0</v>
      </c>
      <c r="T1894" t="str">
        <f>IF(mental_health[Sleep_Hours]&lt;5,"Low",IF(mental_health[Sleep_Hours]&lt;7,"Medium","Good"))</f>
        <v>Medium</v>
      </c>
      <c r="U1894" t="str">
        <f>IF(mental_health[Stress_Level]&lt;=3,"Low",IF(mental_health[Stress_Level]&lt;=7,"Medium","High"))</f>
        <v>Medium</v>
      </c>
      <c r="V1894" t="str">
        <f>IF(mental_health[Daily_Screen_Time]&lt;=4,"Low",IF(mental_health[Daily_Screen_Time]&lt;=8,"Medium","High"))</f>
        <v>Low</v>
      </c>
    </row>
    <row r="1895" spans="1:22" x14ac:dyDescent="0.3">
      <c r="A1895">
        <v>1894</v>
      </c>
      <c r="B1895">
        <v>58</v>
      </c>
      <c r="C1895" t="s">
        <v>23</v>
      </c>
      <c r="D1895" t="s">
        <v>24</v>
      </c>
      <c r="E1895">
        <v>11.7</v>
      </c>
      <c r="F1895">
        <v>3.6</v>
      </c>
      <c r="G1895">
        <v>0</v>
      </c>
      <c r="H1895" t="str">
        <f t="shared" si="29"/>
        <v>No Night Usage</v>
      </c>
      <c r="I1895">
        <v>4.7</v>
      </c>
      <c r="J1895" s="3">
        <v>10</v>
      </c>
      <c r="K1895">
        <v>11.8</v>
      </c>
      <c r="L1895" t="s">
        <v>20</v>
      </c>
      <c r="M1895">
        <v>10</v>
      </c>
      <c r="N1895">
        <v>3</v>
      </c>
      <c r="O1895">
        <v>0</v>
      </c>
      <c r="P1895">
        <v>0</v>
      </c>
      <c r="Q1895">
        <v>0</v>
      </c>
      <c r="R1895">
        <v>1</v>
      </c>
      <c r="S1895">
        <v>0</v>
      </c>
      <c r="T1895" t="str">
        <f>IF(mental_health[Sleep_Hours]&lt;5,"Low",IF(mental_health[Sleep_Hours]&lt;7,"Medium","Good"))</f>
        <v>Low</v>
      </c>
      <c r="U1895" t="str">
        <f>IF(mental_health[Stress_Level]&lt;=3,"Low",IF(mental_health[Stress_Level]&lt;=7,"Medium","High"))</f>
        <v>High</v>
      </c>
      <c r="V1895" t="str">
        <f>IF(mental_health[Daily_Screen_Time]&lt;=4,"Low",IF(mental_health[Daily_Screen_Time]&lt;=8,"Medium","High"))</f>
        <v>High</v>
      </c>
    </row>
    <row r="1896" spans="1:22" x14ac:dyDescent="0.3">
      <c r="A1896">
        <v>1895</v>
      </c>
      <c r="B1896">
        <v>27</v>
      </c>
      <c r="C1896" t="s">
        <v>18</v>
      </c>
      <c r="D1896" t="s">
        <v>22</v>
      </c>
      <c r="E1896">
        <v>6.5</v>
      </c>
      <c r="F1896">
        <v>2.7</v>
      </c>
      <c r="G1896">
        <v>1</v>
      </c>
      <c r="H1896" t="str">
        <f t="shared" si="29"/>
        <v>Night Usage</v>
      </c>
      <c r="I1896">
        <v>8.6</v>
      </c>
      <c r="J1896" s="3">
        <v>5</v>
      </c>
      <c r="K1896">
        <v>9</v>
      </c>
      <c r="L1896" t="s">
        <v>21</v>
      </c>
      <c r="M1896">
        <v>6</v>
      </c>
      <c r="N1896">
        <v>0</v>
      </c>
      <c r="O1896">
        <v>1</v>
      </c>
      <c r="P1896">
        <v>1</v>
      </c>
      <c r="Q1896">
        <v>0</v>
      </c>
      <c r="R1896">
        <v>0</v>
      </c>
      <c r="S1896">
        <v>1</v>
      </c>
      <c r="T1896" t="str">
        <f>IF(mental_health[Sleep_Hours]&lt;5,"Low",IF(mental_health[Sleep_Hours]&lt;7,"Medium","Good"))</f>
        <v>Good</v>
      </c>
      <c r="U1896" t="str">
        <f>IF(mental_health[Stress_Level]&lt;=3,"Low",IF(mental_health[Stress_Level]&lt;=7,"Medium","High"))</f>
        <v>Medium</v>
      </c>
      <c r="V1896" t="str">
        <f>IF(mental_health[Daily_Screen_Time]&lt;=4,"Low",IF(mental_health[Daily_Screen_Time]&lt;=8,"Medium","High"))</f>
        <v>Medium</v>
      </c>
    </row>
    <row r="1897" spans="1:22" x14ac:dyDescent="0.3">
      <c r="A1897">
        <v>1896</v>
      </c>
      <c r="B1897">
        <v>16</v>
      </c>
      <c r="C1897" t="s">
        <v>18</v>
      </c>
      <c r="D1897" t="s">
        <v>24</v>
      </c>
      <c r="E1897">
        <v>11.5</v>
      </c>
      <c r="F1897">
        <v>4.0999999999999996</v>
      </c>
      <c r="G1897">
        <v>0</v>
      </c>
      <c r="H1897" t="str">
        <f t="shared" si="29"/>
        <v>No Night Usage</v>
      </c>
      <c r="I1897">
        <v>7.6</v>
      </c>
      <c r="J1897" s="3">
        <v>7</v>
      </c>
      <c r="K1897">
        <v>10.3</v>
      </c>
      <c r="L1897" t="s">
        <v>25</v>
      </c>
      <c r="M1897">
        <v>6</v>
      </c>
      <c r="N1897">
        <v>0</v>
      </c>
      <c r="O1897">
        <v>0</v>
      </c>
      <c r="P1897">
        <v>0</v>
      </c>
      <c r="Q1897">
        <v>0</v>
      </c>
      <c r="R1897">
        <v>0</v>
      </c>
      <c r="S1897">
        <v>0</v>
      </c>
      <c r="T1897" t="str">
        <f>IF(mental_health[Sleep_Hours]&lt;5,"Low",IF(mental_health[Sleep_Hours]&lt;7,"Medium","Good"))</f>
        <v>Good</v>
      </c>
      <c r="U1897" t="str">
        <f>IF(mental_health[Stress_Level]&lt;=3,"Low",IF(mental_health[Stress_Level]&lt;=7,"Medium","High"))</f>
        <v>Medium</v>
      </c>
      <c r="V1897" t="str">
        <f>IF(mental_health[Daily_Screen_Time]&lt;=4,"Low",IF(mental_health[Daily_Screen_Time]&lt;=8,"Medium","High"))</f>
        <v>High</v>
      </c>
    </row>
    <row r="1898" spans="1:22" x14ac:dyDescent="0.3">
      <c r="A1898">
        <v>1897</v>
      </c>
      <c r="B1898">
        <v>35</v>
      </c>
      <c r="C1898" t="s">
        <v>23</v>
      </c>
      <c r="D1898" t="s">
        <v>24</v>
      </c>
      <c r="E1898">
        <v>8.8000000000000007</v>
      </c>
      <c r="F1898">
        <v>1.5</v>
      </c>
      <c r="G1898">
        <v>0</v>
      </c>
      <c r="H1898" t="str">
        <f t="shared" si="29"/>
        <v>No Night Usage</v>
      </c>
      <c r="I1898">
        <v>8.8000000000000007</v>
      </c>
      <c r="J1898" s="3">
        <v>2</v>
      </c>
      <c r="K1898">
        <v>2.4</v>
      </c>
      <c r="L1898" t="s">
        <v>25</v>
      </c>
      <c r="M1898">
        <v>7</v>
      </c>
      <c r="N1898">
        <v>3</v>
      </c>
      <c r="O1898">
        <v>0</v>
      </c>
      <c r="P1898">
        <v>1</v>
      </c>
      <c r="Q1898">
        <v>0</v>
      </c>
      <c r="R1898">
        <v>0</v>
      </c>
      <c r="S1898">
        <v>1</v>
      </c>
      <c r="T1898" t="str">
        <f>IF(mental_health[Sleep_Hours]&lt;5,"Low",IF(mental_health[Sleep_Hours]&lt;7,"Medium","Good"))</f>
        <v>Good</v>
      </c>
      <c r="U1898" t="str">
        <f>IF(mental_health[Stress_Level]&lt;=3,"Low",IF(mental_health[Stress_Level]&lt;=7,"Medium","High"))</f>
        <v>Low</v>
      </c>
      <c r="V1898" t="str">
        <f>IF(mental_health[Daily_Screen_Time]&lt;=4,"Low",IF(mental_health[Daily_Screen_Time]&lt;=8,"Medium","High"))</f>
        <v>High</v>
      </c>
    </row>
    <row r="1899" spans="1:22" x14ac:dyDescent="0.3">
      <c r="A1899">
        <v>1898</v>
      </c>
      <c r="B1899">
        <v>43</v>
      </c>
      <c r="C1899" t="s">
        <v>23</v>
      </c>
      <c r="D1899" t="s">
        <v>22</v>
      </c>
      <c r="E1899">
        <v>5</v>
      </c>
      <c r="F1899">
        <v>7.7</v>
      </c>
      <c r="G1899">
        <v>0</v>
      </c>
      <c r="H1899" t="str">
        <f t="shared" si="29"/>
        <v>No Night Usage</v>
      </c>
      <c r="I1899">
        <v>3.2</v>
      </c>
      <c r="J1899" s="3">
        <v>9</v>
      </c>
      <c r="K1899">
        <v>4.4000000000000004</v>
      </c>
      <c r="L1899" t="s">
        <v>20</v>
      </c>
      <c r="M1899">
        <v>6</v>
      </c>
      <c r="N1899">
        <v>2</v>
      </c>
      <c r="O1899">
        <v>0</v>
      </c>
      <c r="P1899">
        <v>1</v>
      </c>
      <c r="Q1899">
        <v>1</v>
      </c>
      <c r="R1899">
        <v>1</v>
      </c>
      <c r="S1899">
        <v>1</v>
      </c>
      <c r="T1899" t="str">
        <f>IF(mental_health[Sleep_Hours]&lt;5,"Low",IF(mental_health[Sleep_Hours]&lt;7,"Medium","Good"))</f>
        <v>Low</v>
      </c>
      <c r="U1899" t="str">
        <f>IF(mental_health[Stress_Level]&lt;=3,"Low",IF(mental_health[Stress_Level]&lt;=7,"Medium","High"))</f>
        <v>High</v>
      </c>
      <c r="V1899" t="str">
        <f>IF(mental_health[Daily_Screen_Time]&lt;=4,"Low",IF(mental_health[Daily_Screen_Time]&lt;=8,"Medium","High"))</f>
        <v>Medium</v>
      </c>
    </row>
    <row r="1900" spans="1:22" x14ac:dyDescent="0.3">
      <c r="A1900">
        <v>1899</v>
      </c>
      <c r="B1900">
        <v>58</v>
      </c>
      <c r="C1900" t="s">
        <v>18</v>
      </c>
      <c r="D1900" t="s">
        <v>24</v>
      </c>
      <c r="E1900">
        <v>3.9</v>
      </c>
      <c r="F1900">
        <v>2.6</v>
      </c>
      <c r="G1900">
        <v>0</v>
      </c>
      <c r="H1900" t="str">
        <f t="shared" si="29"/>
        <v>No Night Usage</v>
      </c>
      <c r="I1900">
        <v>4.7</v>
      </c>
      <c r="J1900" s="3">
        <v>8</v>
      </c>
      <c r="K1900">
        <v>5.7</v>
      </c>
      <c r="L1900" t="s">
        <v>25</v>
      </c>
      <c r="M1900">
        <v>2</v>
      </c>
      <c r="N1900">
        <v>3</v>
      </c>
      <c r="O1900">
        <v>0</v>
      </c>
      <c r="P1900">
        <v>0</v>
      </c>
      <c r="Q1900">
        <v>0</v>
      </c>
      <c r="R1900">
        <v>1</v>
      </c>
      <c r="S1900">
        <v>0</v>
      </c>
      <c r="T1900" t="str">
        <f>IF(mental_health[Sleep_Hours]&lt;5,"Low",IF(mental_health[Sleep_Hours]&lt;7,"Medium","Good"))</f>
        <v>Low</v>
      </c>
      <c r="U1900" t="str">
        <f>IF(mental_health[Stress_Level]&lt;=3,"Low",IF(mental_health[Stress_Level]&lt;=7,"Medium","High"))</f>
        <v>High</v>
      </c>
      <c r="V1900" t="str">
        <f>IF(mental_health[Daily_Screen_Time]&lt;=4,"Low",IF(mental_health[Daily_Screen_Time]&lt;=8,"Medium","High"))</f>
        <v>Low</v>
      </c>
    </row>
    <row r="1901" spans="1:22" x14ac:dyDescent="0.3">
      <c r="A1901">
        <v>1900</v>
      </c>
      <c r="B1901">
        <v>52</v>
      </c>
      <c r="C1901" t="s">
        <v>18</v>
      </c>
      <c r="D1901" t="s">
        <v>24</v>
      </c>
      <c r="E1901">
        <v>5</v>
      </c>
      <c r="F1901">
        <v>7.5</v>
      </c>
      <c r="G1901">
        <v>0</v>
      </c>
      <c r="H1901" t="str">
        <f t="shared" si="29"/>
        <v>No Night Usage</v>
      </c>
      <c r="I1901">
        <v>4.2</v>
      </c>
      <c r="J1901" s="3">
        <v>5</v>
      </c>
      <c r="K1901">
        <v>3.8</v>
      </c>
      <c r="L1901" t="s">
        <v>21</v>
      </c>
      <c r="M1901">
        <v>5</v>
      </c>
      <c r="N1901">
        <v>4</v>
      </c>
      <c r="O1901">
        <v>1</v>
      </c>
      <c r="P1901">
        <v>0</v>
      </c>
      <c r="Q1901">
        <v>1</v>
      </c>
      <c r="R1901">
        <v>1</v>
      </c>
      <c r="S1901">
        <v>1</v>
      </c>
      <c r="T1901" t="str">
        <f>IF(mental_health[Sleep_Hours]&lt;5,"Low",IF(mental_health[Sleep_Hours]&lt;7,"Medium","Good"))</f>
        <v>Low</v>
      </c>
      <c r="U1901" t="str">
        <f>IF(mental_health[Stress_Level]&lt;=3,"Low",IF(mental_health[Stress_Level]&lt;=7,"Medium","High"))</f>
        <v>Medium</v>
      </c>
      <c r="V1901" t="str">
        <f>IF(mental_health[Daily_Screen_Time]&lt;=4,"Low",IF(mental_health[Daily_Screen_Time]&lt;=8,"Medium","High"))</f>
        <v>Medium</v>
      </c>
    </row>
    <row r="1902" spans="1:22" x14ac:dyDescent="0.3">
      <c r="A1902">
        <v>1901</v>
      </c>
      <c r="B1902">
        <v>52</v>
      </c>
      <c r="C1902" t="s">
        <v>18</v>
      </c>
      <c r="D1902" t="s">
        <v>24</v>
      </c>
      <c r="E1902">
        <v>2.9</v>
      </c>
      <c r="F1902">
        <v>4</v>
      </c>
      <c r="G1902">
        <v>1</v>
      </c>
      <c r="H1902" t="str">
        <f t="shared" si="29"/>
        <v>Night Usage</v>
      </c>
      <c r="I1902">
        <v>3.1</v>
      </c>
      <c r="J1902" s="3">
        <v>2</v>
      </c>
      <c r="K1902">
        <v>2.7</v>
      </c>
      <c r="L1902" t="s">
        <v>21</v>
      </c>
      <c r="M1902">
        <v>3</v>
      </c>
      <c r="N1902">
        <v>0</v>
      </c>
      <c r="O1902">
        <v>0</v>
      </c>
      <c r="P1902">
        <v>1</v>
      </c>
      <c r="Q1902">
        <v>0</v>
      </c>
      <c r="R1902">
        <v>0</v>
      </c>
      <c r="S1902">
        <v>0</v>
      </c>
      <c r="T1902" t="str">
        <f>IF(mental_health[Sleep_Hours]&lt;5,"Low",IF(mental_health[Sleep_Hours]&lt;7,"Medium","Good"))</f>
        <v>Low</v>
      </c>
      <c r="U1902" t="str">
        <f>IF(mental_health[Stress_Level]&lt;=3,"Low",IF(mental_health[Stress_Level]&lt;=7,"Medium","High"))</f>
        <v>Low</v>
      </c>
      <c r="V1902" t="str">
        <f>IF(mental_health[Daily_Screen_Time]&lt;=4,"Low",IF(mental_health[Daily_Screen_Time]&lt;=8,"Medium","High"))</f>
        <v>Low</v>
      </c>
    </row>
    <row r="1903" spans="1:22" x14ac:dyDescent="0.3">
      <c r="A1903">
        <v>1902</v>
      </c>
      <c r="B1903">
        <v>27</v>
      </c>
      <c r="C1903" t="s">
        <v>23</v>
      </c>
      <c r="D1903" t="s">
        <v>19</v>
      </c>
      <c r="E1903">
        <v>3.4</v>
      </c>
      <c r="F1903">
        <v>7.9</v>
      </c>
      <c r="G1903">
        <v>0</v>
      </c>
      <c r="H1903" t="str">
        <f t="shared" si="29"/>
        <v>No Night Usage</v>
      </c>
      <c r="I1903">
        <v>4.5</v>
      </c>
      <c r="J1903" s="3">
        <v>6</v>
      </c>
      <c r="K1903">
        <v>4.3</v>
      </c>
      <c r="L1903" t="s">
        <v>25</v>
      </c>
      <c r="M1903">
        <v>9</v>
      </c>
      <c r="N1903">
        <v>0</v>
      </c>
      <c r="O1903">
        <v>1</v>
      </c>
      <c r="P1903">
        <v>0</v>
      </c>
      <c r="Q1903">
        <v>1</v>
      </c>
      <c r="R1903">
        <v>1</v>
      </c>
      <c r="S1903">
        <v>0</v>
      </c>
      <c r="T1903" t="str">
        <f>IF(mental_health[Sleep_Hours]&lt;5,"Low",IF(mental_health[Sleep_Hours]&lt;7,"Medium","Good"))</f>
        <v>Low</v>
      </c>
      <c r="U1903" t="str">
        <f>IF(mental_health[Stress_Level]&lt;=3,"Low",IF(mental_health[Stress_Level]&lt;=7,"Medium","High"))</f>
        <v>Medium</v>
      </c>
      <c r="V1903" t="str">
        <f>IF(mental_health[Daily_Screen_Time]&lt;=4,"Low",IF(mental_health[Daily_Screen_Time]&lt;=8,"Medium","High"))</f>
        <v>Low</v>
      </c>
    </row>
    <row r="1904" spans="1:22" x14ac:dyDescent="0.3">
      <c r="A1904">
        <v>1903</v>
      </c>
      <c r="B1904">
        <v>52</v>
      </c>
      <c r="C1904" t="s">
        <v>23</v>
      </c>
      <c r="D1904" t="s">
        <v>22</v>
      </c>
      <c r="E1904">
        <v>3</v>
      </c>
      <c r="F1904">
        <v>4.9000000000000004</v>
      </c>
      <c r="G1904">
        <v>0</v>
      </c>
      <c r="H1904" t="str">
        <f t="shared" si="29"/>
        <v>No Night Usage</v>
      </c>
      <c r="I1904">
        <v>7.1</v>
      </c>
      <c r="J1904" s="3">
        <v>8</v>
      </c>
      <c r="K1904">
        <v>7.3</v>
      </c>
      <c r="L1904" t="s">
        <v>21</v>
      </c>
      <c r="M1904">
        <v>8</v>
      </c>
      <c r="N1904">
        <v>1</v>
      </c>
      <c r="O1904">
        <v>1</v>
      </c>
      <c r="P1904">
        <v>1</v>
      </c>
      <c r="Q1904">
        <v>1</v>
      </c>
      <c r="R1904">
        <v>0</v>
      </c>
      <c r="S1904">
        <v>0</v>
      </c>
      <c r="T1904" t="str">
        <f>IF(mental_health[Sleep_Hours]&lt;5,"Low",IF(mental_health[Sleep_Hours]&lt;7,"Medium","Good"))</f>
        <v>Good</v>
      </c>
      <c r="U1904" t="str">
        <f>IF(mental_health[Stress_Level]&lt;=3,"Low",IF(mental_health[Stress_Level]&lt;=7,"Medium","High"))</f>
        <v>High</v>
      </c>
      <c r="V1904" t="str">
        <f>IF(mental_health[Daily_Screen_Time]&lt;=4,"Low",IF(mental_health[Daily_Screen_Time]&lt;=8,"Medium","High"))</f>
        <v>Low</v>
      </c>
    </row>
    <row r="1905" spans="1:22" x14ac:dyDescent="0.3">
      <c r="A1905">
        <v>1904</v>
      </c>
      <c r="B1905">
        <v>59</v>
      </c>
      <c r="C1905" t="s">
        <v>23</v>
      </c>
      <c r="D1905" t="s">
        <v>19</v>
      </c>
      <c r="E1905">
        <v>6.2</v>
      </c>
      <c r="F1905">
        <v>7.5</v>
      </c>
      <c r="G1905">
        <v>0</v>
      </c>
      <c r="H1905" t="str">
        <f t="shared" si="29"/>
        <v>No Night Usage</v>
      </c>
      <c r="I1905">
        <v>4.4000000000000004</v>
      </c>
      <c r="J1905" s="3">
        <v>7</v>
      </c>
      <c r="K1905">
        <v>9</v>
      </c>
      <c r="L1905" t="s">
        <v>21</v>
      </c>
      <c r="M1905">
        <v>10</v>
      </c>
      <c r="N1905">
        <v>0</v>
      </c>
      <c r="O1905">
        <v>1</v>
      </c>
      <c r="P1905">
        <v>1</v>
      </c>
      <c r="Q1905">
        <v>1</v>
      </c>
      <c r="R1905">
        <v>1</v>
      </c>
      <c r="S1905">
        <v>1</v>
      </c>
      <c r="T1905" t="str">
        <f>IF(mental_health[Sleep_Hours]&lt;5,"Low",IF(mental_health[Sleep_Hours]&lt;7,"Medium","Good"))</f>
        <v>Low</v>
      </c>
      <c r="U1905" t="str">
        <f>IF(mental_health[Stress_Level]&lt;=3,"Low",IF(mental_health[Stress_Level]&lt;=7,"Medium","High"))</f>
        <v>Medium</v>
      </c>
      <c r="V1905" t="str">
        <f>IF(mental_health[Daily_Screen_Time]&lt;=4,"Low",IF(mental_health[Daily_Screen_Time]&lt;=8,"Medium","High"))</f>
        <v>Medium</v>
      </c>
    </row>
    <row r="1906" spans="1:22" x14ac:dyDescent="0.3">
      <c r="A1906">
        <v>1905</v>
      </c>
      <c r="B1906">
        <v>43</v>
      </c>
      <c r="C1906" t="s">
        <v>23</v>
      </c>
      <c r="D1906" t="s">
        <v>22</v>
      </c>
      <c r="E1906">
        <v>10</v>
      </c>
      <c r="F1906">
        <v>1</v>
      </c>
      <c r="G1906">
        <v>0</v>
      </c>
      <c r="H1906" t="str">
        <f t="shared" si="29"/>
        <v>No Night Usage</v>
      </c>
      <c r="I1906">
        <v>6.1</v>
      </c>
      <c r="J1906" s="3">
        <v>8</v>
      </c>
      <c r="K1906">
        <v>9.6999999999999993</v>
      </c>
      <c r="L1906" t="s">
        <v>20</v>
      </c>
      <c r="M1906">
        <v>2</v>
      </c>
      <c r="N1906">
        <v>1</v>
      </c>
      <c r="O1906">
        <v>1</v>
      </c>
      <c r="P1906">
        <v>1</v>
      </c>
      <c r="Q1906">
        <v>1</v>
      </c>
      <c r="R1906">
        <v>1</v>
      </c>
      <c r="S1906">
        <v>1</v>
      </c>
      <c r="T1906" t="str">
        <f>IF(mental_health[Sleep_Hours]&lt;5,"Low",IF(mental_health[Sleep_Hours]&lt;7,"Medium","Good"))</f>
        <v>Medium</v>
      </c>
      <c r="U1906" t="str">
        <f>IF(mental_health[Stress_Level]&lt;=3,"Low",IF(mental_health[Stress_Level]&lt;=7,"Medium","High"))</f>
        <v>High</v>
      </c>
      <c r="V1906" t="str">
        <f>IF(mental_health[Daily_Screen_Time]&lt;=4,"Low",IF(mental_health[Daily_Screen_Time]&lt;=8,"Medium","High"))</f>
        <v>High</v>
      </c>
    </row>
    <row r="1907" spans="1:22" x14ac:dyDescent="0.3">
      <c r="A1907">
        <v>1906</v>
      </c>
      <c r="B1907">
        <v>30</v>
      </c>
      <c r="C1907" t="s">
        <v>18</v>
      </c>
      <c r="D1907" t="s">
        <v>22</v>
      </c>
      <c r="E1907">
        <v>3.4</v>
      </c>
      <c r="F1907">
        <v>6.2</v>
      </c>
      <c r="G1907">
        <v>0</v>
      </c>
      <c r="H1907" t="str">
        <f t="shared" si="29"/>
        <v>No Night Usage</v>
      </c>
      <c r="I1907">
        <v>8.3000000000000007</v>
      </c>
      <c r="J1907" s="3">
        <v>4</v>
      </c>
      <c r="K1907">
        <v>2.4</v>
      </c>
      <c r="L1907" t="s">
        <v>25</v>
      </c>
      <c r="M1907">
        <v>1</v>
      </c>
      <c r="N1907">
        <v>0</v>
      </c>
      <c r="O1907">
        <v>1</v>
      </c>
      <c r="P1907">
        <v>1</v>
      </c>
      <c r="Q1907">
        <v>0</v>
      </c>
      <c r="R1907">
        <v>0</v>
      </c>
      <c r="S1907">
        <v>0</v>
      </c>
      <c r="T1907" t="str">
        <f>IF(mental_health[Sleep_Hours]&lt;5,"Low",IF(mental_health[Sleep_Hours]&lt;7,"Medium","Good"))</f>
        <v>Good</v>
      </c>
      <c r="U1907" t="str">
        <f>IF(mental_health[Stress_Level]&lt;=3,"Low",IF(mental_health[Stress_Level]&lt;=7,"Medium","High"))</f>
        <v>Medium</v>
      </c>
      <c r="V1907" t="str">
        <f>IF(mental_health[Daily_Screen_Time]&lt;=4,"Low",IF(mental_health[Daily_Screen_Time]&lt;=8,"Medium","High"))</f>
        <v>Low</v>
      </c>
    </row>
    <row r="1908" spans="1:22" x14ac:dyDescent="0.3">
      <c r="A1908">
        <v>1907</v>
      </c>
      <c r="B1908">
        <v>21</v>
      </c>
      <c r="C1908" t="s">
        <v>18</v>
      </c>
      <c r="D1908" t="s">
        <v>24</v>
      </c>
      <c r="E1908">
        <v>3.3</v>
      </c>
      <c r="F1908">
        <v>7.3</v>
      </c>
      <c r="G1908">
        <v>0</v>
      </c>
      <c r="H1908" t="str">
        <f t="shared" si="29"/>
        <v>No Night Usage</v>
      </c>
      <c r="I1908">
        <v>7.2</v>
      </c>
      <c r="J1908" s="3">
        <v>3</v>
      </c>
      <c r="K1908">
        <v>6.3</v>
      </c>
      <c r="L1908" t="s">
        <v>25</v>
      </c>
      <c r="M1908">
        <v>4</v>
      </c>
      <c r="N1908">
        <v>0</v>
      </c>
      <c r="O1908">
        <v>0</v>
      </c>
      <c r="P1908">
        <v>1</v>
      </c>
      <c r="Q1908">
        <v>0</v>
      </c>
      <c r="R1908">
        <v>0</v>
      </c>
      <c r="S1908">
        <v>1</v>
      </c>
      <c r="T1908" t="str">
        <f>IF(mental_health[Sleep_Hours]&lt;5,"Low",IF(mental_health[Sleep_Hours]&lt;7,"Medium","Good"))</f>
        <v>Good</v>
      </c>
      <c r="U1908" t="str">
        <f>IF(mental_health[Stress_Level]&lt;=3,"Low",IF(mental_health[Stress_Level]&lt;=7,"Medium","High"))</f>
        <v>Low</v>
      </c>
      <c r="V1908" t="str">
        <f>IF(mental_health[Daily_Screen_Time]&lt;=4,"Low",IF(mental_health[Daily_Screen_Time]&lt;=8,"Medium","High"))</f>
        <v>Low</v>
      </c>
    </row>
    <row r="1909" spans="1:22" x14ac:dyDescent="0.3">
      <c r="A1909">
        <v>1908</v>
      </c>
      <c r="B1909">
        <v>59</v>
      </c>
      <c r="C1909" t="s">
        <v>18</v>
      </c>
      <c r="D1909" t="s">
        <v>22</v>
      </c>
      <c r="E1909">
        <v>8.4</v>
      </c>
      <c r="F1909">
        <v>2</v>
      </c>
      <c r="G1909">
        <v>0</v>
      </c>
      <c r="H1909" t="str">
        <f t="shared" si="29"/>
        <v>No Night Usage</v>
      </c>
      <c r="I1909">
        <v>5.4</v>
      </c>
      <c r="J1909" s="3">
        <v>7</v>
      </c>
      <c r="K1909">
        <v>3.2</v>
      </c>
      <c r="L1909" t="s">
        <v>20</v>
      </c>
      <c r="M1909">
        <v>4</v>
      </c>
      <c r="N1909">
        <v>3</v>
      </c>
      <c r="O1909">
        <v>1</v>
      </c>
      <c r="P1909">
        <v>1</v>
      </c>
      <c r="Q1909">
        <v>0</v>
      </c>
      <c r="R1909">
        <v>1</v>
      </c>
      <c r="S1909">
        <v>0</v>
      </c>
      <c r="T1909" t="str">
        <f>IF(mental_health[Sleep_Hours]&lt;5,"Low",IF(mental_health[Sleep_Hours]&lt;7,"Medium","Good"))</f>
        <v>Medium</v>
      </c>
      <c r="U1909" t="str">
        <f>IF(mental_health[Stress_Level]&lt;=3,"Low",IF(mental_health[Stress_Level]&lt;=7,"Medium","High"))</f>
        <v>Medium</v>
      </c>
      <c r="V1909" t="str">
        <f>IF(mental_health[Daily_Screen_Time]&lt;=4,"Low",IF(mental_health[Daily_Screen_Time]&lt;=8,"Medium","High"))</f>
        <v>High</v>
      </c>
    </row>
    <row r="1910" spans="1:22" x14ac:dyDescent="0.3">
      <c r="A1910">
        <v>1909</v>
      </c>
      <c r="B1910">
        <v>35</v>
      </c>
      <c r="C1910" t="s">
        <v>18</v>
      </c>
      <c r="D1910" t="s">
        <v>19</v>
      </c>
      <c r="E1910">
        <v>4</v>
      </c>
      <c r="F1910">
        <v>1.7</v>
      </c>
      <c r="G1910">
        <v>1</v>
      </c>
      <c r="H1910" t="str">
        <f t="shared" si="29"/>
        <v>Night Usage</v>
      </c>
      <c r="I1910">
        <v>5.2</v>
      </c>
      <c r="J1910" s="3">
        <v>2</v>
      </c>
      <c r="K1910">
        <v>6.3</v>
      </c>
      <c r="L1910" t="s">
        <v>20</v>
      </c>
      <c r="M1910">
        <v>10</v>
      </c>
      <c r="N1910">
        <v>3</v>
      </c>
      <c r="O1910">
        <v>1</v>
      </c>
      <c r="P1910">
        <v>1</v>
      </c>
      <c r="Q1910">
        <v>0</v>
      </c>
      <c r="R1910">
        <v>1</v>
      </c>
      <c r="S1910">
        <v>0</v>
      </c>
      <c r="T1910" t="str">
        <f>IF(mental_health[Sleep_Hours]&lt;5,"Low",IF(mental_health[Sleep_Hours]&lt;7,"Medium","Good"))</f>
        <v>Medium</v>
      </c>
      <c r="U1910" t="str">
        <f>IF(mental_health[Stress_Level]&lt;=3,"Low",IF(mental_health[Stress_Level]&lt;=7,"Medium","High"))</f>
        <v>Low</v>
      </c>
      <c r="V1910" t="str">
        <f>IF(mental_health[Daily_Screen_Time]&lt;=4,"Low",IF(mental_health[Daily_Screen_Time]&lt;=8,"Medium","High"))</f>
        <v>Low</v>
      </c>
    </row>
    <row r="1911" spans="1:22" x14ac:dyDescent="0.3">
      <c r="A1911">
        <v>1910</v>
      </c>
      <c r="B1911">
        <v>29</v>
      </c>
      <c r="C1911" t="s">
        <v>18</v>
      </c>
      <c r="D1911" t="s">
        <v>19</v>
      </c>
      <c r="E1911">
        <v>3</v>
      </c>
      <c r="F1911">
        <v>4</v>
      </c>
      <c r="G1911">
        <v>1</v>
      </c>
      <c r="H1911" t="str">
        <f t="shared" si="29"/>
        <v>Night Usage</v>
      </c>
      <c r="I1911">
        <v>5.7</v>
      </c>
      <c r="J1911" s="3">
        <v>5</v>
      </c>
      <c r="K1911">
        <v>6.3</v>
      </c>
      <c r="L1911" t="s">
        <v>20</v>
      </c>
      <c r="M1911">
        <v>2</v>
      </c>
      <c r="N1911">
        <v>4</v>
      </c>
      <c r="O1911">
        <v>0</v>
      </c>
      <c r="P1911">
        <v>1</v>
      </c>
      <c r="Q1911">
        <v>0</v>
      </c>
      <c r="R1911">
        <v>1</v>
      </c>
      <c r="S1911">
        <v>0</v>
      </c>
      <c r="T1911" t="str">
        <f>IF(mental_health[Sleep_Hours]&lt;5,"Low",IF(mental_health[Sleep_Hours]&lt;7,"Medium","Good"))</f>
        <v>Medium</v>
      </c>
      <c r="U1911" t="str">
        <f>IF(mental_health[Stress_Level]&lt;=3,"Low",IF(mental_health[Stress_Level]&lt;=7,"Medium","High"))</f>
        <v>Medium</v>
      </c>
      <c r="V1911" t="str">
        <f>IF(mental_health[Daily_Screen_Time]&lt;=4,"Low",IF(mental_health[Daily_Screen_Time]&lt;=8,"Medium","High"))</f>
        <v>Low</v>
      </c>
    </row>
    <row r="1912" spans="1:22" x14ac:dyDescent="0.3">
      <c r="A1912">
        <v>1911</v>
      </c>
      <c r="B1912">
        <v>17</v>
      </c>
      <c r="C1912" t="s">
        <v>18</v>
      </c>
      <c r="D1912" t="s">
        <v>19</v>
      </c>
      <c r="E1912">
        <v>3.7</v>
      </c>
      <c r="F1912">
        <v>7.5</v>
      </c>
      <c r="G1912">
        <v>1</v>
      </c>
      <c r="H1912" t="str">
        <f t="shared" si="29"/>
        <v>Night Usage</v>
      </c>
      <c r="I1912">
        <v>4.0999999999999996</v>
      </c>
      <c r="J1912" s="3">
        <v>7</v>
      </c>
      <c r="K1912">
        <v>7</v>
      </c>
      <c r="L1912" t="s">
        <v>20</v>
      </c>
      <c r="M1912">
        <v>7</v>
      </c>
      <c r="N1912">
        <v>2</v>
      </c>
      <c r="O1912">
        <v>1</v>
      </c>
      <c r="P1912">
        <v>1</v>
      </c>
      <c r="Q1912">
        <v>1</v>
      </c>
      <c r="R1912">
        <v>0</v>
      </c>
      <c r="S1912">
        <v>1</v>
      </c>
      <c r="T1912" t="str">
        <f>IF(mental_health[Sleep_Hours]&lt;5,"Low",IF(mental_health[Sleep_Hours]&lt;7,"Medium","Good"))</f>
        <v>Low</v>
      </c>
      <c r="U1912" t="str">
        <f>IF(mental_health[Stress_Level]&lt;=3,"Low",IF(mental_health[Stress_Level]&lt;=7,"Medium","High"))</f>
        <v>Medium</v>
      </c>
      <c r="V1912" t="str">
        <f>IF(mental_health[Daily_Screen_Time]&lt;=4,"Low",IF(mental_health[Daily_Screen_Time]&lt;=8,"Medium","High"))</f>
        <v>Low</v>
      </c>
    </row>
    <row r="1913" spans="1:22" x14ac:dyDescent="0.3">
      <c r="A1913">
        <v>1912</v>
      </c>
      <c r="B1913">
        <v>24</v>
      </c>
      <c r="C1913" t="s">
        <v>23</v>
      </c>
      <c r="D1913" t="s">
        <v>22</v>
      </c>
      <c r="E1913">
        <v>11.2</v>
      </c>
      <c r="F1913">
        <v>4.8</v>
      </c>
      <c r="G1913">
        <v>1</v>
      </c>
      <c r="H1913" t="str">
        <f t="shared" si="29"/>
        <v>Night Usage</v>
      </c>
      <c r="I1913">
        <v>6.8</v>
      </c>
      <c r="J1913" s="3">
        <v>1</v>
      </c>
      <c r="K1913">
        <v>10.9</v>
      </c>
      <c r="L1913" t="s">
        <v>21</v>
      </c>
      <c r="M1913">
        <v>3</v>
      </c>
      <c r="N1913">
        <v>4</v>
      </c>
      <c r="O1913">
        <v>0</v>
      </c>
      <c r="P1913">
        <v>0</v>
      </c>
      <c r="Q1913">
        <v>0</v>
      </c>
      <c r="R1913">
        <v>0</v>
      </c>
      <c r="S1913">
        <v>1</v>
      </c>
      <c r="T1913" t="str">
        <f>IF(mental_health[Sleep_Hours]&lt;5,"Low",IF(mental_health[Sleep_Hours]&lt;7,"Medium","Good"))</f>
        <v>Medium</v>
      </c>
      <c r="U1913" t="str">
        <f>IF(mental_health[Stress_Level]&lt;=3,"Low",IF(mental_health[Stress_Level]&lt;=7,"Medium","High"))</f>
        <v>Low</v>
      </c>
      <c r="V1913" t="str">
        <f>IF(mental_health[Daily_Screen_Time]&lt;=4,"Low",IF(mental_health[Daily_Screen_Time]&lt;=8,"Medium","High"))</f>
        <v>High</v>
      </c>
    </row>
    <row r="1914" spans="1:22" x14ac:dyDescent="0.3">
      <c r="A1914">
        <v>1913</v>
      </c>
      <c r="B1914">
        <v>52</v>
      </c>
      <c r="C1914" t="s">
        <v>23</v>
      </c>
      <c r="D1914" t="s">
        <v>19</v>
      </c>
      <c r="E1914">
        <v>10.199999999999999</v>
      </c>
      <c r="F1914">
        <v>4.7</v>
      </c>
      <c r="G1914">
        <v>0</v>
      </c>
      <c r="H1914" t="str">
        <f t="shared" si="29"/>
        <v>No Night Usage</v>
      </c>
      <c r="I1914">
        <v>5.2</v>
      </c>
      <c r="J1914" s="3">
        <v>4</v>
      </c>
      <c r="K1914">
        <v>10.1</v>
      </c>
      <c r="L1914" t="s">
        <v>21</v>
      </c>
      <c r="M1914">
        <v>7</v>
      </c>
      <c r="N1914">
        <v>0</v>
      </c>
      <c r="O1914">
        <v>0</v>
      </c>
      <c r="P1914">
        <v>1</v>
      </c>
      <c r="Q1914">
        <v>0</v>
      </c>
      <c r="R1914">
        <v>0</v>
      </c>
      <c r="S1914">
        <v>0</v>
      </c>
      <c r="T1914" t="str">
        <f>IF(mental_health[Sleep_Hours]&lt;5,"Low",IF(mental_health[Sleep_Hours]&lt;7,"Medium","Good"))</f>
        <v>Medium</v>
      </c>
      <c r="U1914" t="str">
        <f>IF(mental_health[Stress_Level]&lt;=3,"Low",IF(mental_health[Stress_Level]&lt;=7,"Medium","High"))</f>
        <v>Medium</v>
      </c>
      <c r="V1914" t="str">
        <f>IF(mental_health[Daily_Screen_Time]&lt;=4,"Low",IF(mental_health[Daily_Screen_Time]&lt;=8,"Medium","High"))</f>
        <v>High</v>
      </c>
    </row>
    <row r="1915" spans="1:22" x14ac:dyDescent="0.3">
      <c r="A1915">
        <v>1914</v>
      </c>
      <c r="B1915">
        <v>35</v>
      </c>
      <c r="C1915" t="s">
        <v>18</v>
      </c>
      <c r="D1915" t="s">
        <v>22</v>
      </c>
      <c r="E1915">
        <v>5.5</v>
      </c>
      <c r="F1915">
        <v>2</v>
      </c>
      <c r="G1915">
        <v>1</v>
      </c>
      <c r="H1915" t="str">
        <f t="shared" si="29"/>
        <v>Night Usage</v>
      </c>
      <c r="I1915">
        <v>8.1</v>
      </c>
      <c r="J1915" s="3">
        <v>2</v>
      </c>
      <c r="K1915">
        <v>8.4</v>
      </c>
      <c r="L1915" t="s">
        <v>20</v>
      </c>
      <c r="M1915">
        <v>7</v>
      </c>
      <c r="N1915">
        <v>4</v>
      </c>
      <c r="O1915">
        <v>0</v>
      </c>
      <c r="P1915">
        <v>1</v>
      </c>
      <c r="Q1915">
        <v>1</v>
      </c>
      <c r="R1915">
        <v>0</v>
      </c>
      <c r="S1915">
        <v>1</v>
      </c>
      <c r="T1915" t="str">
        <f>IF(mental_health[Sleep_Hours]&lt;5,"Low",IF(mental_health[Sleep_Hours]&lt;7,"Medium","Good"))</f>
        <v>Good</v>
      </c>
      <c r="U1915" t="str">
        <f>IF(mental_health[Stress_Level]&lt;=3,"Low",IF(mental_health[Stress_Level]&lt;=7,"Medium","High"))</f>
        <v>Low</v>
      </c>
      <c r="V1915" t="str">
        <f>IF(mental_health[Daily_Screen_Time]&lt;=4,"Low",IF(mental_health[Daily_Screen_Time]&lt;=8,"Medium","High"))</f>
        <v>Medium</v>
      </c>
    </row>
    <row r="1916" spans="1:22" x14ac:dyDescent="0.3">
      <c r="A1916">
        <v>1915</v>
      </c>
      <c r="B1916">
        <v>41</v>
      </c>
      <c r="C1916" t="s">
        <v>18</v>
      </c>
      <c r="D1916" t="s">
        <v>19</v>
      </c>
      <c r="E1916">
        <v>8.6</v>
      </c>
      <c r="F1916">
        <v>1</v>
      </c>
      <c r="G1916">
        <v>0</v>
      </c>
      <c r="H1916" t="str">
        <f t="shared" si="29"/>
        <v>No Night Usage</v>
      </c>
      <c r="I1916">
        <v>7.5</v>
      </c>
      <c r="J1916" s="3">
        <v>6</v>
      </c>
      <c r="K1916">
        <v>10.9</v>
      </c>
      <c r="L1916" t="s">
        <v>25</v>
      </c>
      <c r="M1916">
        <v>1</v>
      </c>
      <c r="N1916">
        <v>3</v>
      </c>
      <c r="O1916">
        <v>0</v>
      </c>
      <c r="P1916">
        <v>1</v>
      </c>
      <c r="Q1916">
        <v>0</v>
      </c>
      <c r="R1916">
        <v>0</v>
      </c>
      <c r="S1916">
        <v>0</v>
      </c>
      <c r="T1916" t="str">
        <f>IF(mental_health[Sleep_Hours]&lt;5,"Low",IF(mental_health[Sleep_Hours]&lt;7,"Medium","Good"))</f>
        <v>Good</v>
      </c>
      <c r="U1916" t="str">
        <f>IF(mental_health[Stress_Level]&lt;=3,"Low",IF(mental_health[Stress_Level]&lt;=7,"Medium","High"))</f>
        <v>Medium</v>
      </c>
      <c r="V1916" t="str">
        <f>IF(mental_health[Daily_Screen_Time]&lt;=4,"Low",IF(mental_health[Daily_Screen_Time]&lt;=8,"Medium","High"))</f>
        <v>High</v>
      </c>
    </row>
    <row r="1917" spans="1:22" x14ac:dyDescent="0.3">
      <c r="A1917">
        <v>1916</v>
      </c>
      <c r="B1917">
        <v>44</v>
      </c>
      <c r="C1917" t="s">
        <v>23</v>
      </c>
      <c r="D1917" t="s">
        <v>19</v>
      </c>
      <c r="E1917">
        <v>7.4</v>
      </c>
      <c r="F1917">
        <v>6.7</v>
      </c>
      <c r="G1917">
        <v>1</v>
      </c>
      <c r="H1917" t="str">
        <f t="shared" si="29"/>
        <v>Night Usage</v>
      </c>
      <c r="I1917">
        <v>6.7</v>
      </c>
      <c r="J1917" s="3">
        <v>1</v>
      </c>
      <c r="K1917">
        <v>8.8000000000000007</v>
      </c>
      <c r="L1917" t="s">
        <v>25</v>
      </c>
      <c r="M1917">
        <v>6</v>
      </c>
      <c r="N1917">
        <v>0</v>
      </c>
      <c r="O1917">
        <v>1</v>
      </c>
      <c r="P1917">
        <v>0</v>
      </c>
      <c r="Q1917">
        <v>1</v>
      </c>
      <c r="R1917">
        <v>0</v>
      </c>
      <c r="S1917">
        <v>1</v>
      </c>
      <c r="T1917" t="str">
        <f>IF(mental_health[Sleep_Hours]&lt;5,"Low",IF(mental_health[Sleep_Hours]&lt;7,"Medium","Good"))</f>
        <v>Medium</v>
      </c>
      <c r="U1917" t="str">
        <f>IF(mental_health[Stress_Level]&lt;=3,"Low",IF(mental_health[Stress_Level]&lt;=7,"Medium","High"))</f>
        <v>Low</v>
      </c>
      <c r="V1917" t="str">
        <f>IF(mental_health[Daily_Screen_Time]&lt;=4,"Low",IF(mental_health[Daily_Screen_Time]&lt;=8,"Medium","High"))</f>
        <v>Medium</v>
      </c>
    </row>
    <row r="1918" spans="1:22" x14ac:dyDescent="0.3">
      <c r="A1918">
        <v>1917</v>
      </c>
      <c r="B1918">
        <v>16</v>
      </c>
      <c r="C1918" t="s">
        <v>23</v>
      </c>
      <c r="D1918" t="s">
        <v>22</v>
      </c>
      <c r="E1918">
        <v>8.8000000000000007</v>
      </c>
      <c r="F1918">
        <v>1.6</v>
      </c>
      <c r="G1918">
        <v>1</v>
      </c>
      <c r="H1918" t="str">
        <f t="shared" si="29"/>
        <v>Night Usage</v>
      </c>
      <c r="I1918">
        <v>5.2</v>
      </c>
      <c r="J1918" s="3">
        <v>7</v>
      </c>
      <c r="K1918">
        <v>10.199999999999999</v>
      </c>
      <c r="L1918" t="s">
        <v>25</v>
      </c>
      <c r="M1918">
        <v>4</v>
      </c>
      <c r="N1918">
        <v>0</v>
      </c>
      <c r="O1918">
        <v>1</v>
      </c>
      <c r="P1918">
        <v>0</v>
      </c>
      <c r="Q1918">
        <v>1</v>
      </c>
      <c r="R1918">
        <v>1</v>
      </c>
      <c r="S1918">
        <v>1</v>
      </c>
      <c r="T1918" t="str">
        <f>IF(mental_health[Sleep_Hours]&lt;5,"Low",IF(mental_health[Sleep_Hours]&lt;7,"Medium","Good"))</f>
        <v>Medium</v>
      </c>
      <c r="U1918" t="str">
        <f>IF(mental_health[Stress_Level]&lt;=3,"Low",IF(mental_health[Stress_Level]&lt;=7,"Medium","High"))</f>
        <v>Medium</v>
      </c>
      <c r="V1918" t="str">
        <f>IF(mental_health[Daily_Screen_Time]&lt;=4,"Low",IF(mental_health[Daily_Screen_Time]&lt;=8,"Medium","High"))</f>
        <v>High</v>
      </c>
    </row>
    <row r="1919" spans="1:22" x14ac:dyDescent="0.3">
      <c r="A1919">
        <v>1918</v>
      </c>
      <c r="B1919">
        <v>50</v>
      </c>
      <c r="C1919" t="s">
        <v>23</v>
      </c>
      <c r="D1919" t="s">
        <v>19</v>
      </c>
      <c r="E1919">
        <v>8.8000000000000007</v>
      </c>
      <c r="F1919">
        <v>5.4</v>
      </c>
      <c r="G1919">
        <v>0</v>
      </c>
      <c r="H1919" t="str">
        <f t="shared" si="29"/>
        <v>No Night Usage</v>
      </c>
      <c r="I1919">
        <v>4.3</v>
      </c>
      <c r="J1919" s="3">
        <v>3</v>
      </c>
      <c r="K1919">
        <v>7.6</v>
      </c>
      <c r="L1919" t="s">
        <v>20</v>
      </c>
      <c r="M1919">
        <v>8</v>
      </c>
      <c r="N1919">
        <v>4</v>
      </c>
      <c r="O1919">
        <v>1</v>
      </c>
      <c r="P1919">
        <v>0</v>
      </c>
      <c r="Q1919">
        <v>0</v>
      </c>
      <c r="R1919">
        <v>0</v>
      </c>
      <c r="S1919">
        <v>1</v>
      </c>
      <c r="T1919" t="str">
        <f>IF(mental_health[Sleep_Hours]&lt;5,"Low",IF(mental_health[Sleep_Hours]&lt;7,"Medium","Good"))</f>
        <v>Low</v>
      </c>
      <c r="U1919" t="str">
        <f>IF(mental_health[Stress_Level]&lt;=3,"Low",IF(mental_health[Stress_Level]&lt;=7,"Medium","High"))</f>
        <v>Low</v>
      </c>
      <c r="V1919" t="str">
        <f>IF(mental_health[Daily_Screen_Time]&lt;=4,"Low",IF(mental_health[Daily_Screen_Time]&lt;=8,"Medium","High"))</f>
        <v>High</v>
      </c>
    </row>
    <row r="1920" spans="1:22" x14ac:dyDescent="0.3">
      <c r="A1920">
        <v>1919</v>
      </c>
      <c r="B1920">
        <v>21</v>
      </c>
      <c r="C1920" t="s">
        <v>23</v>
      </c>
      <c r="D1920" t="s">
        <v>24</v>
      </c>
      <c r="E1920">
        <v>8.3000000000000007</v>
      </c>
      <c r="F1920">
        <v>7.4</v>
      </c>
      <c r="G1920">
        <v>0</v>
      </c>
      <c r="H1920" t="str">
        <f t="shared" si="29"/>
        <v>No Night Usage</v>
      </c>
      <c r="I1920">
        <v>7.7</v>
      </c>
      <c r="J1920" s="3">
        <v>1</v>
      </c>
      <c r="K1920">
        <v>7.3</v>
      </c>
      <c r="L1920" t="s">
        <v>21</v>
      </c>
      <c r="M1920">
        <v>8</v>
      </c>
      <c r="N1920">
        <v>1</v>
      </c>
      <c r="O1920">
        <v>0</v>
      </c>
      <c r="P1920">
        <v>0</v>
      </c>
      <c r="Q1920">
        <v>0</v>
      </c>
      <c r="R1920">
        <v>1</v>
      </c>
      <c r="S1920">
        <v>0</v>
      </c>
      <c r="T1920" t="str">
        <f>IF(mental_health[Sleep_Hours]&lt;5,"Low",IF(mental_health[Sleep_Hours]&lt;7,"Medium","Good"))</f>
        <v>Good</v>
      </c>
      <c r="U1920" t="str">
        <f>IF(mental_health[Stress_Level]&lt;=3,"Low",IF(mental_health[Stress_Level]&lt;=7,"Medium","High"))</f>
        <v>Low</v>
      </c>
      <c r="V1920" t="str">
        <f>IF(mental_health[Daily_Screen_Time]&lt;=4,"Low",IF(mental_health[Daily_Screen_Time]&lt;=8,"Medium","High"))</f>
        <v>High</v>
      </c>
    </row>
    <row r="1921" spans="1:22" x14ac:dyDescent="0.3">
      <c r="A1921">
        <v>1920</v>
      </c>
      <c r="B1921">
        <v>52</v>
      </c>
      <c r="C1921" t="s">
        <v>18</v>
      </c>
      <c r="D1921" t="s">
        <v>22</v>
      </c>
      <c r="E1921">
        <v>4.7</v>
      </c>
      <c r="F1921">
        <v>2.5</v>
      </c>
      <c r="G1921">
        <v>1</v>
      </c>
      <c r="H1921" t="str">
        <f t="shared" si="29"/>
        <v>Night Usage</v>
      </c>
      <c r="I1921">
        <v>5.9</v>
      </c>
      <c r="J1921" s="3">
        <v>8</v>
      </c>
      <c r="K1921">
        <v>9.1999999999999993</v>
      </c>
      <c r="L1921" t="s">
        <v>21</v>
      </c>
      <c r="M1921">
        <v>3</v>
      </c>
      <c r="N1921">
        <v>2</v>
      </c>
      <c r="O1921">
        <v>0</v>
      </c>
      <c r="P1921">
        <v>0</v>
      </c>
      <c r="Q1921">
        <v>1</v>
      </c>
      <c r="R1921">
        <v>1</v>
      </c>
      <c r="S1921">
        <v>0</v>
      </c>
      <c r="T1921" t="str">
        <f>IF(mental_health[Sleep_Hours]&lt;5,"Low",IF(mental_health[Sleep_Hours]&lt;7,"Medium","Good"))</f>
        <v>Medium</v>
      </c>
      <c r="U1921" t="str">
        <f>IF(mental_health[Stress_Level]&lt;=3,"Low",IF(mental_health[Stress_Level]&lt;=7,"Medium","High"))</f>
        <v>High</v>
      </c>
      <c r="V1921" t="str">
        <f>IF(mental_health[Daily_Screen_Time]&lt;=4,"Low",IF(mental_health[Daily_Screen_Time]&lt;=8,"Medium","High"))</f>
        <v>Medium</v>
      </c>
    </row>
    <row r="1922" spans="1:22" x14ac:dyDescent="0.3">
      <c r="A1922">
        <v>1921</v>
      </c>
      <c r="B1922">
        <v>20</v>
      </c>
      <c r="C1922" t="s">
        <v>18</v>
      </c>
      <c r="D1922" t="s">
        <v>22</v>
      </c>
      <c r="E1922">
        <v>2.4</v>
      </c>
      <c r="F1922">
        <v>5.7</v>
      </c>
      <c r="G1922">
        <v>1</v>
      </c>
      <c r="H1922" t="str">
        <f t="shared" ref="H1922:H1985" si="30">IF(G1922=1,"Night Usage","No Night Usage")</f>
        <v>Night Usage</v>
      </c>
      <c r="I1922">
        <v>4.3</v>
      </c>
      <c r="J1922" s="3">
        <v>7</v>
      </c>
      <c r="K1922">
        <v>2.2000000000000002</v>
      </c>
      <c r="L1922" t="s">
        <v>21</v>
      </c>
      <c r="M1922">
        <v>4</v>
      </c>
      <c r="N1922">
        <v>4</v>
      </c>
      <c r="O1922">
        <v>0</v>
      </c>
      <c r="P1922">
        <v>0</v>
      </c>
      <c r="Q1922">
        <v>0</v>
      </c>
      <c r="R1922">
        <v>1</v>
      </c>
      <c r="S1922">
        <v>1</v>
      </c>
      <c r="T1922" t="str">
        <f>IF(mental_health[Sleep_Hours]&lt;5,"Low",IF(mental_health[Sleep_Hours]&lt;7,"Medium","Good"))</f>
        <v>Low</v>
      </c>
      <c r="U1922" t="str">
        <f>IF(mental_health[Stress_Level]&lt;=3,"Low",IF(mental_health[Stress_Level]&lt;=7,"Medium","High"))</f>
        <v>Medium</v>
      </c>
      <c r="V1922" t="str">
        <f>IF(mental_health[Daily_Screen_Time]&lt;=4,"Low",IF(mental_health[Daily_Screen_Time]&lt;=8,"Medium","High"))</f>
        <v>Low</v>
      </c>
    </row>
    <row r="1923" spans="1:22" x14ac:dyDescent="0.3">
      <c r="A1923">
        <v>1922</v>
      </c>
      <c r="B1923">
        <v>48</v>
      </c>
      <c r="C1923" t="s">
        <v>18</v>
      </c>
      <c r="D1923" t="s">
        <v>22</v>
      </c>
      <c r="E1923">
        <v>6.6</v>
      </c>
      <c r="F1923">
        <v>1.6</v>
      </c>
      <c r="G1923">
        <v>1</v>
      </c>
      <c r="H1923" t="str">
        <f t="shared" si="30"/>
        <v>Night Usage</v>
      </c>
      <c r="I1923">
        <v>4.2</v>
      </c>
      <c r="J1923" s="3">
        <v>2</v>
      </c>
      <c r="K1923">
        <v>8.9</v>
      </c>
      <c r="L1923" t="s">
        <v>21</v>
      </c>
      <c r="M1923">
        <v>1</v>
      </c>
      <c r="N1923">
        <v>4</v>
      </c>
      <c r="O1923">
        <v>1</v>
      </c>
      <c r="P1923">
        <v>1</v>
      </c>
      <c r="Q1923">
        <v>0</v>
      </c>
      <c r="R1923">
        <v>0</v>
      </c>
      <c r="S1923">
        <v>0</v>
      </c>
      <c r="T1923" t="str">
        <f>IF(mental_health[Sleep_Hours]&lt;5,"Low",IF(mental_health[Sleep_Hours]&lt;7,"Medium","Good"))</f>
        <v>Low</v>
      </c>
      <c r="U1923" t="str">
        <f>IF(mental_health[Stress_Level]&lt;=3,"Low",IF(mental_health[Stress_Level]&lt;=7,"Medium","High"))</f>
        <v>Low</v>
      </c>
      <c r="V1923" t="str">
        <f>IF(mental_health[Daily_Screen_Time]&lt;=4,"Low",IF(mental_health[Daily_Screen_Time]&lt;=8,"Medium","High"))</f>
        <v>Medium</v>
      </c>
    </row>
    <row r="1924" spans="1:22" x14ac:dyDescent="0.3">
      <c r="A1924">
        <v>1923</v>
      </c>
      <c r="B1924">
        <v>29</v>
      </c>
      <c r="C1924" t="s">
        <v>18</v>
      </c>
      <c r="D1924" t="s">
        <v>24</v>
      </c>
      <c r="E1924">
        <v>10.9</v>
      </c>
      <c r="F1924">
        <v>5.2</v>
      </c>
      <c r="G1924">
        <v>1</v>
      </c>
      <c r="H1924" t="str">
        <f t="shared" si="30"/>
        <v>Night Usage</v>
      </c>
      <c r="I1924">
        <v>4</v>
      </c>
      <c r="J1924" s="3">
        <v>7</v>
      </c>
      <c r="K1924">
        <v>11.3</v>
      </c>
      <c r="L1924" t="s">
        <v>25</v>
      </c>
      <c r="M1924">
        <v>10</v>
      </c>
      <c r="N1924">
        <v>2</v>
      </c>
      <c r="O1924">
        <v>0</v>
      </c>
      <c r="P1924">
        <v>0</v>
      </c>
      <c r="Q1924">
        <v>1</v>
      </c>
      <c r="R1924">
        <v>1</v>
      </c>
      <c r="S1924">
        <v>1</v>
      </c>
      <c r="T1924" t="str">
        <f>IF(mental_health[Sleep_Hours]&lt;5,"Low",IF(mental_health[Sleep_Hours]&lt;7,"Medium","Good"))</f>
        <v>Low</v>
      </c>
      <c r="U1924" t="str">
        <f>IF(mental_health[Stress_Level]&lt;=3,"Low",IF(mental_health[Stress_Level]&lt;=7,"Medium","High"))</f>
        <v>Medium</v>
      </c>
      <c r="V1924" t="str">
        <f>IF(mental_health[Daily_Screen_Time]&lt;=4,"Low",IF(mental_health[Daily_Screen_Time]&lt;=8,"Medium","High"))</f>
        <v>High</v>
      </c>
    </row>
    <row r="1925" spans="1:22" x14ac:dyDescent="0.3">
      <c r="A1925">
        <v>1924</v>
      </c>
      <c r="B1925">
        <v>27</v>
      </c>
      <c r="C1925" t="s">
        <v>18</v>
      </c>
      <c r="D1925" t="s">
        <v>22</v>
      </c>
      <c r="E1925">
        <v>7.7</v>
      </c>
      <c r="F1925">
        <v>2.1</v>
      </c>
      <c r="G1925">
        <v>0</v>
      </c>
      <c r="H1925" t="str">
        <f t="shared" si="30"/>
        <v>No Night Usage</v>
      </c>
      <c r="I1925">
        <v>7.7</v>
      </c>
      <c r="J1925" s="3">
        <v>3</v>
      </c>
      <c r="K1925">
        <v>9.1</v>
      </c>
      <c r="L1925" t="s">
        <v>25</v>
      </c>
      <c r="M1925">
        <v>2</v>
      </c>
      <c r="N1925">
        <v>0</v>
      </c>
      <c r="O1925">
        <v>1</v>
      </c>
      <c r="P1925">
        <v>0</v>
      </c>
      <c r="Q1925">
        <v>0</v>
      </c>
      <c r="R1925">
        <v>0</v>
      </c>
      <c r="S1925">
        <v>0</v>
      </c>
      <c r="T1925" t="str">
        <f>IF(mental_health[Sleep_Hours]&lt;5,"Low",IF(mental_health[Sleep_Hours]&lt;7,"Medium","Good"))</f>
        <v>Good</v>
      </c>
      <c r="U1925" t="str">
        <f>IF(mental_health[Stress_Level]&lt;=3,"Low",IF(mental_health[Stress_Level]&lt;=7,"Medium","High"))</f>
        <v>Low</v>
      </c>
      <c r="V1925" t="str">
        <f>IF(mental_health[Daily_Screen_Time]&lt;=4,"Low",IF(mental_health[Daily_Screen_Time]&lt;=8,"Medium","High"))</f>
        <v>Medium</v>
      </c>
    </row>
    <row r="1926" spans="1:22" x14ac:dyDescent="0.3">
      <c r="A1926">
        <v>1925</v>
      </c>
      <c r="B1926">
        <v>57</v>
      </c>
      <c r="C1926" t="s">
        <v>23</v>
      </c>
      <c r="D1926" t="s">
        <v>19</v>
      </c>
      <c r="E1926">
        <v>10.3</v>
      </c>
      <c r="F1926">
        <v>6.2</v>
      </c>
      <c r="G1926">
        <v>1</v>
      </c>
      <c r="H1926" t="str">
        <f t="shared" si="30"/>
        <v>Night Usage</v>
      </c>
      <c r="I1926">
        <v>4.4000000000000004</v>
      </c>
      <c r="J1926" s="3">
        <v>9</v>
      </c>
      <c r="K1926">
        <v>2.4</v>
      </c>
      <c r="L1926" t="s">
        <v>21</v>
      </c>
      <c r="M1926">
        <v>7</v>
      </c>
      <c r="N1926">
        <v>0</v>
      </c>
      <c r="O1926">
        <v>1</v>
      </c>
      <c r="P1926">
        <v>0</v>
      </c>
      <c r="Q1926">
        <v>1</v>
      </c>
      <c r="R1926">
        <v>1</v>
      </c>
      <c r="S1926">
        <v>1</v>
      </c>
      <c r="T1926" t="str">
        <f>IF(mental_health[Sleep_Hours]&lt;5,"Low",IF(mental_health[Sleep_Hours]&lt;7,"Medium","Good"))</f>
        <v>Low</v>
      </c>
      <c r="U1926" t="str">
        <f>IF(mental_health[Stress_Level]&lt;=3,"Low",IF(mental_health[Stress_Level]&lt;=7,"Medium","High"))</f>
        <v>High</v>
      </c>
      <c r="V1926" t="str">
        <f>IF(mental_health[Daily_Screen_Time]&lt;=4,"Low",IF(mental_health[Daily_Screen_Time]&lt;=8,"Medium","High"))</f>
        <v>High</v>
      </c>
    </row>
    <row r="1927" spans="1:22" x14ac:dyDescent="0.3">
      <c r="A1927">
        <v>1926</v>
      </c>
      <c r="B1927">
        <v>35</v>
      </c>
      <c r="C1927" t="s">
        <v>18</v>
      </c>
      <c r="D1927" t="s">
        <v>19</v>
      </c>
      <c r="E1927">
        <v>11.9</v>
      </c>
      <c r="F1927">
        <v>3.1</v>
      </c>
      <c r="G1927">
        <v>1</v>
      </c>
      <c r="H1927" t="str">
        <f t="shared" si="30"/>
        <v>Night Usage</v>
      </c>
      <c r="I1927">
        <v>6.2</v>
      </c>
      <c r="J1927" s="3">
        <v>8</v>
      </c>
      <c r="K1927">
        <v>5.8</v>
      </c>
      <c r="L1927" t="s">
        <v>20</v>
      </c>
      <c r="M1927">
        <v>7</v>
      </c>
      <c r="N1927">
        <v>1</v>
      </c>
      <c r="O1927">
        <v>0</v>
      </c>
      <c r="P1927">
        <v>0</v>
      </c>
      <c r="Q1927">
        <v>1</v>
      </c>
      <c r="R1927">
        <v>1</v>
      </c>
      <c r="S1927">
        <v>0</v>
      </c>
      <c r="T1927" t="str">
        <f>IF(mental_health[Sleep_Hours]&lt;5,"Low",IF(mental_health[Sleep_Hours]&lt;7,"Medium","Good"))</f>
        <v>Medium</v>
      </c>
      <c r="U1927" t="str">
        <f>IF(mental_health[Stress_Level]&lt;=3,"Low",IF(mental_health[Stress_Level]&lt;=7,"Medium","High"))</f>
        <v>High</v>
      </c>
      <c r="V1927" t="str">
        <f>IF(mental_health[Daily_Screen_Time]&lt;=4,"Low",IF(mental_health[Daily_Screen_Time]&lt;=8,"Medium","High"))</f>
        <v>High</v>
      </c>
    </row>
    <row r="1928" spans="1:22" x14ac:dyDescent="0.3">
      <c r="A1928">
        <v>1927</v>
      </c>
      <c r="B1928">
        <v>39</v>
      </c>
      <c r="C1928" t="s">
        <v>23</v>
      </c>
      <c r="D1928" t="s">
        <v>19</v>
      </c>
      <c r="E1928">
        <v>3.6</v>
      </c>
      <c r="F1928">
        <v>4.2</v>
      </c>
      <c r="G1928">
        <v>1</v>
      </c>
      <c r="H1928" t="str">
        <f t="shared" si="30"/>
        <v>Night Usage</v>
      </c>
      <c r="I1928">
        <v>5.7</v>
      </c>
      <c r="J1928" s="3">
        <v>5</v>
      </c>
      <c r="K1928">
        <v>10.1</v>
      </c>
      <c r="L1928" t="s">
        <v>21</v>
      </c>
      <c r="M1928">
        <v>9</v>
      </c>
      <c r="N1928">
        <v>4</v>
      </c>
      <c r="O1928">
        <v>0</v>
      </c>
      <c r="P1928">
        <v>0</v>
      </c>
      <c r="Q1928">
        <v>1</v>
      </c>
      <c r="R1928">
        <v>1</v>
      </c>
      <c r="S1928">
        <v>0</v>
      </c>
      <c r="T1928" t="str">
        <f>IF(mental_health[Sleep_Hours]&lt;5,"Low",IF(mental_health[Sleep_Hours]&lt;7,"Medium","Good"))</f>
        <v>Medium</v>
      </c>
      <c r="U1928" t="str">
        <f>IF(mental_health[Stress_Level]&lt;=3,"Low",IF(mental_health[Stress_Level]&lt;=7,"Medium","High"))</f>
        <v>Medium</v>
      </c>
      <c r="V1928" t="str">
        <f>IF(mental_health[Daily_Screen_Time]&lt;=4,"Low",IF(mental_health[Daily_Screen_Time]&lt;=8,"Medium","High"))</f>
        <v>Low</v>
      </c>
    </row>
    <row r="1929" spans="1:22" x14ac:dyDescent="0.3">
      <c r="A1929">
        <v>1928</v>
      </c>
      <c r="B1929">
        <v>58</v>
      </c>
      <c r="C1929" t="s">
        <v>18</v>
      </c>
      <c r="D1929" t="s">
        <v>22</v>
      </c>
      <c r="E1929">
        <v>8.9</v>
      </c>
      <c r="F1929">
        <v>5.2</v>
      </c>
      <c r="G1929">
        <v>1</v>
      </c>
      <c r="H1929" t="str">
        <f t="shared" si="30"/>
        <v>Night Usage</v>
      </c>
      <c r="I1929">
        <v>6.5</v>
      </c>
      <c r="J1929" s="3">
        <v>7</v>
      </c>
      <c r="K1929">
        <v>11.6</v>
      </c>
      <c r="L1929" t="s">
        <v>21</v>
      </c>
      <c r="M1929">
        <v>10</v>
      </c>
      <c r="N1929">
        <v>2</v>
      </c>
      <c r="O1929">
        <v>0</v>
      </c>
      <c r="P1929">
        <v>1</v>
      </c>
      <c r="Q1929">
        <v>0</v>
      </c>
      <c r="R1929">
        <v>0</v>
      </c>
      <c r="S1929">
        <v>0</v>
      </c>
      <c r="T1929" t="str">
        <f>IF(mental_health[Sleep_Hours]&lt;5,"Low",IF(mental_health[Sleep_Hours]&lt;7,"Medium","Good"))</f>
        <v>Medium</v>
      </c>
      <c r="U1929" t="str">
        <f>IF(mental_health[Stress_Level]&lt;=3,"Low",IF(mental_health[Stress_Level]&lt;=7,"Medium","High"))</f>
        <v>Medium</v>
      </c>
      <c r="V1929" t="str">
        <f>IF(mental_health[Daily_Screen_Time]&lt;=4,"Low",IF(mental_health[Daily_Screen_Time]&lt;=8,"Medium","High"))</f>
        <v>High</v>
      </c>
    </row>
    <row r="1930" spans="1:22" x14ac:dyDescent="0.3">
      <c r="A1930">
        <v>1929</v>
      </c>
      <c r="B1930">
        <v>49</v>
      </c>
      <c r="C1930" t="s">
        <v>18</v>
      </c>
      <c r="D1930" t="s">
        <v>19</v>
      </c>
      <c r="E1930">
        <v>8.6999999999999993</v>
      </c>
      <c r="F1930">
        <v>2.2000000000000002</v>
      </c>
      <c r="G1930">
        <v>1</v>
      </c>
      <c r="H1930" t="str">
        <f t="shared" si="30"/>
        <v>Night Usage</v>
      </c>
      <c r="I1930">
        <v>8.3000000000000007</v>
      </c>
      <c r="J1930" s="3">
        <v>3</v>
      </c>
      <c r="K1930">
        <v>5.7</v>
      </c>
      <c r="L1930" t="s">
        <v>20</v>
      </c>
      <c r="M1930">
        <v>9</v>
      </c>
      <c r="N1930">
        <v>4</v>
      </c>
      <c r="O1930">
        <v>0</v>
      </c>
      <c r="P1930">
        <v>1</v>
      </c>
      <c r="Q1930">
        <v>1</v>
      </c>
      <c r="R1930">
        <v>1</v>
      </c>
      <c r="S1930">
        <v>0</v>
      </c>
      <c r="T1930" t="str">
        <f>IF(mental_health[Sleep_Hours]&lt;5,"Low",IF(mental_health[Sleep_Hours]&lt;7,"Medium","Good"))</f>
        <v>Good</v>
      </c>
      <c r="U1930" t="str">
        <f>IF(mental_health[Stress_Level]&lt;=3,"Low",IF(mental_health[Stress_Level]&lt;=7,"Medium","High"))</f>
        <v>Low</v>
      </c>
      <c r="V1930" t="str">
        <f>IF(mental_health[Daily_Screen_Time]&lt;=4,"Low",IF(mental_health[Daily_Screen_Time]&lt;=8,"Medium","High"))</f>
        <v>High</v>
      </c>
    </row>
    <row r="1931" spans="1:22" x14ac:dyDescent="0.3">
      <c r="A1931">
        <v>1930</v>
      </c>
      <c r="B1931">
        <v>40</v>
      </c>
      <c r="C1931" t="s">
        <v>18</v>
      </c>
      <c r="D1931" t="s">
        <v>22</v>
      </c>
      <c r="E1931">
        <v>11.8</v>
      </c>
      <c r="F1931">
        <v>6.2</v>
      </c>
      <c r="G1931">
        <v>0</v>
      </c>
      <c r="H1931" t="str">
        <f t="shared" si="30"/>
        <v>No Night Usage</v>
      </c>
      <c r="I1931">
        <v>8.1999999999999993</v>
      </c>
      <c r="J1931" s="3">
        <v>1</v>
      </c>
      <c r="K1931">
        <v>10.4</v>
      </c>
      <c r="L1931" t="s">
        <v>21</v>
      </c>
      <c r="M1931">
        <v>9</v>
      </c>
      <c r="N1931">
        <v>3</v>
      </c>
      <c r="O1931">
        <v>0</v>
      </c>
      <c r="P1931">
        <v>0</v>
      </c>
      <c r="Q1931">
        <v>0</v>
      </c>
      <c r="R1931">
        <v>1</v>
      </c>
      <c r="S1931">
        <v>1</v>
      </c>
      <c r="T1931" t="str">
        <f>IF(mental_health[Sleep_Hours]&lt;5,"Low",IF(mental_health[Sleep_Hours]&lt;7,"Medium","Good"))</f>
        <v>Good</v>
      </c>
      <c r="U1931" t="str">
        <f>IF(mental_health[Stress_Level]&lt;=3,"Low",IF(mental_health[Stress_Level]&lt;=7,"Medium","High"))</f>
        <v>Low</v>
      </c>
      <c r="V1931" t="str">
        <f>IF(mental_health[Daily_Screen_Time]&lt;=4,"Low",IF(mental_health[Daily_Screen_Time]&lt;=8,"Medium","High"))</f>
        <v>High</v>
      </c>
    </row>
    <row r="1932" spans="1:22" x14ac:dyDescent="0.3">
      <c r="A1932">
        <v>1931</v>
      </c>
      <c r="B1932">
        <v>44</v>
      </c>
      <c r="C1932" t="s">
        <v>18</v>
      </c>
      <c r="D1932" t="s">
        <v>19</v>
      </c>
      <c r="E1932">
        <v>11.9</v>
      </c>
      <c r="F1932">
        <v>3.1</v>
      </c>
      <c r="G1932">
        <v>0</v>
      </c>
      <c r="H1932" t="str">
        <f t="shared" si="30"/>
        <v>No Night Usage</v>
      </c>
      <c r="I1932">
        <v>5.7</v>
      </c>
      <c r="J1932" s="3">
        <v>1</v>
      </c>
      <c r="K1932">
        <v>10.6</v>
      </c>
      <c r="L1932" t="s">
        <v>25</v>
      </c>
      <c r="M1932">
        <v>6</v>
      </c>
      <c r="N1932">
        <v>4</v>
      </c>
      <c r="O1932">
        <v>1</v>
      </c>
      <c r="P1932">
        <v>1</v>
      </c>
      <c r="Q1932">
        <v>1</v>
      </c>
      <c r="R1932">
        <v>1</v>
      </c>
      <c r="S1932">
        <v>0</v>
      </c>
      <c r="T1932" t="str">
        <f>IF(mental_health[Sleep_Hours]&lt;5,"Low",IF(mental_health[Sleep_Hours]&lt;7,"Medium","Good"))</f>
        <v>Medium</v>
      </c>
      <c r="U1932" t="str">
        <f>IF(mental_health[Stress_Level]&lt;=3,"Low",IF(mental_health[Stress_Level]&lt;=7,"Medium","High"))</f>
        <v>Low</v>
      </c>
      <c r="V1932" t="str">
        <f>IF(mental_health[Daily_Screen_Time]&lt;=4,"Low",IF(mental_health[Daily_Screen_Time]&lt;=8,"Medium","High"))</f>
        <v>High</v>
      </c>
    </row>
    <row r="1933" spans="1:22" x14ac:dyDescent="0.3">
      <c r="A1933">
        <v>1932</v>
      </c>
      <c r="B1933">
        <v>54</v>
      </c>
      <c r="C1933" t="s">
        <v>18</v>
      </c>
      <c r="D1933" t="s">
        <v>24</v>
      </c>
      <c r="E1933">
        <v>8.9</v>
      </c>
      <c r="F1933">
        <v>5.6</v>
      </c>
      <c r="G1933">
        <v>0</v>
      </c>
      <c r="H1933" t="str">
        <f t="shared" si="30"/>
        <v>No Night Usage</v>
      </c>
      <c r="I1933">
        <v>3.1</v>
      </c>
      <c r="J1933" s="3">
        <v>2</v>
      </c>
      <c r="K1933">
        <v>3.2</v>
      </c>
      <c r="L1933" t="s">
        <v>20</v>
      </c>
      <c r="M1933">
        <v>8</v>
      </c>
      <c r="N1933">
        <v>4</v>
      </c>
      <c r="O1933">
        <v>1</v>
      </c>
      <c r="P1933">
        <v>0</v>
      </c>
      <c r="Q1933">
        <v>1</v>
      </c>
      <c r="R1933">
        <v>1</v>
      </c>
      <c r="S1933">
        <v>0</v>
      </c>
      <c r="T1933" t="str">
        <f>IF(mental_health[Sleep_Hours]&lt;5,"Low",IF(mental_health[Sleep_Hours]&lt;7,"Medium","Good"))</f>
        <v>Low</v>
      </c>
      <c r="U1933" t="str">
        <f>IF(mental_health[Stress_Level]&lt;=3,"Low",IF(mental_health[Stress_Level]&lt;=7,"Medium","High"))</f>
        <v>Low</v>
      </c>
      <c r="V1933" t="str">
        <f>IF(mental_health[Daily_Screen_Time]&lt;=4,"Low",IF(mental_health[Daily_Screen_Time]&lt;=8,"Medium","High"))</f>
        <v>High</v>
      </c>
    </row>
    <row r="1934" spans="1:22" x14ac:dyDescent="0.3">
      <c r="A1934">
        <v>1933</v>
      </c>
      <c r="B1934">
        <v>46</v>
      </c>
      <c r="C1934" t="s">
        <v>23</v>
      </c>
      <c r="D1934" t="s">
        <v>24</v>
      </c>
      <c r="E1934">
        <v>4.4000000000000004</v>
      </c>
      <c r="F1934">
        <v>2.1</v>
      </c>
      <c r="G1934">
        <v>0</v>
      </c>
      <c r="H1934" t="str">
        <f t="shared" si="30"/>
        <v>No Night Usage</v>
      </c>
      <c r="I1934">
        <v>5.6</v>
      </c>
      <c r="J1934" s="3">
        <v>8</v>
      </c>
      <c r="K1934">
        <v>10.5</v>
      </c>
      <c r="L1934" t="s">
        <v>20</v>
      </c>
      <c r="M1934">
        <v>9</v>
      </c>
      <c r="N1934">
        <v>3</v>
      </c>
      <c r="O1934">
        <v>0</v>
      </c>
      <c r="P1934">
        <v>1</v>
      </c>
      <c r="Q1934">
        <v>1</v>
      </c>
      <c r="R1934">
        <v>1</v>
      </c>
      <c r="S1934">
        <v>1</v>
      </c>
      <c r="T1934" t="str">
        <f>IF(mental_health[Sleep_Hours]&lt;5,"Low",IF(mental_health[Sleep_Hours]&lt;7,"Medium","Good"))</f>
        <v>Medium</v>
      </c>
      <c r="U1934" t="str">
        <f>IF(mental_health[Stress_Level]&lt;=3,"Low",IF(mental_health[Stress_Level]&lt;=7,"Medium","High"))</f>
        <v>High</v>
      </c>
      <c r="V1934" t="str">
        <f>IF(mental_health[Daily_Screen_Time]&lt;=4,"Low",IF(mental_health[Daily_Screen_Time]&lt;=8,"Medium","High"))</f>
        <v>Medium</v>
      </c>
    </row>
    <row r="1935" spans="1:22" x14ac:dyDescent="0.3">
      <c r="A1935">
        <v>1934</v>
      </c>
      <c r="B1935">
        <v>58</v>
      </c>
      <c r="C1935" t="s">
        <v>23</v>
      </c>
      <c r="D1935" t="s">
        <v>24</v>
      </c>
      <c r="E1935">
        <v>10</v>
      </c>
      <c r="F1935">
        <v>5.8</v>
      </c>
      <c r="G1935">
        <v>0</v>
      </c>
      <c r="H1935" t="str">
        <f t="shared" si="30"/>
        <v>No Night Usage</v>
      </c>
      <c r="I1935">
        <v>6.6</v>
      </c>
      <c r="J1935" s="3">
        <v>1</v>
      </c>
      <c r="K1935">
        <v>5.2</v>
      </c>
      <c r="L1935" t="s">
        <v>21</v>
      </c>
      <c r="M1935">
        <v>7</v>
      </c>
      <c r="N1935">
        <v>3</v>
      </c>
      <c r="O1935">
        <v>0</v>
      </c>
      <c r="P1935">
        <v>1</v>
      </c>
      <c r="Q1935">
        <v>0</v>
      </c>
      <c r="R1935">
        <v>1</v>
      </c>
      <c r="S1935">
        <v>0</v>
      </c>
      <c r="T1935" t="str">
        <f>IF(mental_health[Sleep_Hours]&lt;5,"Low",IF(mental_health[Sleep_Hours]&lt;7,"Medium","Good"))</f>
        <v>Medium</v>
      </c>
      <c r="U1935" t="str">
        <f>IF(mental_health[Stress_Level]&lt;=3,"Low",IF(mental_health[Stress_Level]&lt;=7,"Medium","High"))</f>
        <v>Low</v>
      </c>
      <c r="V1935" t="str">
        <f>IF(mental_health[Daily_Screen_Time]&lt;=4,"Low",IF(mental_health[Daily_Screen_Time]&lt;=8,"Medium","High"))</f>
        <v>High</v>
      </c>
    </row>
    <row r="1936" spans="1:22" x14ac:dyDescent="0.3">
      <c r="A1936">
        <v>1935</v>
      </c>
      <c r="B1936">
        <v>38</v>
      </c>
      <c r="C1936" t="s">
        <v>23</v>
      </c>
      <c r="D1936" t="s">
        <v>24</v>
      </c>
      <c r="E1936">
        <v>3.1</v>
      </c>
      <c r="F1936">
        <v>1.9</v>
      </c>
      <c r="G1936">
        <v>1</v>
      </c>
      <c r="H1936" t="str">
        <f t="shared" si="30"/>
        <v>Night Usage</v>
      </c>
      <c r="I1936">
        <v>6.3</v>
      </c>
      <c r="J1936" s="3">
        <v>5</v>
      </c>
      <c r="K1936">
        <v>7.9</v>
      </c>
      <c r="L1936" t="s">
        <v>25</v>
      </c>
      <c r="M1936">
        <v>4</v>
      </c>
      <c r="N1936">
        <v>2</v>
      </c>
      <c r="O1936">
        <v>0</v>
      </c>
      <c r="P1936">
        <v>0</v>
      </c>
      <c r="Q1936">
        <v>1</v>
      </c>
      <c r="R1936">
        <v>1</v>
      </c>
      <c r="S1936">
        <v>0</v>
      </c>
      <c r="T1936" t="str">
        <f>IF(mental_health[Sleep_Hours]&lt;5,"Low",IF(mental_health[Sleep_Hours]&lt;7,"Medium","Good"))</f>
        <v>Medium</v>
      </c>
      <c r="U1936" t="str">
        <f>IF(mental_health[Stress_Level]&lt;=3,"Low",IF(mental_health[Stress_Level]&lt;=7,"Medium","High"))</f>
        <v>Medium</v>
      </c>
      <c r="V1936" t="str">
        <f>IF(mental_health[Daily_Screen_Time]&lt;=4,"Low",IF(mental_health[Daily_Screen_Time]&lt;=8,"Medium","High"))</f>
        <v>Low</v>
      </c>
    </row>
    <row r="1937" spans="1:22" x14ac:dyDescent="0.3">
      <c r="A1937">
        <v>1936</v>
      </c>
      <c r="B1937">
        <v>59</v>
      </c>
      <c r="C1937" t="s">
        <v>18</v>
      </c>
      <c r="D1937" t="s">
        <v>22</v>
      </c>
      <c r="E1937">
        <v>9.8000000000000007</v>
      </c>
      <c r="F1937">
        <v>4</v>
      </c>
      <c r="G1937">
        <v>0</v>
      </c>
      <c r="H1937" t="str">
        <f t="shared" si="30"/>
        <v>No Night Usage</v>
      </c>
      <c r="I1937">
        <v>6.9</v>
      </c>
      <c r="J1937" s="3">
        <v>9</v>
      </c>
      <c r="K1937">
        <v>7.4</v>
      </c>
      <c r="L1937" t="s">
        <v>25</v>
      </c>
      <c r="M1937">
        <v>4</v>
      </c>
      <c r="N1937">
        <v>0</v>
      </c>
      <c r="O1937">
        <v>1</v>
      </c>
      <c r="P1937">
        <v>0</v>
      </c>
      <c r="Q1937">
        <v>1</v>
      </c>
      <c r="R1937">
        <v>1</v>
      </c>
      <c r="S1937">
        <v>0</v>
      </c>
      <c r="T1937" t="str">
        <f>IF(mental_health[Sleep_Hours]&lt;5,"Low",IF(mental_health[Sleep_Hours]&lt;7,"Medium","Good"))</f>
        <v>Medium</v>
      </c>
      <c r="U1937" t="str">
        <f>IF(mental_health[Stress_Level]&lt;=3,"Low",IF(mental_health[Stress_Level]&lt;=7,"Medium","High"))</f>
        <v>High</v>
      </c>
      <c r="V1937" t="str">
        <f>IF(mental_health[Daily_Screen_Time]&lt;=4,"Low",IF(mental_health[Daily_Screen_Time]&lt;=8,"Medium","High"))</f>
        <v>High</v>
      </c>
    </row>
    <row r="1938" spans="1:22" x14ac:dyDescent="0.3">
      <c r="A1938">
        <v>1937</v>
      </c>
      <c r="B1938">
        <v>53</v>
      </c>
      <c r="C1938" t="s">
        <v>18</v>
      </c>
      <c r="D1938" t="s">
        <v>19</v>
      </c>
      <c r="E1938">
        <v>11.1</v>
      </c>
      <c r="F1938">
        <v>2.7</v>
      </c>
      <c r="G1938">
        <v>0</v>
      </c>
      <c r="H1938" t="str">
        <f t="shared" si="30"/>
        <v>No Night Usage</v>
      </c>
      <c r="I1938">
        <v>3.9</v>
      </c>
      <c r="J1938" s="3">
        <v>9</v>
      </c>
      <c r="K1938">
        <v>8.6</v>
      </c>
      <c r="L1938" t="s">
        <v>25</v>
      </c>
      <c r="M1938">
        <v>6</v>
      </c>
      <c r="N1938">
        <v>1</v>
      </c>
      <c r="O1938">
        <v>1</v>
      </c>
      <c r="P1938">
        <v>0</v>
      </c>
      <c r="Q1938">
        <v>0</v>
      </c>
      <c r="R1938">
        <v>1</v>
      </c>
      <c r="S1938">
        <v>0</v>
      </c>
      <c r="T1938" t="str">
        <f>IF(mental_health[Sleep_Hours]&lt;5,"Low",IF(mental_health[Sleep_Hours]&lt;7,"Medium","Good"))</f>
        <v>Low</v>
      </c>
      <c r="U1938" t="str">
        <f>IF(mental_health[Stress_Level]&lt;=3,"Low",IF(mental_health[Stress_Level]&lt;=7,"Medium","High"))</f>
        <v>High</v>
      </c>
      <c r="V1938" t="str">
        <f>IF(mental_health[Daily_Screen_Time]&lt;=4,"Low",IF(mental_health[Daily_Screen_Time]&lt;=8,"Medium","High"))</f>
        <v>High</v>
      </c>
    </row>
    <row r="1939" spans="1:22" x14ac:dyDescent="0.3">
      <c r="A1939">
        <v>1938</v>
      </c>
      <c r="B1939">
        <v>35</v>
      </c>
      <c r="C1939" t="s">
        <v>23</v>
      </c>
      <c r="D1939" t="s">
        <v>24</v>
      </c>
      <c r="E1939">
        <v>5.8</v>
      </c>
      <c r="F1939">
        <v>6.2</v>
      </c>
      <c r="G1939">
        <v>1</v>
      </c>
      <c r="H1939" t="str">
        <f t="shared" si="30"/>
        <v>Night Usage</v>
      </c>
      <c r="I1939">
        <v>6.9</v>
      </c>
      <c r="J1939" s="3">
        <v>2</v>
      </c>
      <c r="K1939">
        <v>9.4</v>
      </c>
      <c r="L1939" t="s">
        <v>21</v>
      </c>
      <c r="M1939">
        <v>4</v>
      </c>
      <c r="N1939">
        <v>3</v>
      </c>
      <c r="O1939">
        <v>1</v>
      </c>
      <c r="P1939">
        <v>1</v>
      </c>
      <c r="Q1939">
        <v>0</v>
      </c>
      <c r="R1939">
        <v>0</v>
      </c>
      <c r="S1939">
        <v>0</v>
      </c>
      <c r="T1939" t="str">
        <f>IF(mental_health[Sleep_Hours]&lt;5,"Low",IF(mental_health[Sleep_Hours]&lt;7,"Medium","Good"))</f>
        <v>Medium</v>
      </c>
      <c r="U1939" t="str">
        <f>IF(mental_health[Stress_Level]&lt;=3,"Low",IF(mental_health[Stress_Level]&lt;=7,"Medium","High"))</f>
        <v>Low</v>
      </c>
      <c r="V1939" t="str">
        <f>IF(mental_health[Daily_Screen_Time]&lt;=4,"Low",IF(mental_health[Daily_Screen_Time]&lt;=8,"Medium","High"))</f>
        <v>Medium</v>
      </c>
    </row>
    <row r="1940" spans="1:22" x14ac:dyDescent="0.3">
      <c r="A1940">
        <v>1939</v>
      </c>
      <c r="B1940">
        <v>38</v>
      </c>
      <c r="C1940" t="s">
        <v>18</v>
      </c>
      <c r="D1940" t="s">
        <v>22</v>
      </c>
      <c r="E1940">
        <v>8.3000000000000007</v>
      </c>
      <c r="F1940">
        <v>2.8</v>
      </c>
      <c r="G1940">
        <v>0</v>
      </c>
      <c r="H1940" t="str">
        <f t="shared" si="30"/>
        <v>No Night Usage</v>
      </c>
      <c r="I1940">
        <v>4.0999999999999996</v>
      </c>
      <c r="J1940" s="3">
        <v>7</v>
      </c>
      <c r="K1940">
        <v>6.4</v>
      </c>
      <c r="L1940" t="s">
        <v>21</v>
      </c>
      <c r="M1940">
        <v>7</v>
      </c>
      <c r="N1940">
        <v>0</v>
      </c>
      <c r="O1940">
        <v>1</v>
      </c>
      <c r="P1940">
        <v>1</v>
      </c>
      <c r="Q1940">
        <v>1</v>
      </c>
      <c r="R1940">
        <v>1</v>
      </c>
      <c r="S1940">
        <v>0</v>
      </c>
      <c r="T1940" t="str">
        <f>IF(mental_health[Sleep_Hours]&lt;5,"Low",IF(mental_health[Sleep_Hours]&lt;7,"Medium","Good"))</f>
        <v>Low</v>
      </c>
      <c r="U1940" t="str">
        <f>IF(mental_health[Stress_Level]&lt;=3,"Low",IF(mental_health[Stress_Level]&lt;=7,"Medium","High"))</f>
        <v>Medium</v>
      </c>
      <c r="V1940" t="str">
        <f>IF(mental_health[Daily_Screen_Time]&lt;=4,"Low",IF(mental_health[Daily_Screen_Time]&lt;=8,"Medium","High"))</f>
        <v>High</v>
      </c>
    </row>
    <row r="1941" spans="1:22" x14ac:dyDescent="0.3">
      <c r="A1941">
        <v>1940</v>
      </c>
      <c r="B1941">
        <v>31</v>
      </c>
      <c r="C1941" t="s">
        <v>18</v>
      </c>
      <c r="D1941" t="s">
        <v>24</v>
      </c>
      <c r="E1941">
        <v>6.3</v>
      </c>
      <c r="F1941">
        <v>7.2</v>
      </c>
      <c r="G1941">
        <v>0</v>
      </c>
      <c r="H1941" t="str">
        <f t="shared" si="30"/>
        <v>No Night Usage</v>
      </c>
      <c r="I1941">
        <v>7.5</v>
      </c>
      <c r="J1941" s="3">
        <v>1</v>
      </c>
      <c r="K1941">
        <v>10.9</v>
      </c>
      <c r="L1941" t="s">
        <v>25</v>
      </c>
      <c r="M1941">
        <v>8</v>
      </c>
      <c r="N1941">
        <v>2</v>
      </c>
      <c r="O1941">
        <v>0</v>
      </c>
      <c r="P1941">
        <v>0</v>
      </c>
      <c r="Q1941">
        <v>0</v>
      </c>
      <c r="R1941">
        <v>0</v>
      </c>
      <c r="S1941">
        <v>1</v>
      </c>
      <c r="T1941" t="str">
        <f>IF(mental_health[Sleep_Hours]&lt;5,"Low",IF(mental_health[Sleep_Hours]&lt;7,"Medium","Good"))</f>
        <v>Good</v>
      </c>
      <c r="U1941" t="str">
        <f>IF(mental_health[Stress_Level]&lt;=3,"Low",IF(mental_health[Stress_Level]&lt;=7,"Medium","High"))</f>
        <v>Low</v>
      </c>
      <c r="V1941" t="str">
        <f>IF(mental_health[Daily_Screen_Time]&lt;=4,"Low",IF(mental_health[Daily_Screen_Time]&lt;=8,"Medium","High"))</f>
        <v>Medium</v>
      </c>
    </row>
    <row r="1942" spans="1:22" x14ac:dyDescent="0.3">
      <c r="A1942">
        <v>1941</v>
      </c>
      <c r="B1942">
        <v>57</v>
      </c>
      <c r="C1942" t="s">
        <v>23</v>
      </c>
      <c r="D1942" t="s">
        <v>24</v>
      </c>
      <c r="E1942">
        <v>6.4</v>
      </c>
      <c r="F1942">
        <v>7.2</v>
      </c>
      <c r="G1942">
        <v>0</v>
      </c>
      <c r="H1942" t="str">
        <f t="shared" si="30"/>
        <v>No Night Usage</v>
      </c>
      <c r="I1942">
        <v>5</v>
      </c>
      <c r="J1942" s="3">
        <v>3</v>
      </c>
      <c r="K1942">
        <v>10.1</v>
      </c>
      <c r="L1942" t="s">
        <v>21</v>
      </c>
      <c r="M1942">
        <v>8</v>
      </c>
      <c r="N1942">
        <v>4</v>
      </c>
      <c r="O1942">
        <v>1</v>
      </c>
      <c r="P1942">
        <v>0</v>
      </c>
      <c r="Q1942">
        <v>1</v>
      </c>
      <c r="R1942">
        <v>0</v>
      </c>
      <c r="S1942">
        <v>1</v>
      </c>
      <c r="T1942" t="str">
        <f>IF(mental_health[Sleep_Hours]&lt;5,"Low",IF(mental_health[Sleep_Hours]&lt;7,"Medium","Good"))</f>
        <v>Medium</v>
      </c>
      <c r="U1942" t="str">
        <f>IF(mental_health[Stress_Level]&lt;=3,"Low",IF(mental_health[Stress_Level]&lt;=7,"Medium","High"))</f>
        <v>Low</v>
      </c>
      <c r="V1942" t="str">
        <f>IF(mental_health[Daily_Screen_Time]&lt;=4,"Low",IF(mental_health[Daily_Screen_Time]&lt;=8,"Medium","High"))</f>
        <v>Medium</v>
      </c>
    </row>
    <row r="1943" spans="1:22" x14ac:dyDescent="0.3">
      <c r="A1943">
        <v>1942</v>
      </c>
      <c r="B1943">
        <v>23</v>
      </c>
      <c r="C1943" t="s">
        <v>18</v>
      </c>
      <c r="D1943" t="s">
        <v>22</v>
      </c>
      <c r="E1943">
        <v>5.0999999999999996</v>
      </c>
      <c r="F1943">
        <v>2.4</v>
      </c>
      <c r="G1943">
        <v>0</v>
      </c>
      <c r="H1943" t="str">
        <f t="shared" si="30"/>
        <v>No Night Usage</v>
      </c>
      <c r="I1943">
        <v>7.3</v>
      </c>
      <c r="J1943" s="3">
        <v>6</v>
      </c>
      <c r="K1943">
        <v>9.9</v>
      </c>
      <c r="L1943" t="s">
        <v>25</v>
      </c>
      <c r="M1943">
        <v>8</v>
      </c>
      <c r="N1943">
        <v>2</v>
      </c>
      <c r="O1943">
        <v>1</v>
      </c>
      <c r="P1943">
        <v>1</v>
      </c>
      <c r="Q1943">
        <v>0</v>
      </c>
      <c r="R1943">
        <v>0</v>
      </c>
      <c r="S1943">
        <v>1</v>
      </c>
      <c r="T1943" t="str">
        <f>IF(mental_health[Sleep_Hours]&lt;5,"Low",IF(mental_health[Sleep_Hours]&lt;7,"Medium","Good"))</f>
        <v>Good</v>
      </c>
      <c r="U1943" t="str">
        <f>IF(mental_health[Stress_Level]&lt;=3,"Low",IF(mental_health[Stress_Level]&lt;=7,"Medium","High"))</f>
        <v>Medium</v>
      </c>
      <c r="V1943" t="str">
        <f>IF(mental_health[Daily_Screen_Time]&lt;=4,"Low",IF(mental_health[Daily_Screen_Time]&lt;=8,"Medium","High"))</f>
        <v>Medium</v>
      </c>
    </row>
    <row r="1944" spans="1:22" x14ac:dyDescent="0.3">
      <c r="A1944">
        <v>1943</v>
      </c>
      <c r="B1944">
        <v>36</v>
      </c>
      <c r="C1944" t="s">
        <v>23</v>
      </c>
      <c r="D1944" t="s">
        <v>22</v>
      </c>
      <c r="E1944">
        <v>9.6</v>
      </c>
      <c r="F1944">
        <v>5.3</v>
      </c>
      <c r="G1944">
        <v>1</v>
      </c>
      <c r="H1944" t="str">
        <f t="shared" si="30"/>
        <v>Night Usage</v>
      </c>
      <c r="I1944">
        <v>3.3</v>
      </c>
      <c r="J1944" s="3">
        <v>9</v>
      </c>
      <c r="K1944">
        <v>6.6</v>
      </c>
      <c r="L1944" t="s">
        <v>21</v>
      </c>
      <c r="M1944">
        <v>2</v>
      </c>
      <c r="N1944">
        <v>2</v>
      </c>
      <c r="O1944">
        <v>0</v>
      </c>
      <c r="P1944">
        <v>0</v>
      </c>
      <c r="Q1944">
        <v>1</v>
      </c>
      <c r="R1944">
        <v>0</v>
      </c>
      <c r="S1944">
        <v>1</v>
      </c>
      <c r="T1944" t="str">
        <f>IF(mental_health[Sleep_Hours]&lt;5,"Low",IF(mental_health[Sleep_Hours]&lt;7,"Medium","Good"))</f>
        <v>Low</v>
      </c>
      <c r="U1944" t="str">
        <f>IF(mental_health[Stress_Level]&lt;=3,"Low",IF(mental_health[Stress_Level]&lt;=7,"Medium","High"))</f>
        <v>High</v>
      </c>
      <c r="V1944" t="str">
        <f>IF(mental_health[Daily_Screen_Time]&lt;=4,"Low",IF(mental_health[Daily_Screen_Time]&lt;=8,"Medium","High"))</f>
        <v>High</v>
      </c>
    </row>
    <row r="1945" spans="1:22" x14ac:dyDescent="0.3">
      <c r="A1945">
        <v>1944</v>
      </c>
      <c r="B1945">
        <v>16</v>
      </c>
      <c r="C1945" t="s">
        <v>18</v>
      </c>
      <c r="D1945" t="s">
        <v>19</v>
      </c>
      <c r="E1945">
        <v>11.4</v>
      </c>
      <c r="F1945">
        <v>1.6</v>
      </c>
      <c r="G1945">
        <v>1</v>
      </c>
      <c r="H1945" t="str">
        <f t="shared" si="30"/>
        <v>Night Usage</v>
      </c>
      <c r="I1945">
        <v>5.4</v>
      </c>
      <c r="J1945" s="3">
        <v>10</v>
      </c>
      <c r="K1945">
        <v>2.4</v>
      </c>
      <c r="L1945" t="s">
        <v>20</v>
      </c>
      <c r="M1945">
        <v>10</v>
      </c>
      <c r="N1945">
        <v>3</v>
      </c>
      <c r="O1945">
        <v>0</v>
      </c>
      <c r="P1945">
        <v>1</v>
      </c>
      <c r="Q1945">
        <v>1</v>
      </c>
      <c r="R1945">
        <v>1</v>
      </c>
      <c r="S1945">
        <v>1</v>
      </c>
      <c r="T1945" t="str">
        <f>IF(mental_health[Sleep_Hours]&lt;5,"Low",IF(mental_health[Sleep_Hours]&lt;7,"Medium","Good"))</f>
        <v>Medium</v>
      </c>
      <c r="U1945" t="str">
        <f>IF(mental_health[Stress_Level]&lt;=3,"Low",IF(mental_health[Stress_Level]&lt;=7,"Medium","High"))</f>
        <v>High</v>
      </c>
      <c r="V1945" t="str">
        <f>IF(mental_health[Daily_Screen_Time]&lt;=4,"Low",IF(mental_health[Daily_Screen_Time]&lt;=8,"Medium","High"))</f>
        <v>High</v>
      </c>
    </row>
    <row r="1946" spans="1:22" x14ac:dyDescent="0.3">
      <c r="A1946">
        <v>1945</v>
      </c>
      <c r="B1946">
        <v>23</v>
      </c>
      <c r="C1946" t="s">
        <v>23</v>
      </c>
      <c r="D1946" t="s">
        <v>19</v>
      </c>
      <c r="E1946">
        <v>11.4</v>
      </c>
      <c r="F1946">
        <v>3.7</v>
      </c>
      <c r="G1946">
        <v>0</v>
      </c>
      <c r="H1946" t="str">
        <f t="shared" si="30"/>
        <v>No Night Usage</v>
      </c>
      <c r="I1946">
        <v>7.2</v>
      </c>
      <c r="J1946" s="3">
        <v>2</v>
      </c>
      <c r="K1946">
        <v>6.9</v>
      </c>
      <c r="L1946" t="s">
        <v>20</v>
      </c>
      <c r="M1946">
        <v>2</v>
      </c>
      <c r="N1946">
        <v>1</v>
      </c>
      <c r="O1946">
        <v>1</v>
      </c>
      <c r="P1946">
        <v>1</v>
      </c>
      <c r="Q1946">
        <v>1</v>
      </c>
      <c r="R1946">
        <v>0</v>
      </c>
      <c r="S1946">
        <v>0</v>
      </c>
      <c r="T1946" t="str">
        <f>IF(mental_health[Sleep_Hours]&lt;5,"Low",IF(mental_health[Sleep_Hours]&lt;7,"Medium","Good"))</f>
        <v>Good</v>
      </c>
      <c r="U1946" t="str">
        <f>IF(mental_health[Stress_Level]&lt;=3,"Low",IF(mental_health[Stress_Level]&lt;=7,"Medium","High"))</f>
        <v>Low</v>
      </c>
      <c r="V1946" t="str">
        <f>IF(mental_health[Daily_Screen_Time]&lt;=4,"Low",IF(mental_health[Daily_Screen_Time]&lt;=8,"Medium","High"))</f>
        <v>High</v>
      </c>
    </row>
    <row r="1947" spans="1:22" x14ac:dyDescent="0.3">
      <c r="A1947">
        <v>1946</v>
      </c>
      <c r="B1947">
        <v>44</v>
      </c>
      <c r="C1947" t="s">
        <v>18</v>
      </c>
      <c r="D1947" t="s">
        <v>24</v>
      </c>
      <c r="E1947">
        <v>3.7</v>
      </c>
      <c r="F1947">
        <v>6</v>
      </c>
      <c r="G1947">
        <v>1</v>
      </c>
      <c r="H1947" t="str">
        <f t="shared" si="30"/>
        <v>Night Usage</v>
      </c>
      <c r="I1947">
        <v>4.4000000000000004</v>
      </c>
      <c r="J1947" s="3">
        <v>7</v>
      </c>
      <c r="K1947">
        <v>11</v>
      </c>
      <c r="L1947" t="s">
        <v>21</v>
      </c>
      <c r="M1947">
        <v>2</v>
      </c>
      <c r="N1947">
        <v>3</v>
      </c>
      <c r="O1947">
        <v>0</v>
      </c>
      <c r="P1947">
        <v>0</v>
      </c>
      <c r="Q1947">
        <v>1</v>
      </c>
      <c r="R1947">
        <v>0</v>
      </c>
      <c r="S1947">
        <v>1</v>
      </c>
      <c r="T1947" t="str">
        <f>IF(mental_health[Sleep_Hours]&lt;5,"Low",IF(mental_health[Sleep_Hours]&lt;7,"Medium","Good"))</f>
        <v>Low</v>
      </c>
      <c r="U1947" t="str">
        <f>IF(mental_health[Stress_Level]&lt;=3,"Low",IF(mental_health[Stress_Level]&lt;=7,"Medium","High"))</f>
        <v>Medium</v>
      </c>
      <c r="V1947" t="str">
        <f>IF(mental_health[Daily_Screen_Time]&lt;=4,"Low",IF(mental_health[Daily_Screen_Time]&lt;=8,"Medium","High"))</f>
        <v>Low</v>
      </c>
    </row>
    <row r="1948" spans="1:22" x14ac:dyDescent="0.3">
      <c r="A1948">
        <v>1947</v>
      </c>
      <c r="B1948">
        <v>47</v>
      </c>
      <c r="C1948" t="s">
        <v>18</v>
      </c>
      <c r="D1948" t="s">
        <v>24</v>
      </c>
      <c r="E1948">
        <v>10.7</v>
      </c>
      <c r="F1948">
        <v>5.6</v>
      </c>
      <c r="G1948">
        <v>0</v>
      </c>
      <c r="H1948" t="str">
        <f t="shared" si="30"/>
        <v>No Night Usage</v>
      </c>
      <c r="I1948">
        <v>7.8</v>
      </c>
      <c r="J1948" s="3">
        <v>4</v>
      </c>
      <c r="K1948">
        <v>3.9</v>
      </c>
      <c r="L1948" t="s">
        <v>21</v>
      </c>
      <c r="M1948">
        <v>2</v>
      </c>
      <c r="N1948">
        <v>4</v>
      </c>
      <c r="O1948">
        <v>0</v>
      </c>
      <c r="P1948">
        <v>1</v>
      </c>
      <c r="Q1948">
        <v>0</v>
      </c>
      <c r="R1948">
        <v>0</v>
      </c>
      <c r="S1948">
        <v>0</v>
      </c>
      <c r="T1948" t="str">
        <f>IF(mental_health[Sleep_Hours]&lt;5,"Low",IF(mental_health[Sleep_Hours]&lt;7,"Medium","Good"))</f>
        <v>Good</v>
      </c>
      <c r="U1948" t="str">
        <f>IF(mental_health[Stress_Level]&lt;=3,"Low",IF(mental_health[Stress_Level]&lt;=7,"Medium","High"))</f>
        <v>Medium</v>
      </c>
      <c r="V1948" t="str">
        <f>IF(mental_health[Daily_Screen_Time]&lt;=4,"Low",IF(mental_health[Daily_Screen_Time]&lt;=8,"Medium","High"))</f>
        <v>High</v>
      </c>
    </row>
    <row r="1949" spans="1:22" x14ac:dyDescent="0.3">
      <c r="A1949">
        <v>1948</v>
      </c>
      <c r="B1949">
        <v>53</v>
      </c>
      <c r="C1949" t="s">
        <v>23</v>
      </c>
      <c r="D1949" t="s">
        <v>19</v>
      </c>
      <c r="E1949">
        <v>9.4</v>
      </c>
      <c r="F1949">
        <v>5.4</v>
      </c>
      <c r="G1949">
        <v>1</v>
      </c>
      <c r="H1949" t="str">
        <f t="shared" si="30"/>
        <v>Night Usage</v>
      </c>
      <c r="I1949">
        <v>6.8</v>
      </c>
      <c r="J1949" s="3">
        <v>2</v>
      </c>
      <c r="K1949">
        <v>11.8</v>
      </c>
      <c r="L1949" t="s">
        <v>25</v>
      </c>
      <c r="M1949">
        <v>4</v>
      </c>
      <c r="N1949">
        <v>3</v>
      </c>
      <c r="O1949">
        <v>0</v>
      </c>
      <c r="P1949">
        <v>1</v>
      </c>
      <c r="Q1949">
        <v>1</v>
      </c>
      <c r="R1949">
        <v>0</v>
      </c>
      <c r="S1949">
        <v>0</v>
      </c>
      <c r="T1949" t="str">
        <f>IF(mental_health[Sleep_Hours]&lt;5,"Low",IF(mental_health[Sleep_Hours]&lt;7,"Medium","Good"))</f>
        <v>Medium</v>
      </c>
      <c r="U1949" t="str">
        <f>IF(mental_health[Stress_Level]&lt;=3,"Low",IF(mental_health[Stress_Level]&lt;=7,"Medium","High"))</f>
        <v>Low</v>
      </c>
      <c r="V1949" t="str">
        <f>IF(mental_health[Daily_Screen_Time]&lt;=4,"Low",IF(mental_health[Daily_Screen_Time]&lt;=8,"Medium","High"))</f>
        <v>High</v>
      </c>
    </row>
    <row r="1950" spans="1:22" x14ac:dyDescent="0.3">
      <c r="A1950">
        <v>1949</v>
      </c>
      <c r="B1950">
        <v>20</v>
      </c>
      <c r="C1950" t="s">
        <v>18</v>
      </c>
      <c r="D1950" t="s">
        <v>19</v>
      </c>
      <c r="E1950">
        <v>4.5</v>
      </c>
      <c r="F1950">
        <v>3</v>
      </c>
      <c r="G1950">
        <v>1</v>
      </c>
      <c r="H1950" t="str">
        <f t="shared" si="30"/>
        <v>Night Usage</v>
      </c>
      <c r="I1950">
        <v>6.5</v>
      </c>
      <c r="J1950" s="3">
        <v>3</v>
      </c>
      <c r="K1950">
        <v>10.1</v>
      </c>
      <c r="L1950" t="s">
        <v>20</v>
      </c>
      <c r="M1950">
        <v>5</v>
      </c>
      <c r="N1950">
        <v>4</v>
      </c>
      <c r="O1950">
        <v>1</v>
      </c>
      <c r="P1950">
        <v>1</v>
      </c>
      <c r="Q1950">
        <v>1</v>
      </c>
      <c r="R1950">
        <v>1</v>
      </c>
      <c r="S1950">
        <v>0</v>
      </c>
      <c r="T1950" t="str">
        <f>IF(mental_health[Sleep_Hours]&lt;5,"Low",IF(mental_health[Sleep_Hours]&lt;7,"Medium","Good"))</f>
        <v>Medium</v>
      </c>
      <c r="U1950" t="str">
        <f>IF(mental_health[Stress_Level]&lt;=3,"Low",IF(mental_health[Stress_Level]&lt;=7,"Medium","High"))</f>
        <v>Low</v>
      </c>
      <c r="V1950" t="str">
        <f>IF(mental_health[Daily_Screen_Time]&lt;=4,"Low",IF(mental_health[Daily_Screen_Time]&lt;=8,"Medium","High"))</f>
        <v>Medium</v>
      </c>
    </row>
    <row r="1951" spans="1:22" x14ac:dyDescent="0.3">
      <c r="A1951">
        <v>1950</v>
      </c>
      <c r="B1951">
        <v>37</v>
      </c>
      <c r="C1951" t="s">
        <v>18</v>
      </c>
      <c r="D1951" t="s">
        <v>22</v>
      </c>
      <c r="E1951">
        <v>2.7</v>
      </c>
      <c r="F1951">
        <v>3.6</v>
      </c>
      <c r="G1951">
        <v>1</v>
      </c>
      <c r="H1951" t="str">
        <f t="shared" si="30"/>
        <v>Night Usage</v>
      </c>
      <c r="I1951">
        <v>5.0999999999999996</v>
      </c>
      <c r="J1951" s="3">
        <v>6</v>
      </c>
      <c r="K1951">
        <v>9.1</v>
      </c>
      <c r="L1951" t="s">
        <v>25</v>
      </c>
      <c r="M1951">
        <v>4</v>
      </c>
      <c r="N1951">
        <v>3</v>
      </c>
      <c r="O1951">
        <v>1</v>
      </c>
      <c r="P1951">
        <v>1</v>
      </c>
      <c r="Q1951">
        <v>0</v>
      </c>
      <c r="R1951">
        <v>1</v>
      </c>
      <c r="S1951">
        <v>1</v>
      </c>
      <c r="T1951" t="str">
        <f>IF(mental_health[Sleep_Hours]&lt;5,"Low",IF(mental_health[Sleep_Hours]&lt;7,"Medium","Good"))</f>
        <v>Medium</v>
      </c>
      <c r="U1951" t="str">
        <f>IF(mental_health[Stress_Level]&lt;=3,"Low",IF(mental_health[Stress_Level]&lt;=7,"Medium","High"))</f>
        <v>Medium</v>
      </c>
      <c r="V1951" t="str">
        <f>IF(mental_health[Daily_Screen_Time]&lt;=4,"Low",IF(mental_health[Daily_Screen_Time]&lt;=8,"Medium","High"))</f>
        <v>Low</v>
      </c>
    </row>
    <row r="1952" spans="1:22" x14ac:dyDescent="0.3">
      <c r="A1952">
        <v>1951</v>
      </c>
      <c r="B1952">
        <v>49</v>
      </c>
      <c r="C1952" t="s">
        <v>23</v>
      </c>
      <c r="D1952" t="s">
        <v>19</v>
      </c>
      <c r="E1952">
        <v>4.7</v>
      </c>
      <c r="F1952">
        <v>1.7</v>
      </c>
      <c r="G1952">
        <v>1</v>
      </c>
      <c r="H1952" t="str">
        <f t="shared" si="30"/>
        <v>Night Usage</v>
      </c>
      <c r="I1952">
        <v>5.9</v>
      </c>
      <c r="J1952" s="3">
        <v>10</v>
      </c>
      <c r="K1952">
        <v>8.8000000000000007</v>
      </c>
      <c r="L1952" t="s">
        <v>21</v>
      </c>
      <c r="M1952">
        <v>5</v>
      </c>
      <c r="N1952">
        <v>1</v>
      </c>
      <c r="O1952">
        <v>0</v>
      </c>
      <c r="P1952">
        <v>0</v>
      </c>
      <c r="Q1952">
        <v>1</v>
      </c>
      <c r="R1952">
        <v>1</v>
      </c>
      <c r="S1952">
        <v>1</v>
      </c>
      <c r="T1952" t="str">
        <f>IF(mental_health[Sleep_Hours]&lt;5,"Low",IF(mental_health[Sleep_Hours]&lt;7,"Medium","Good"))</f>
        <v>Medium</v>
      </c>
      <c r="U1952" t="str">
        <f>IF(mental_health[Stress_Level]&lt;=3,"Low",IF(mental_health[Stress_Level]&lt;=7,"Medium","High"))</f>
        <v>High</v>
      </c>
      <c r="V1952" t="str">
        <f>IF(mental_health[Daily_Screen_Time]&lt;=4,"Low",IF(mental_health[Daily_Screen_Time]&lt;=8,"Medium","High"))</f>
        <v>Medium</v>
      </c>
    </row>
    <row r="1953" spans="1:22" x14ac:dyDescent="0.3">
      <c r="A1953">
        <v>1952</v>
      </c>
      <c r="B1953">
        <v>16</v>
      </c>
      <c r="C1953" t="s">
        <v>18</v>
      </c>
      <c r="D1953" t="s">
        <v>19</v>
      </c>
      <c r="E1953">
        <v>11.1</v>
      </c>
      <c r="F1953">
        <v>6</v>
      </c>
      <c r="G1953">
        <v>1</v>
      </c>
      <c r="H1953" t="str">
        <f t="shared" si="30"/>
        <v>Night Usage</v>
      </c>
      <c r="I1953">
        <v>6.6</v>
      </c>
      <c r="J1953" s="3">
        <v>9</v>
      </c>
      <c r="K1953">
        <v>7.9</v>
      </c>
      <c r="L1953" t="s">
        <v>25</v>
      </c>
      <c r="M1953">
        <v>4</v>
      </c>
      <c r="N1953">
        <v>0</v>
      </c>
      <c r="O1953">
        <v>0</v>
      </c>
      <c r="P1953">
        <v>1</v>
      </c>
      <c r="Q1953">
        <v>1</v>
      </c>
      <c r="R1953">
        <v>1</v>
      </c>
      <c r="S1953">
        <v>1</v>
      </c>
      <c r="T1953" t="str">
        <f>IF(mental_health[Sleep_Hours]&lt;5,"Low",IF(mental_health[Sleep_Hours]&lt;7,"Medium","Good"))</f>
        <v>Medium</v>
      </c>
      <c r="U1953" t="str">
        <f>IF(mental_health[Stress_Level]&lt;=3,"Low",IF(mental_health[Stress_Level]&lt;=7,"Medium","High"))</f>
        <v>High</v>
      </c>
      <c r="V1953" t="str">
        <f>IF(mental_health[Daily_Screen_Time]&lt;=4,"Low",IF(mental_health[Daily_Screen_Time]&lt;=8,"Medium","High"))</f>
        <v>High</v>
      </c>
    </row>
    <row r="1954" spans="1:22" x14ac:dyDescent="0.3">
      <c r="A1954">
        <v>1953</v>
      </c>
      <c r="B1954">
        <v>41</v>
      </c>
      <c r="C1954" t="s">
        <v>23</v>
      </c>
      <c r="D1954" t="s">
        <v>24</v>
      </c>
      <c r="E1954">
        <v>8.3000000000000007</v>
      </c>
      <c r="F1954">
        <v>4.5</v>
      </c>
      <c r="G1954">
        <v>1</v>
      </c>
      <c r="H1954" t="str">
        <f t="shared" si="30"/>
        <v>Night Usage</v>
      </c>
      <c r="I1954">
        <v>5.8</v>
      </c>
      <c r="J1954" s="3">
        <v>8</v>
      </c>
      <c r="K1954">
        <v>9.1999999999999993</v>
      </c>
      <c r="L1954" t="s">
        <v>25</v>
      </c>
      <c r="M1954">
        <v>7</v>
      </c>
      <c r="N1954">
        <v>1</v>
      </c>
      <c r="O1954">
        <v>1</v>
      </c>
      <c r="P1954">
        <v>0</v>
      </c>
      <c r="Q1954">
        <v>1</v>
      </c>
      <c r="R1954">
        <v>0</v>
      </c>
      <c r="S1954">
        <v>1</v>
      </c>
      <c r="T1954" t="str">
        <f>IF(mental_health[Sleep_Hours]&lt;5,"Low",IF(mental_health[Sleep_Hours]&lt;7,"Medium","Good"))</f>
        <v>Medium</v>
      </c>
      <c r="U1954" t="str">
        <f>IF(mental_health[Stress_Level]&lt;=3,"Low",IF(mental_health[Stress_Level]&lt;=7,"Medium","High"))</f>
        <v>High</v>
      </c>
      <c r="V1954" t="str">
        <f>IF(mental_health[Daily_Screen_Time]&lt;=4,"Low",IF(mental_health[Daily_Screen_Time]&lt;=8,"Medium","High"))</f>
        <v>High</v>
      </c>
    </row>
    <row r="1955" spans="1:22" x14ac:dyDescent="0.3">
      <c r="A1955">
        <v>1954</v>
      </c>
      <c r="B1955">
        <v>58</v>
      </c>
      <c r="C1955" t="s">
        <v>18</v>
      </c>
      <c r="D1955" t="s">
        <v>19</v>
      </c>
      <c r="E1955">
        <v>9.1999999999999993</v>
      </c>
      <c r="F1955">
        <v>6</v>
      </c>
      <c r="G1955">
        <v>1</v>
      </c>
      <c r="H1955" t="str">
        <f t="shared" si="30"/>
        <v>Night Usage</v>
      </c>
      <c r="I1955">
        <v>7.2</v>
      </c>
      <c r="J1955" s="3">
        <v>10</v>
      </c>
      <c r="K1955">
        <v>6.2</v>
      </c>
      <c r="L1955" t="s">
        <v>21</v>
      </c>
      <c r="M1955">
        <v>10</v>
      </c>
      <c r="N1955">
        <v>3</v>
      </c>
      <c r="O1955">
        <v>1</v>
      </c>
      <c r="P1955">
        <v>1</v>
      </c>
      <c r="Q1955">
        <v>1</v>
      </c>
      <c r="R1955">
        <v>1</v>
      </c>
      <c r="S1955">
        <v>0</v>
      </c>
      <c r="T1955" t="str">
        <f>IF(mental_health[Sleep_Hours]&lt;5,"Low",IF(mental_health[Sleep_Hours]&lt;7,"Medium","Good"))</f>
        <v>Good</v>
      </c>
      <c r="U1955" t="str">
        <f>IF(mental_health[Stress_Level]&lt;=3,"Low",IF(mental_health[Stress_Level]&lt;=7,"Medium","High"))</f>
        <v>High</v>
      </c>
      <c r="V1955" t="str">
        <f>IF(mental_health[Daily_Screen_Time]&lt;=4,"Low",IF(mental_health[Daily_Screen_Time]&lt;=8,"Medium","High"))</f>
        <v>High</v>
      </c>
    </row>
    <row r="1956" spans="1:22" x14ac:dyDescent="0.3">
      <c r="A1956">
        <v>1955</v>
      </c>
      <c r="B1956">
        <v>25</v>
      </c>
      <c r="C1956" t="s">
        <v>18</v>
      </c>
      <c r="D1956" t="s">
        <v>24</v>
      </c>
      <c r="E1956">
        <v>4.5999999999999996</v>
      </c>
      <c r="F1956">
        <v>2.7</v>
      </c>
      <c r="G1956">
        <v>1</v>
      </c>
      <c r="H1956" t="str">
        <f t="shared" si="30"/>
        <v>Night Usage</v>
      </c>
      <c r="I1956">
        <v>5.6</v>
      </c>
      <c r="J1956" s="3">
        <v>9</v>
      </c>
      <c r="K1956">
        <v>10.5</v>
      </c>
      <c r="L1956" t="s">
        <v>20</v>
      </c>
      <c r="M1956">
        <v>1</v>
      </c>
      <c r="N1956">
        <v>2</v>
      </c>
      <c r="O1956">
        <v>0</v>
      </c>
      <c r="P1956">
        <v>0</v>
      </c>
      <c r="Q1956">
        <v>1</v>
      </c>
      <c r="R1956">
        <v>0</v>
      </c>
      <c r="S1956">
        <v>1</v>
      </c>
      <c r="T1956" t="str">
        <f>IF(mental_health[Sleep_Hours]&lt;5,"Low",IF(mental_health[Sleep_Hours]&lt;7,"Medium","Good"))</f>
        <v>Medium</v>
      </c>
      <c r="U1956" t="str">
        <f>IF(mental_health[Stress_Level]&lt;=3,"Low",IF(mental_health[Stress_Level]&lt;=7,"Medium","High"))</f>
        <v>High</v>
      </c>
      <c r="V1956" t="str">
        <f>IF(mental_health[Daily_Screen_Time]&lt;=4,"Low",IF(mental_health[Daily_Screen_Time]&lt;=8,"Medium","High"))</f>
        <v>Medium</v>
      </c>
    </row>
    <row r="1957" spans="1:22" x14ac:dyDescent="0.3">
      <c r="A1957">
        <v>1956</v>
      </c>
      <c r="B1957">
        <v>45</v>
      </c>
      <c r="C1957" t="s">
        <v>18</v>
      </c>
      <c r="D1957" t="s">
        <v>19</v>
      </c>
      <c r="E1957">
        <v>9.1999999999999993</v>
      </c>
      <c r="F1957">
        <v>3.3</v>
      </c>
      <c r="G1957">
        <v>1</v>
      </c>
      <c r="H1957" t="str">
        <f t="shared" si="30"/>
        <v>Night Usage</v>
      </c>
      <c r="I1957">
        <v>4.2</v>
      </c>
      <c r="J1957" s="3">
        <v>4</v>
      </c>
      <c r="K1957">
        <v>9</v>
      </c>
      <c r="L1957" t="s">
        <v>25</v>
      </c>
      <c r="M1957">
        <v>1</v>
      </c>
      <c r="N1957">
        <v>0</v>
      </c>
      <c r="O1957">
        <v>0</v>
      </c>
      <c r="P1957">
        <v>1</v>
      </c>
      <c r="Q1957">
        <v>1</v>
      </c>
      <c r="R1957">
        <v>1</v>
      </c>
      <c r="S1957">
        <v>0</v>
      </c>
      <c r="T1957" t="str">
        <f>IF(mental_health[Sleep_Hours]&lt;5,"Low",IF(mental_health[Sleep_Hours]&lt;7,"Medium","Good"))</f>
        <v>Low</v>
      </c>
      <c r="U1957" t="str">
        <f>IF(mental_health[Stress_Level]&lt;=3,"Low",IF(mental_health[Stress_Level]&lt;=7,"Medium","High"))</f>
        <v>Medium</v>
      </c>
      <c r="V1957" t="str">
        <f>IF(mental_health[Daily_Screen_Time]&lt;=4,"Low",IF(mental_health[Daily_Screen_Time]&lt;=8,"Medium","High"))</f>
        <v>High</v>
      </c>
    </row>
    <row r="1958" spans="1:22" x14ac:dyDescent="0.3">
      <c r="A1958">
        <v>1957</v>
      </c>
      <c r="B1958">
        <v>33</v>
      </c>
      <c r="C1958" t="s">
        <v>18</v>
      </c>
      <c r="D1958" t="s">
        <v>22</v>
      </c>
      <c r="E1958">
        <v>2.2999999999999998</v>
      </c>
      <c r="F1958">
        <v>3.3</v>
      </c>
      <c r="G1958">
        <v>1</v>
      </c>
      <c r="H1958" t="str">
        <f t="shared" si="30"/>
        <v>Night Usage</v>
      </c>
      <c r="I1958">
        <v>4.3</v>
      </c>
      <c r="J1958" s="3">
        <v>4</v>
      </c>
      <c r="K1958">
        <v>9.6999999999999993</v>
      </c>
      <c r="L1958" t="s">
        <v>21</v>
      </c>
      <c r="M1958">
        <v>2</v>
      </c>
      <c r="N1958">
        <v>2</v>
      </c>
      <c r="O1958">
        <v>1</v>
      </c>
      <c r="P1958">
        <v>1</v>
      </c>
      <c r="Q1958">
        <v>1</v>
      </c>
      <c r="R1958">
        <v>1</v>
      </c>
      <c r="S1958">
        <v>1</v>
      </c>
      <c r="T1958" t="str">
        <f>IF(mental_health[Sleep_Hours]&lt;5,"Low",IF(mental_health[Sleep_Hours]&lt;7,"Medium","Good"))</f>
        <v>Low</v>
      </c>
      <c r="U1958" t="str">
        <f>IF(mental_health[Stress_Level]&lt;=3,"Low",IF(mental_health[Stress_Level]&lt;=7,"Medium","High"))</f>
        <v>Medium</v>
      </c>
      <c r="V1958" t="str">
        <f>IF(mental_health[Daily_Screen_Time]&lt;=4,"Low",IF(mental_health[Daily_Screen_Time]&lt;=8,"Medium","High"))</f>
        <v>Low</v>
      </c>
    </row>
    <row r="1959" spans="1:22" x14ac:dyDescent="0.3">
      <c r="A1959">
        <v>1958</v>
      </c>
      <c r="B1959">
        <v>32</v>
      </c>
      <c r="C1959" t="s">
        <v>23</v>
      </c>
      <c r="D1959" t="s">
        <v>19</v>
      </c>
      <c r="E1959">
        <v>5.8</v>
      </c>
      <c r="F1959">
        <v>1.2</v>
      </c>
      <c r="G1959">
        <v>1</v>
      </c>
      <c r="H1959" t="str">
        <f t="shared" si="30"/>
        <v>Night Usage</v>
      </c>
      <c r="I1959">
        <v>3</v>
      </c>
      <c r="J1959" s="3">
        <v>9</v>
      </c>
      <c r="K1959">
        <v>9.9</v>
      </c>
      <c r="L1959" t="s">
        <v>25</v>
      </c>
      <c r="M1959">
        <v>1</v>
      </c>
      <c r="N1959">
        <v>1</v>
      </c>
      <c r="O1959">
        <v>0</v>
      </c>
      <c r="P1959">
        <v>0</v>
      </c>
      <c r="Q1959">
        <v>1</v>
      </c>
      <c r="R1959">
        <v>0</v>
      </c>
      <c r="S1959">
        <v>1</v>
      </c>
      <c r="T1959" t="str">
        <f>IF(mental_health[Sleep_Hours]&lt;5,"Low",IF(mental_health[Sleep_Hours]&lt;7,"Medium","Good"))</f>
        <v>Low</v>
      </c>
      <c r="U1959" t="str">
        <f>IF(mental_health[Stress_Level]&lt;=3,"Low",IF(mental_health[Stress_Level]&lt;=7,"Medium","High"))</f>
        <v>High</v>
      </c>
      <c r="V1959" t="str">
        <f>IF(mental_health[Daily_Screen_Time]&lt;=4,"Low",IF(mental_health[Daily_Screen_Time]&lt;=8,"Medium","High"))</f>
        <v>Medium</v>
      </c>
    </row>
    <row r="1960" spans="1:22" x14ac:dyDescent="0.3">
      <c r="A1960">
        <v>1959</v>
      </c>
      <c r="B1960">
        <v>41</v>
      </c>
      <c r="C1960" t="s">
        <v>18</v>
      </c>
      <c r="D1960" t="s">
        <v>19</v>
      </c>
      <c r="E1960">
        <v>8.3000000000000007</v>
      </c>
      <c r="F1960">
        <v>3.4</v>
      </c>
      <c r="G1960">
        <v>0</v>
      </c>
      <c r="H1960" t="str">
        <f t="shared" si="30"/>
        <v>No Night Usage</v>
      </c>
      <c r="I1960">
        <v>4.8</v>
      </c>
      <c r="J1960" s="3">
        <v>8</v>
      </c>
      <c r="K1960">
        <v>2.9</v>
      </c>
      <c r="L1960" t="s">
        <v>21</v>
      </c>
      <c r="M1960">
        <v>10</v>
      </c>
      <c r="N1960">
        <v>0</v>
      </c>
      <c r="O1960">
        <v>1</v>
      </c>
      <c r="P1960">
        <v>1</v>
      </c>
      <c r="Q1960">
        <v>0</v>
      </c>
      <c r="R1960">
        <v>1</v>
      </c>
      <c r="S1960">
        <v>0</v>
      </c>
      <c r="T1960" t="str">
        <f>IF(mental_health[Sleep_Hours]&lt;5,"Low",IF(mental_health[Sleep_Hours]&lt;7,"Medium","Good"))</f>
        <v>Low</v>
      </c>
      <c r="U1960" t="str">
        <f>IF(mental_health[Stress_Level]&lt;=3,"Low",IF(mental_health[Stress_Level]&lt;=7,"Medium","High"))</f>
        <v>High</v>
      </c>
      <c r="V1960" t="str">
        <f>IF(mental_health[Daily_Screen_Time]&lt;=4,"Low",IF(mental_health[Daily_Screen_Time]&lt;=8,"Medium","High"))</f>
        <v>High</v>
      </c>
    </row>
    <row r="1961" spans="1:22" x14ac:dyDescent="0.3">
      <c r="A1961">
        <v>1960</v>
      </c>
      <c r="B1961">
        <v>23</v>
      </c>
      <c r="C1961" t="s">
        <v>23</v>
      </c>
      <c r="D1961" t="s">
        <v>19</v>
      </c>
      <c r="E1961">
        <v>3.5</v>
      </c>
      <c r="F1961">
        <v>6.6</v>
      </c>
      <c r="G1961">
        <v>1</v>
      </c>
      <c r="H1961" t="str">
        <f t="shared" si="30"/>
        <v>Night Usage</v>
      </c>
      <c r="I1961">
        <v>7.5</v>
      </c>
      <c r="J1961" s="3">
        <v>2</v>
      </c>
      <c r="K1961">
        <v>2.6</v>
      </c>
      <c r="L1961" t="s">
        <v>21</v>
      </c>
      <c r="M1961">
        <v>10</v>
      </c>
      <c r="N1961">
        <v>3</v>
      </c>
      <c r="O1961">
        <v>0</v>
      </c>
      <c r="P1961">
        <v>0</v>
      </c>
      <c r="Q1961">
        <v>0</v>
      </c>
      <c r="R1961">
        <v>1</v>
      </c>
      <c r="S1961">
        <v>1</v>
      </c>
      <c r="T1961" t="str">
        <f>IF(mental_health[Sleep_Hours]&lt;5,"Low",IF(mental_health[Sleep_Hours]&lt;7,"Medium","Good"))</f>
        <v>Good</v>
      </c>
      <c r="U1961" t="str">
        <f>IF(mental_health[Stress_Level]&lt;=3,"Low",IF(mental_health[Stress_Level]&lt;=7,"Medium","High"))</f>
        <v>Low</v>
      </c>
      <c r="V1961" t="str">
        <f>IF(mental_health[Daily_Screen_Time]&lt;=4,"Low",IF(mental_health[Daily_Screen_Time]&lt;=8,"Medium","High"))</f>
        <v>Low</v>
      </c>
    </row>
    <row r="1962" spans="1:22" x14ac:dyDescent="0.3">
      <c r="A1962">
        <v>1961</v>
      </c>
      <c r="B1962">
        <v>55</v>
      </c>
      <c r="C1962" t="s">
        <v>18</v>
      </c>
      <c r="D1962" t="s">
        <v>24</v>
      </c>
      <c r="E1962">
        <v>10.199999999999999</v>
      </c>
      <c r="F1962">
        <v>7.3</v>
      </c>
      <c r="G1962">
        <v>0</v>
      </c>
      <c r="H1962" t="str">
        <f t="shared" si="30"/>
        <v>No Night Usage</v>
      </c>
      <c r="I1962">
        <v>7.8</v>
      </c>
      <c r="J1962" s="3">
        <v>8</v>
      </c>
      <c r="K1962">
        <v>10</v>
      </c>
      <c r="L1962" t="s">
        <v>21</v>
      </c>
      <c r="M1962">
        <v>3</v>
      </c>
      <c r="N1962">
        <v>2</v>
      </c>
      <c r="O1962">
        <v>1</v>
      </c>
      <c r="P1962">
        <v>1</v>
      </c>
      <c r="Q1962">
        <v>1</v>
      </c>
      <c r="R1962">
        <v>1</v>
      </c>
      <c r="S1962">
        <v>0</v>
      </c>
      <c r="T1962" t="str">
        <f>IF(mental_health[Sleep_Hours]&lt;5,"Low",IF(mental_health[Sleep_Hours]&lt;7,"Medium","Good"))</f>
        <v>Good</v>
      </c>
      <c r="U1962" t="str">
        <f>IF(mental_health[Stress_Level]&lt;=3,"Low",IF(mental_health[Stress_Level]&lt;=7,"Medium","High"))</f>
        <v>High</v>
      </c>
      <c r="V1962" t="str">
        <f>IF(mental_health[Daily_Screen_Time]&lt;=4,"Low",IF(mental_health[Daily_Screen_Time]&lt;=8,"Medium","High"))</f>
        <v>High</v>
      </c>
    </row>
    <row r="1963" spans="1:22" x14ac:dyDescent="0.3">
      <c r="A1963">
        <v>1962</v>
      </c>
      <c r="B1963">
        <v>27</v>
      </c>
      <c r="C1963" t="s">
        <v>18</v>
      </c>
      <c r="D1963" t="s">
        <v>22</v>
      </c>
      <c r="E1963">
        <v>4.4000000000000004</v>
      </c>
      <c r="F1963">
        <v>4.5999999999999996</v>
      </c>
      <c r="G1963">
        <v>1</v>
      </c>
      <c r="H1963" t="str">
        <f t="shared" si="30"/>
        <v>Night Usage</v>
      </c>
      <c r="I1963">
        <v>4.2</v>
      </c>
      <c r="J1963" s="3">
        <v>1</v>
      </c>
      <c r="K1963">
        <v>4.5999999999999996</v>
      </c>
      <c r="L1963" t="s">
        <v>20</v>
      </c>
      <c r="M1963">
        <v>6</v>
      </c>
      <c r="N1963">
        <v>3</v>
      </c>
      <c r="O1963">
        <v>0</v>
      </c>
      <c r="P1963">
        <v>0</v>
      </c>
      <c r="Q1963">
        <v>0</v>
      </c>
      <c r="R1963">
        <v>0</v>
      </c>
      <c r="S1963">
        <v>0</v>
      </c>
      <c r="T1963" t="str">
        <f>IF(mental_health[Sleep_Hours]&lt;5,"Low",IF(mental_health[Sleep_Hours]&lt;7,"Medium","Good"))</f>
        <v>Low</v>
      </c>
      <c r="U1963" t="str">
        <f>IF(mental_health[Stress_Level]&lt;=3,"Low",IF(mental_health[Stress_Level]&lt;=7,"Medium","High"))</f>
        <v>Low</v>
      </c>
      <c r="V1963" t="str">
        <f>IF(mental_health[Daily_Screen_Time]&lt;=4,"Low",IF(mental_health[Daily_Screen_Time]&lt;=8,"Medium","High"))</f>
        <v>Medium</v>
      </c>
    </row>
    <row r="1964" spans="1:22" x14ac:dyDescent="0.3">
      <c r="A1964">
        <v>1963</v>
      </c>
      <c r="B1964">
        <v>42</v>
      </c>
      <c r="C1964" t="s">
        <v>18</v>
      </c>
      <c r="D1964" t="s">
        <v>19</v>
      </c>
      <c r="E1964">
        <v>8.5</v>
      </c>
      <c r="F1964">
        <v>4.2</v>
      </c>
      <c r="G1964">
        <v>0</v>
      </c>
      <c r="H1964" t="str">
        <f t="shared" si="30"/>
        <v>No Night Usage</v>
      </c>
      <c r="I1964">
        <v>8.8000000000000007</v>
      </c>
      <c r="J1964" s="3">
        <v>9</v>
      </c>
      <c r="K1964">
        <v>7.8</v>
      </c>
      <c r="L1964" t="s">
        <v>20</v>
      </c>
      <c r="M1964">
        <v>10</v>
      </c>
      <c r="N1964">
        <v>4</v>
      </c>
      <c r="O1964">
        <v>1</v>
      </c>
      <c r="P1964">
        <v>0</v>
      </c>
      <c r="Q1964">
        <v>0</v>
      </c>
      <c r="R1964">
        <v>1</v>
      </c>
      <c r="S1964">
        <v>1</v>
      </c>
      <c r="T1964" t="str">
        <f>IF(mental_health[Sleep_Hours]&lt;5,"Low",IF(mental_health[Sleep_Hours]&lt;7,"Medium","Good"))</f>
        <v>Good</v>
      </c>
      <c r="U1964" t="str">
        <f>IF(mental_health[Stress_Level]&lt;=3,"Low",IF(mental_health[Stress_Level]&lt;=7,"Medium","High"))</f>
        <v>High</v>
      </c>
      <c r="V1964" t="str">
        <f>IF(mental_health[Daily_Screen_Time]&lt;=4,"Low",IF(mental_health[Daily_Screen_Time]&lt;=8,"Medium","High"))</f>
        <v>High</v>
      </c>
    </row>
    <row r="1965" spans="1:22" x14ac:dyDescent="0.3">
      <c r="A1965">
        <v>1964</v>
      </c>
      <c r="B1965">
        <v>23</v>
      </c>
      <c r="C1965" t="s">
        <v>18</v>
      </c>
      <c r="D1965" t="s">
        <v>24</v>
      </c>
      <c r="E1965">
        <v>6.1</v>
      </c>
      <c r="F1965">
        <v>1.2</v>
      </c>
      <c r="G1965">
        <v>0</v>
      </c>
      <c r="H1965" t="str">
        <f t="shared" si="30"/>
        <v>No Night Usage</v>
      </c>
      <c r="I1965">
        <v>6</v>
      </c>
      <c r="J1965" s="3">
        <v>9</v>
      </c>
      <c r="K1965">
        <v>6.4</v>
      </c>
      <c r="L1965" t="s">
        <v>21</v>
      </c>
      <c r="M1965">
        <v>6</v>
      </c>
      <c r="N1965">
        <v>0</v>
      </c>
      <c r="O1965">
        <v>0</v>
      </c>
      <c r="P1965">
        <v>1</v>
      </c>
      <c r="Q1965">
        <v>0</v>
      </c>
      <c r="R1965">
        <v>0</v>
      </c>
      <c r="S1965">
        <v>1</v>
      </c>
      <c r="T1965" t="str">
        <f>IF(mental_health[Sleep_Hours]&lt;5,"Low",IF(mental_health[Sleep_Hours]&lt;7,"Medium","Good"))</f>
        <v>Medium</v>
      </c>
      <c r="U1965" t="str">
        <f>IF(mental_health[Stress_Level]&lt;=3,"Low",IF(mental_health[Stress_Level]&lt;=7,"Medium","High"))</f>
        <v>High</v>
      </c>
      <c r="V1965" t="str">
        <f>IF(mental_health[Daily_Screen_Time]&lt;=4,"Low",IF(mental_health[Daily_Screen_Time]&lt;=8,"Medium","High"))</f>
        <v>Medium</v>
      </c>
    </row>
    <row r="1966" spans="1:22" x14ac:dyDescent="0.3">
      <c r="A1966">
        <v>1965</v>
      </c>
      <c r="B1966">
        <v>40</v>
      </c>
      <c r="C1966" t="s">
        <v>23</v>
      </c>
      <c r="D1966" t="s">
        <v>22</v>
      </c>
      <c r="E1966">
        <v>8</v>
      </c>
      <c r="F1966">
        <v>7.2</v>
      </c>
      <c r="G1966">
        <v>0</v>
      </c>
      <c r="H1966" t="str">
        <f t="shared" si="30"/>
        <v>No Night Usage</v>
      </c>
      <c r="I1966">
        <v>8.5</v>
      </c>
      <c r="J1966" s="3">
        <v>8</v>
      </c>
      <c r="K1966">
        <v>2.2000000000000002</v>
      </c>
      <c r="L1966" t="s">
        <v>20</v>
      </c>
      <c r="M1966">
        <v>1</v>
      </c>
      <c r="N1966">
        <v>2</v>
      </c>
      <c r="O1966">
        <v>0</v>
      </c>
      <c r="P1966">
        <v>1</v>
      </c>
      <c r="Q1966">
        <v>0</v>
      </c>
      <c r="R1966">
        <v>1</v>
      </c>
      <c r="S1966">
        <v>0</v>
      </c>
      <c r="T1966" t="str">
        <f>IF(mental_health[Sleep_Hours]&lt;5,"Low",IF(mental_health[Sleep_Hours]&lt;7,"Medium","Good"))</f>
        <v>Good</v>
      </c>
      <c r="U1966" t="str">
        <f>IF(mental_health[Stress_Level]&lt;=3,"Low",IF(mental_health[Stress_Level]&lt;=7,"Medium","High"))</f>
        <v>High</v>
      </c>
      <c r="V1966" t="str">
        <f>IF(mental_health[Daily_Screen_Time]&lt;=4,"Low",IF(mental_health[Daily_Screen_Time]&lt;=8,"Medium","High"))</f>
        <v>Medium</v>
      </c>
    </row>
    <row r="1967" spans="1:22" x14ac:dyDescent="0.3">
      <c r="A1967">
        <v>1966</v>
      </c>
      <c r="B1967">
        <v>19</v>
      </c>
      <c r="C1967" t="s">
        <v>23</v>
      </c>
      <c r="D1967" t="s">
        <v>24</v>
      </c>
      <c r="E1967">
        <v>3.1</v>
      </c>
      <c r="F1967">
        <v>1.1000000000000001</v>
      </c>
      <c r="G1967">
        <v>1</v>
      </c>
      <c r="H1967" t="str">
        <f t="shared" si="30"/>
        <v>Night Usage</v>
      </c>
      <c r="I1967">
        <v>7.2</v>
      </c>
      <c r="J1967" s="3">
        <v>5</v>
      </c>
      <c r="K1967">
        <v>2.4</v>
      </c>
      <c r="L1967" t="s">
        <v>25</v>
      </c>
      <c r="M1967">
        <v>6</v>
      </c>
      <c r="N1967">
        <v>1</v>
      </c>
      <c r="O1967">
        <v>0</v>
      </c>
      <c r="P1967">
        <v>1</v>
      </c>
      <c r="Q1967">
        <v>0</v>
      </c>
      <c r="R1967">
        <v>1</v>
      </c>
      <c r="S1967">
        <v>0</v>
      </c>
      <c r="T1967" t="str">
        <f>IF(mental_health[Sleep_Hours]&lt;5,"Low",IF(mental_health[Sleep_Hours]&lt;7,"Medium","Good"))</f>
        <v>Good</v>
      </c>
      <c r="U1967" t="str">
        <f>IF(mental_health[Stress_Level]&lt;=3,"Low",IF(mental_health[Stress_Level]&lt;=7,"Medium","High"))</f>
        <v>Medium</v>
      </c>
      <c r="V1967" t="str">
        <f>IF(mental_health[Daily_Screen_Time]&lt;=4,"Low",IF(mental_health[Daily_Screen_Time]&lt;=8,"Medium","High"))</f>
        <v>Low</v>
      </c>
    </row>
    <row r="1968" spans="1:22" x14ac:dyDescent="0.3">
      <c r="A1968">
        <v>1967</v>
      </c>
      <c r="B1968">
        <v>48</v>
      </c>
      <c r="C1968" t="s">
        <v>23</v>
      </c>
      <c r="D1968" t="s">
        <v>24</v>
      </c>
      <c r="E1968">
        <v>2.2000000000000002</v>
      </c>
      <c r="F1968">
        <v>7.6</v>
      </c>
      <c r="G1968">
        <v>1</v>
      </c>
      <c r="H1968" t="str">
        <f t="shared" si="30"/>
        <v>Night Usage</v>
      </c>
      <c r="I1968">
        <v>7.3</v>
      </c>
      <c r="J1968" s="3">
        <v>5</v>
      </c>
      <c r="K1968">
        <v>10.3</v>
      </c>
      <c r="L1968" t="s">
        <v>20</v>
      </c>
      <c r="M1968">
        <v>5</v>
      </c>
      <c r="N1968">
        <v>1</v>
      </c>
      <c r="O1968">
        <v>0</v>
      </c>
      <c r="P1968">
        <v>1</v>
      </c>
      <c r="Q1968">
        <v>1</v>
      </c>
      <c r="R1968">
        <v>1</v>
      </c>
      <c r="S1968">
        <v>1</v>
      </c>
      <c r="T1968" t="str">
        <f>IF(mental_health[Sleep_Hours]&lt;5,"Low",IF(mental_health[Sleep_Hours]&lt;7,"Medium","Good"))</f>
        <v>Good</v>
      </c>
      <c r="U1968" t="str">
        <f>IF(mental_health[Stress_Level]&lt;=3,"Low",IF(mental_health[Stress_Level]&lt;=7,"Medium","High"))</f>
        <v>Medium</v>
      </c>
      <c r="V1968" t="str">
        <f>IF(mental_health[Daily_Screen_Time]&lt;=4,"Low",IF(mental_health[Daily_Screen_Time]&lt;=8,"Medium","High"))</f>
        <v>Low</v>
      </c>
    </row>
    <row r="1969" spans="1:22" x14ac:dyDescent="0.3">
      <c r="A1969">
        <v>1968</v>
      </c>
      <c r="B1969">
        <v>16</v>
      </c>
      <c r="C1969" t="s">
        <v>23</v>
      </c>
      <c r="D1969" t="s">
        <v>22</v>
      </c>
      <c r="E1969">
        <v>11.1</v>
      </c>
      <c r="F1969">
        <v>4.4000000000000004</v>
      </c>
      <c r="G1969">
        <v>1</v>
      </c>
      <c r="H1969" t="str">
        <f t="shared" si="30"/>
        <v>Night Usage</v>
      </c>
      <c r="I1969">
        <v>3.5</v>
      </c>
      <c r="J1969" s="3">
        <v>3</v>
      </c>
      <c r="K1969">
        <v>8.1</v>
      </c>
      <c r="L1969" t="s">
        <v>20</v>
      </c>
      <c r="M1969">
        <v>7</v>
      </c>
      <c r="N1969">
        <v>1</v>
      </c>
      <c r="O1969">
        <v>1</v>
      </c>
      <c r="P1969">
        <v>1</v>
      </c>
      <c r="Q1969">
        <v>1</v>
      </c>
      <c r="R1969">
        <v>1</v>
      </c>
      <c r="S1969">
        <v>0</v>
      </c>
      <c r="T1969" t="str">
        <f>IF(mental_health[Sleep_Hours]&lt;5,"Low",IF(mental_health[Sleep_Hours]&lt;7,"Medium","Good"))</f>
        <v>Low</v>
      </c>
      <c r="U1969" t="str">
        <f>IF(mental_health[Stress_Level]&lt;=3,"Low",IF(mental_health[Stress_Level]&lt;=7,"Medium","High"))</f>
        <v>Low</v>
      </c>
      <c r="V1969" t="str">
        <f>IF(mental_health[Daily_Screen_Time]&lt;=4,"Low",IF(mental_health[Daily_Screen_Time]&lt;=8,"Medium","High"))</f>
        <v>High</v>
      </c>
    </row>
    <row r="1970" spans="1:22" x14ac:dyDescent="0.3">
      <c r="A1970">
        <v>1969</v>
      </c>
      <c r="B1970">
        <v>34</v>
      </c>
      <c r="C1970" t="s">
        <v>18</v>
      </c>
      <c r="D1970" t="s">
        <v>19</v>
      </c>
      <c r="E1970">
        <v>4.7</v>
      </c>
      <c r="F1970">
        <v>3.4</v>
      </c>
      <c r="G1970">
        <v>1</v>
      </c>
      <c r="H1970" t="str">
        <f t="shared" si="30"/>
        <v>Night Usage</v>
      </c>
      <c r="I1970">
        <v>4.3</v>
      </c>
      <c r="J1970" s="3">
        <v>5</v>
      </c>
      <c r="K1970">
        <v>7.2</v>
      </c>
      <c r="L1970" t="s">
        <v>25</v>
      </c>
      <c r="M1970">
        <v>6</v>
      </c>
      <c r="N1970">
        <v>1</v>
      </c>
      <c r="O1970">
        <v>0</v>
      </c>
      <c r="P1970">
        <v>1</v>
      </c>
      <c r="Q1970">
        <v>1</v>
      </c>
      <c r="R1970">
        <v>0</v>
      </c>
      <c r="S1970">
        <v>1</v>
      </c>
      <c r="T1970" t="str">
        <f>IF(mental_health[Sleep_Hours]&lt;5,"Low",IF(mental_health[Sleep_Hours]&lt;7,"Medium","Good"))</f>
        <v>Low</v>
      </c>
      <c r="U1970" t="str">
        <f>IF(mental_health[Stress_Level]&lt;=3,"Low",IF(mental_health[Stress_Level]&lt;=7,"Medium","High"))</f>
        <v>Medium</v>
      </c>
      <c r="V1970" t="str">
        <f>IF(mental_health[Daily_Screen_Time]&lt;=4,"Low",IF(mental_health[Daily_Screen_Time]&lt;=8,"Medium","High"))</f>
        <v>Medium</v>
      </c>
    </row>
    <row r="1971" spans="1:22" x14ac:dyDescent="0.3">
      <c r="A1971">
        <v>1970</v>
      </c>
      <c r="B1971">
        <v>46</v>
      </c>
      <c r="C1971" t="s">
        <v>23</v>
      </c>
      <c r="D1971" t="s">
        <v>24</v>
      </c>
      <c r="E1971">
        <v>10.199999999999999</v>
      </c>
      <c r="F1971">
        <v>7.5</v>
      </c>
      <c r="G1971">
        <v>0</v>
      </c>
      <c r="H1971" t="str">
        <f t="shared" si="30"/>
        <v>No Night Usage</v>
      </c>
      <c r="I1971">
        <v>3.1</v>
      </c>
      <c r="J1971" s="3">
        <v>4</v>
      </c>
      <c r="K1971">
        <v>11.4</v>
      </c>
      <c r="L1971" t="s">
        <v>25</v>
      </c>
      <c r="M1971">
        <v>7</v>
      </c>
      <c r="N1971">
        <v>2</v>
      </c>
      <c r="O1971">
        <v>1</v>
      </c>
      <c r="P1971">
        <v>1</v>
      </c>
      <c r="Q1971">
        <v>1</v>
      </c>
      <c r="R1971">
        <v>0</v>
      </c>
      <c r="S1971">
        <v>1</v>
      </c>
      <c r="T1971" t="str">
        <f>IF(mental_health[Sleep_Hours]&lt;5,"Low",IF(mental_health[Sleep_Hours]&lt;7,"Medium","Good"))</f>
        <v>Low</v>
      </c>
      <c r="U1971" t="str">
        <f>IF(mental_health[Stress_Level]&lt;=3,"Low",IF(mental_health[Stress_Level]&lt;=7,"Medium","High"))</f>
        <v>Medium</v>
      </c>
      <c r="V1971" t="str">
        <f>IF(mental_health[Daily_Screen_Time]&lt;=4,"Low",IF(mental_health[Daily_Screen_Time]&lt;=8,"Medium","High"))</f>
        <v>High</v>
      </c>
    </row>
    <row r="1972" spans="1:22" x14ac:dyDescent="0.3">
      <c r="A1972">
        <v>1971</v>
      </c>
      <c r="B1972">
        <v>31</v>
      </c>
      <c r="C1972" t="s">
        <v>23</v>
      </c>
      <c r="D1972" t="s">
        <v>24</v>
      </c>
      <c r="E1972">
        <v>12</v>
      </c>
      <c r="F1972">
        <v>1.2</v>
      </c>
      <c r="G1972">
        <v>1</v>
      </c>
      <c r="H1972" t="str">
        <f t="shared" si="30"/>
        <v>Night Usage</v>
      </c>
      <c r="I1972">
        <v>7.3</v>
      </c>
      <c r="J1972" s="3">
        <v>1</v>
      </c>
      <c r="K1972">
        <v>3.7</v>
      </c>
      <c r="L1972" t="s">
        <v>25</v>
      </c>
      <c r="M1972">
        <v>2</v>
      </c>
      <c r="N1972">
        <v>4</v>
      </c>
      <c r="O1972">
        <v>1</v>
      </c>
      <c r="P1972">
        <v>1</v>
      </c>
      <c r="Q1972">
        <v>1</v>
      </c>
      <c r="R1972">
        <v>1</v>
      </c>
      <c r="S1972">
        <v>0</v>
      </c>
      <c r="T1972" t="str">
        <f>IF(mental_health[Sleep_Hours]&lt;5,"Low",IF(mental_health[Sleep_Hours]&lt;7,"Medium","Good"))</f>
        <v>Good</v>
      </c>
      <c r="U1972" t="str">
        <f>IF(mental_health[Stress_Level]&lt;=3,"Low",IF(mental_health[Stress_Level]&lt;=7,"Medium","High"))</f>
        <v>Low</v>
      </c>
      <c r="V1972" t="str">
        <f>IF(mental_health[Daily_Screen_Time]&lt;=4,"Low",IF(mental_health[Daily_Screen_Time]&lt;=8,"Medium","High"))</f>
        <v>High</v>
      </c>
    </row>
    <row r="1973" spans="1:22" x14ac:dyDescent="0.3">
      <c r="A1973">
        <v>1972</v>
      </c>
      <c r="B1973">
        <v>29</v>
      </c>
      <c r="C1973" t="s">
        <v>18</v>
      </c>
      <c r="D1973" t="s">
        <v>19</v>
      </c>
      <c r="E1973">
        <v>4.0999999999999996</v>
      </c>
      <c r="F1973">
        <v>5.0999999999999996</v>
      </c>
      <c r="G1973">
        <v>1</v>
      </c>
      <c r="H1973" t="str">
        <f t="shared" si="30"/>
        <v>Night Usage</v>
      </c>
      <c r="I1973">
        <v>5.0999999999999996</v>
      </c>
      <c r="J1973" s="3">
        <v>9</v>
      </c>
      <c r="K1973">
        <v>4.5999999999999996</v>
      </c>
      <c r="L1973" t="s">
        <v>21</v>
      </c>
      <c r="M1973">
        <v>1</v>
      </c>
      <c r="N1973">
        <v>1</v>
      </c>
      <c r="O1973">
        <v>0</v>
      </c>
      <c r="P1973">
        <v>1</v>
      </c>
      <c r="Q1973">
        <v>1</v>
      </c>
      <c r="R1973">
        <v>1</v>
      </c>
      <c r="S1973">
        <v>1</v>
      </c>
      <c r="T1973" t="str">
        <f>IF(mental_health[Sleep_Hours]&lt;5,"Low",IF(mental_health[Sleep_Hours]&lt;7,"Medium","Good"))</f>
        <v>Medium</v>
      </c>
      <c r="U1973" t="str">
        <f>IF(mental_health[Stress_Level]&lt;=3,"Low",IF(mental_health[Stress_Level]&lt;=7,"Medium","High"))</f>
        <v>High</v>
      </c>
      <c r="V1973" t="str">
        <f>IF(mental_health[Daily_Screen_Time]&lt;=4,"Low",IF(mental_health[Daily_Screen_Time]&lt;=8,"Medium","High"))</f>
        <v>Medium</v>
      </c>
    </row>
    <row r="1974" spans="1:22" x14ac:dyDescent="0.3">
      <c r="A1974">
        <v>1973</v>
      </c>
      <c r="B1974">
        <v>20</v>
      </c>
      <c r="C1974" t="s">
        <v>18</v>
      </c>
      <c r="D1974" t="s">
        <v>19</v>
      </c>
      <c r="E1974">
        <v>4.7</v>
      </c>
      <c r="F1974">
        <v>4.8</v>
      </c>
      <c r="G1974">
        <v>1</v>
      </c>
      <c r="H1974" t="str">
        <f t="shared" si="30"/>
        <v>Night Usage</v>
      </c>
      <c r="I1974">
        <v>7.7</v>
      </c>
      <c r="J1974" s="3">
        <v>10</v>
      </c>
      <c r="K1974">
        <v>9.6</v>
      </c>
      <c r="L1974" t="s">
        <v>25</v>
      </c>
      <c r="M1974">
        <v>7</v>
      </c>
      <c r="N1974">
        <v>1</v>
      </c>
      <c r="O1974">
        <v>1</v>
      </c>
      <c r="P1974">
        <v>0</v>
      </c>
      <c r="Q1974">
        <v>0</v>
      </c>
      <c r="R1974">
        <v>1</v>
      </c>
      <c r="S1974">
        <v>1</v>
      </c>
      <c r="T1974" t="str">
        <f>IF(mental_health[Sleep_Hours]&lt;5,"Low",IF(mental_health[Sleep_Hours]&lt;7,"Medium","Good"))</f>
        <v>Good</v>
      </c>
      <c r="U1974" t="str">
        <f>IF(mental_health[Stress_Level]&lt;=3,"Low",IF(mental_health[Stress_Level]&lt;=7,"Medium","High"))</f>
        <v>High</v>
      </c>
      <c r="V1974" t="str">
        <f>IF(mental_health[Daily_Screen_Time]&lt;=4,"Low",IF(mental_health[Daily_Screen_Time]&lt;=8,"Medium","High"))</f>
        <v>Medium</v>
      </c>
    </row>
    <row r="1975" spans="1:22" x14ac:dyDescent="0.3">
      <c r="A1975">
        <v>1974</v>
      </c>
      <c r="B1975">
        <v>56</v>
      </c>
      <c r="C1975" t="s">
        <v>18</v>
      </c>
      <c r="D1975" t="s">
        <v>22</v>
      </c>
      <c r="E1975">
        <v>8.6</v>
      </c>
      <c r="F1975">
        <v>2.5</v>
      </c>
      <c r="G1975">
        <v>1</v>
      </c>
      <c r="H1975" t="str">
        <f t="shared" si="30"/>
        <v>Night Usage</v>
      </c>
      <c r="I1975">
        <v>5</v>
      </c>
      <c r="J1975" s="3">
        <v>4</v>
      </c>
      <c r="K1975">
        <v>9.8000000000000007</v>
      </c>
      <c r="L1975" t="s">
        <v>25</v>
      </c>
      <c r="M1975">
        <v>9</v>
      </c>
      <c r="N1975">
        <v>1</v>
      </c>
      <c r="O1975">
        <v>0</v>
      </c>
      <c r="P1975">
        <v>0</v>
      </c>
      <c r="Q1975">
        <v>0</v>
      </c>
      <c r="R1975">
        <v>1</v>
      </c>
      <c r="S1975">
        <v>1</v>
      </c>
      <c r="T1975" t="str">
        <f>IF(mental_health[Sleep_Hours]&lt;5,"Low",IF(mental_health[Sleep_Hours]&lt;7,"Medium","Good"))</f>
        <v>Medium</v>
      </c>
      <c r="U1975" t="str">
        <f>IF(mental_health[Stress_Level]&lt;=3,"Low",IF(mental_health[Stress_Level]&lt;=7,"Medium","High"))</f>
        <v>Medium</v>
      </c>
      <c r="V1975" t="str">
        <f>IF(mental_health[Daily_Screen_Time]&lt;=4,"Low",IF(mental_health[Daily_Screen_Time]&lt;=8,"Medium","High"))</f>
        <v>High</v>
      </c>
    </row>
    <row r="1976" spans="1:22" x14ac:dyDescent="0.3">
      <c r="A1976">
        <v>1975</v>
      </c>
      <c r="B1976">
        <v>41</v>
      </c>
      <c r="C1976" t="s">
        <v>18</v>
      </c>
      <c r="D1976" t="s">
        <v>22</v>
      </c>
      <c r="E1976">
        <v>11.7</v>
      </c>
      <c r="F1976">
        <v>4</v>
      </c>
      <c r="G1976">
        <v>1</v>
      </c>
      <c r="H1976" t="str">
        <f t="shared" si="30"/>
        <v>Night Usage</v>
      </c>
      <c r="I1976">
        <v>7.9</v>
      </c>
      <c r="J1976" s="3">
        <v>3</v>
      </c>
      <c r="K1976">
        <v>6</v>
      </c>
      <c r="L1976" t="s">
        <v>25</v>
      </c>
      <c r="M1976">
        <v>2</v>
      </c>
      <c r="N1976">
        <v>4</v>
      </c>
      <c r="O1976">
        <v>1</v>
      </c>
      <c r="P1976">
        <v>0</v>
      </c>
      <c r="Q1976">
        <v>1</v>
      </c>
      <c r="R1976">
        <v>1</v>
      </c>
      <c r="S1976">
        <v>0</v>
      </c>
      <c r="T1976" t="str">
        <f>IF(mental_health[Sleep_Hours]&lt;5,"Low",IF(mental_health[Sleep_Hours]&lt;7,"Medium","Good"))</f>
        <v>Good</v>
      </c>
      <c r="U1976" t="str">
        <f>IF(mental_health[Stress_Level]&lt;=3,"Low",IF(mental_health[Stress_Level]&lt;=7,"Medium","High"))</f>
        <v>Low</v>
      </c>
      <c r="V1976" t="str">
        <f>IF(mental_health[Daily_Screen_Time]&lt;=4,"Low",IF(mental_health[Daily_Screen_Time]&lt;=8,"Medium","High"))</f>
        <v>High</v>
      </c>
    </row>
    <row r="1977" spans="1:22" x14ac:dyDescent="0.3">
      <c r="A1977">
        <v>1976</v>
      </c>
      <c r="B1977">
        <v>43</v>
      </c>
      <c r="C1977" t="s">
        <v>23</v>
      </c>
      <c r="D1977" t="s">
        <v>22</v>
      </c>
      <c r="E1977">
        <v>11.2</v>
      </c>
      <c r="F1977">
        <v>5.6</v>
      </c>
      <c r="G1977">
        <v>1</v>
      </c>
      <c r="H1977" t="str">
        <f t="shared" si="30"/>
        <v>Night Usage</v>
      </c>
      <c r="I1977">
        <v>3.8</v>
      </c>
      <c r="J1977" s="3">
        <v>6</v>
      </c>
      <c r="K1977">
        <v>11.5</v>
      </c>
      <c r="L1977" t="s">
        <v>21</v>
      </c>
      <c r="M1977">
        <v>7</v>
      </c>
      <c r="N1977">
        <v>0</v>
      </c>
      <c r="O1977">
        <v>0</v>
      </c>
      <c r="P1977">
        <v>1</v>
      </c>
      <c r="Q1977">
        <v>1</v>
      </c>
      <c r="R1977">
        <v>1</v>
      </c>
      <c r="S1977">
        <v>1</v>
      </c>
      <c r="T1977" t="str">
        <f>IF(mental_health[Sleep_Hours]&lt;5,"Low",IF(mental_health[Sleep_Hours]&lt;7,"Medium","Good"))</f>
        <v>Low</v>
      </c>
      <c r="U1977" t="str">
        <f>IF(mental_health[Stress_Level]&lt;=3,"Low",IF(mental_health[Stress_Level]&lt;=7,"Medium","High"))</f>
        <v>Medium</v>
      </c>
      <c r="V1977" t="str">
        <f>IF(mental_health[Daily_Screen_Time]&lt;=4,"Low",IF(mental_health[Daily_Screen_Time]&lt;=8,"Medium","High"))</f>
        <v>High</v>
      </c>
    </row>
    <row r="1978" spans="1:22" x14ac:dyDescent="0.3">
      <c r="A1978">
        <v>1977</v>
      </c>
      <c r="B1978">
        <v>17</v>
      </c>
      <c r="C1978" t="s">
        <v>23</v>
      </c>
      <c r="D1978" t="s">
        <v>19</v>
      </c>
      <c r="E1978">
        <v>7</v>
      </c>
      <c r="F1978">
        <v>6.1</v>
      </c>
      <c r="G1978">
        <v>1</v>
      </c>
      <c r="H1978" t="str">
        <f t="shared" si="30"/>
        <v>Night Usage</v>
      </c>
      <c r="I1978">
        <v>4</v>
      </c>
      <c r="J1978" s="3">
        <v>1</v>
      </c>
      <c r="K1978">
        <v>11.4</v>
      </c>
      <c r="L1978" t="s">
        <v>20</v>
      </c>
      <c r="M1978">
        <v>3</v>
      </c>
      <c r="N1978">
        <v>1</v>
      </c>
      <c r="O1978">
        <v>0</v>
      </c>
      <c r="P1978">
        <v>0</v>
      </c>
      <c r="Q1978">
        <v>0</v>
      </c>
      <c r="R1978">
        <v>1</v>
      </c>
      <c r="S1978">
        <v>0</v>
      </c>
      <c r="T1978" t="str">
        <f>IF(mental_health[Sleep_Hours]&lt;5,"Low",IF(mental_health[Sleep_Hours]&lt;7,"Medium","Good"))</f>
        <v>Low</v>
      </c>
      <c r="U1978" t="str">
        <f>IF(mental_health[Stress_Level]&lt;=3,"Low",IF(mental_health[Stress_Level]&lt;=7,"Medium","High"))</f>
        <v>Low</v>
      </c>
      <c r="V1978" t="str">
        <f>IF(mental_health[Daily_Screen_Time]&lt;=4,"Low",IF(mental_health[Daily_Screen_Time]&lt;=8,"Medium","High"))</f>
        <v>Medium</v>
      </c>
    </row>
    <row r="1979" spans="1:22" x14ac:dyDescent="0.3">
      <c r="A1979">
        <v>1978</v>
      </c>
      <c r="B1979">
        <v>21</v>
      </c>
      <c r="C1979" t="s">
        <v>18</v>
      </c>
      <c r="D1979" t="s">
        <v>24</v>
      </c>
      <c r="E1979">
        <v>10</v>
      </c>
      <c r="F1979">
        <v>1</v>
      </c>
      <c r="G1979">
        <v>1</v>
      </c>
      <c r="H1979" t="str">
        <f t="shared" si="30"/>
        <v>Night Usage</v>
      </c>
      <c r="I1979">
        <v>5</v>
      </c>
      <c r="J1979" s="3">
        <v>5</v>
      </c>
      <c r="K1979">
        <v>2.1</v>
      </c>
      <c r="L1979" t="s">
        <v>21</v>
      </c>
      <c r="M1979">
        <v>6</v>
      </c>
      <c r="N1979">
        <v>1</v>
      </c>
      <c r="O1979">
        <v>1</v>
      </c>
      <c r="P1979">
        <v>1</v>
      </c>
      <c r="Q1979">
        <v>0</v>
      </c>
      <c r="R1979">
        <v>0</v>
      </c>
      <c r="S1979">
        <v>1</v>
      </c>
      <c r="T1979" t="str">
        <f>IF(mental_health[Sleep_Hours]&lt;5,"Low",IF(mental_health[Sleep_Hours]&lt;7,"Medium","Good"))</f>
        <v>Medium</v>
      </c>
      <c r="U1979" t="str">
        <f>IF(mental_health[Stress_Level]&lt;=3,"Low",IF(mental_health[Stress_Level]&lt;=7,"Medium","High"))</f>
        <v>Medium</v>
      </c>
      <c r="V1979" t="str">
        <f>IF(mental_health[Daily_Screen_Time]&lt;=4,"Low",IF(mental_health[Daily_Screen_Time]&lt;=8,"Medium","High"))</f>
        <v>High</v>
      </c>
    </row>
    <row r="1980" spans="1:22" x14ac:dyDescent="0.3">
      <c r="A1980">
        <v>1979</v>
      </c>
      <c r="B1980">
        <v>24</v>
      </c>
      <c r="C1980" t="s">
        <v>18</v>
      </c>
      <c r="D1980" t="s">
        <v>24</v>
      </c>
      <c r="E1980">
        <v>3.4</v>
      </c>
      <c r="F1980">
        <v>7.6</v>
      </c>
      <c r="G1980">
        <v>0</v>
      </c>
      <c r="H1980" t="str">
        <f t="shared" si="30"/>
        <v>No Night Usage</v>
      </c>
      <c r="I1980">
        <v>5.5</v>
      </c>
      <c r="J1980" s="3">
        <v>7</v>
      </c>
      <c r="K1980">
        <v>3.7</v>
      </c>
      <c r="L1980" t="s">
        <v>20</v>
      </c>
      <c r="M1980">
        <v>3</v>
      </c>
      <c r="N1980">
        <v>1</v>
      </c>
      <c r="O1980">
        <v>1</v>
      </c>
      <c r="P1980">
        <v>1</v>
      </c>
      <c r="Q1980">
        <v>1</v>
      </c>
      <c r="R1980">
        <v>1</v>
      </c>
      <c r="S1980">
        <v>0</v>
      </c>
      <c r="T1980" t="str">
        <f>IF(mental_health[Sleep_Hours]&lt;5,"Low",IF(mental_health[Sleep_Hours]&lt;7,"Medium","Good"))</f>
        <v>Medium</v>
      </c>
      <c r="U1980" t="str">
        <f>IF(mental_health[Stress_Level]&lt;=3,"Low",IF(mental_health[Stress_Level]&lt;=7,"Medium","High"))</f>
        <v>Medium</v>
      </c>
      <c r="V1980" t="str">
        <f>IF(mental_health[Daily_Screen_Time]&lt;=4,"Low",IF(mental_health[Daily_Screen_Time]&lt;=8,"Medium","High"))</f>
        <v>Low</v>
      </c>
    </row>
    <row r="1981" spans="1:22" x14ac:dyDescent="0.3">
      <c r="A1981">
        <v>1980</v>
      </c>
      <c r="B1981">
        <v>48</v>
      </c>
      <c r="C1981" t="s">
        <v>18</v>
      </c>
      <c r="D1981" t="s">
        <v>22</v>
      </c>
      <c r="E1981">
        <v>11.8</v>
      </c>
      <c r="F1981">
        <v>2.2000000000000002</v>
      </c>
      <c r="G1981">
        <v>0</v>
      </c>
      <c r="H1981" t="str">
        <f t="shared" si="30"/>
        <v>No Night Usage</v>
      </c>
      <c r="I1981">
        <v>5.0999999999999996</v>
      </c>
      <c r="J1981" s="3">
        <v>2</v>
      </c>
      <c r="K1981">
        <v>10.199999999999999</v>
      </c>
      <c r="L1981" t="s">
        <v>25</v>
      </c>
      <c r="M1981">
        <v>10</v>
      </c>
      <c r="N1981">
        <v>0</v>
      </c>
      <c r="O1981">
        <v>0</v>
      </c>
      <c r="P1981">
        <v>1</v>
      </c>
      <c r="Q1981">
        <v>1</v>
      </c>
      <c r="R1981">
        <v>0</v>
      </c>
      <c r="S1981">
        <v>0</v>
      </c>
      <c r="T1981" t="str">
        <f>IF(mental_health[Sleep_Hours]&lt;5,"Low",IF(mental_health[Sleep_Hours]&lt;7,"Medium","Good"))</f>
        <v>Medium</v>
      </c>
      <c r="U1981" t="str">
        <f>IF(mental_health[Stress_Level]&lt;=3,"Low",IF(mental_health[Stress_Level]&lt;=7,"Medium","High"))</f>
        <v>Low</v>
      </c>
      <c r="V1981" t="str">
        <f>IF(mental_health[Daily_Screen_Time]&lt;=4,"Low",IF(mental_health[Daily_Screen_Time]&lt;=8,"Medium","High"))</f>
        <v>High</v>
      </c>
    </row>
    <row r="1982" spans="1:22" x14ac:dyDescent="0.3">
      <c r="A1982">
        <v>1981</v>
      </c>
      <c r="B1982">
        <v>56</v>
      </c>
      <c r="C1982" t="s">
        <v>23</v>
      </c>
      <c r="D1982" t="s">
        <v>19</v>
      </c>
      <c r="E1982">
        <v>11.6</v>
      </c>
      <c r="F1982">
        <v>2.6</v>
      </c>
      <c r="G1982">
        <v>1</v>
      </c>
      <c r="H1982" t="str">
        <f t="shared" si="30"/>
        <v>Night Usage</v>
      </c>
      <c r="I1982">
        <v>7.6</v>
      </c>
      <c r="J1982" s="3">
        <v>10</v>
      </c>
      <c r="K1982">
        <v>5.4</v>
      </c>
      <c r="L1982" t="s">
        <v>21</v>
      </c>
      <c r="M1982">
        <v>5</v>
      </c>
      <c r="N1982">
        <v>1</v>
      </c>
      <c r="O1982">
        <v>1</v>
      </c>
      <c r="P1982">
        <v>1</v>
      </c>
      <c r="Q1982">
        <v>1</v>
      </c>
      <c r="R1982">
        <v>1</v>
      </c>
      <c r="S1982">
        <v>1</v>
      </c>
      <c r="T1982" t="str">
        <f>IF(mental_health[Sleep_Hours]&lt;5,"Low",IF(mental_health[Sleep_Hours]&lt;7,"Medium","Good"))</f>
        <v>Good</v>
      </c>
      <c r="U1982" t="str">
        <f>IF(mental_health[Stress_Level]&lt;=3,"Low",IF(mental_health[Stress_Level]&lt;=7,"Medium","High"))</f>
        <v>High</v>
      </c>
      <c r="V1982" t="str">
        <f>IF(mental_health[Daily_Screen_Time]&lt;=4,"Low",IF(mental_health[Daily_Screen_Time]&lt;=8,"Medium","High"))</f>
        <v>High</v>
      </c>
    </row>
    <row r="1983" spans="1:22" x14ac:dyDescent="0.3">
      <c r="A1983">
        <v>1982</v>
      </c>
      <c r="B1983">
        <v>40</v>
      </c>
      <c r="C1983" t="s">
        <v>23</v>
      </c>
      <c r="D1983" t="s">
        <v>24</v>
      </c>
      <c r="E1983">
        <v>3.6</v>
      </c>
      <c r="F1983">
        <v>2.8</v>
      </c>
      <c r="G1983">
        <v>1</v>
      </c>
      <c r="H1983" t="str">
        <f t="shared" si="30"/>
        <v>Night Usage</v>
      </c>
      <c r="I1983">
        <v>3.6</v>
      </c>
      <c r="J1983" s="3">
        <v>9</v>
      </c>
      <c r="K1983">
        <v>3</v>
      </c>
      <c r="L1983" t="s">
        <v>21</v>
      </c>
      <c r="M1983">
        <v>2</v>
      </c>
      <c r="N1983">
        <v>0</v>
      </c>
      <c r="O1983">
        <v>0</v>
      </c>
      <c r="P1983">
        <v>0</v>
      </c>
      <c r="Q1983">
        <v>1</v>
      </c>
      <c r="R1983">
        <v>0</v>
      </c>
      <c r="S1983">
        <v>1</v>
      </c>
      <c r="T1983" t="str">
        <f>IF(mental_health[Sleep_Hours]&lt;5,"Low",IF(mental_health[Sleep_Hours]&lt;7,"Medium","Good"))</f>
        <v>Low</v>
      </c>
      <c r="U1983" t="str">
        <f>IF(mental_health[Stress_Level]&lt;=3,"Low",IF(mental_health[Stress_Level]&lt;=7,"Medium","High"))</f>
        <v>High</v>
      </c>
      <c r="V1983" t="str">
        <f>IF(mental_health[Daily_Screen_Time]&lt;=4,"Low",IF(mental_health[Daily_Screen_Time]&lt;=8,"Medium","High"))</f>
        <v>Low</v>
      </c>
    </row>
    <row r="1984" spans="1:22" x14ac:dyDescent="0.3">
      <c r="A1984">
        <v>1983</v>
      </c>
      <c r="B1984">
        <v>28</v>
      </c>
      <c r="C1984" t="s">
        <v>18</v>
      </c>
      <c r="D1984" t="s">
        <v>22</v>
      </c>
      <c r="E1984">
        <v>5</v>
      </c>
      <c r="F1984">
        <v>1.3</v>
      </c>
      <c r="G1984">
        <v>1</v>
      </c>
      <c r="H1984" t="str">
        <f t="shared" si="30"/>
        <v>Night Usage</v>
      </c>
      <c r="I1984">
        <v>5.0999999999999996</v>
      </c>
      <c r="J1984" s="3">
        <v>6</v>
      </c>
      <c r="K1984">
        <v>9.8000000000000007</v>
      </c>
      <c r="L1984" t="s">
        <v>20</v>
      </c>
      <c r="M1984">
        <v>8</v>
      </c>
      <c r="N1984">
        <v>0</v>
      </c>
      <c r="O1984">
        <v>0</v>
      </c>
      <c r="P1984">
        <v>0</v>
      </c>
      <c r="Q1984">
        <v>0</v>
      </c>
      <c r="R1984">
        <v>1</v>
      </c>
      <c r="S1984">
        <v>1</v>
      </c>
      <c r="T1984" t="str">
        <f>IF(mental_health[Sleep_Hours]&lt;5,"Low",IF(mental_health[Sleep_Hours]&lt;7,"Medium","Good"))</f>
        <v>Medium</v>
      </c>
      <c r="U1984" t="str">
        <f>IF(mental_health[Stress_Level]&lt;=3,"Low",IF(mental_health[Stress_Level]&lt;=7,"Medium","High"))</f>
        <v>Medium</v>
      </c>
      <c r="V1984" t="str">
        <f>IF(mental_health[Daily_Screen_Time]&lt;=4,"Low",IF(mental_health[Daily_Screen_Time]&lt;=8,"Medium","High"))</f>
        <v>Medium</v>
      </c>
    </row>
    <row r="1985" spans="1:22" x14ac:dyDescent="0.3">
      <c r="A1985">
        <v>1984</v>
      </c>
      <c r="B1985">
        <v>24</v>
      </c>
      <c r="C1985" t="s">
        <v>18</v>
      </c>
      <c r="D1985" t="s">
        <v>24</v>
      </c>
      <c r="E1985">
        <v>3</v>
      </c>
      <c r="F1985">
        <v>1.9</v>
      </c>
      <c r="G1985">
        <v>1</v>
      </c>
      <c r="H1985" t="str">
        <f t="shared" si="30"/>
        <v>Night Usage</v>
      </c>
      <c r="I1985">
        <v>8</v>
      </c>
      <c r="J1985" s="3">
        <v>2</v>
      </c>
      <c r="K1985">
        <v>6.5</v>
      </c>
      <c r="L1985" t="s">
        <v>21</v>
      </c>
      <c r="M1985">
        <v>8</v>
      </c>
      <c r="N1985">
        <v>3</v>
      </c>
      <c r="O1985">
        <v>1</v>
      </c>
      <c r="P1985">
        <v>0</v>
      </c>
      <c r="Q1985">
        <v>0</v>
      </c>
      <c r="R1985">
        <v>0</v>
      </c>
      <c r="S1985">
        <v>0</v>
      </c>
      <c r="T1985" t="str">
        <f>IF(mental_health[Sleep_Hours]&lt;5,"Low",IF(mental_health[Sleep_Hours]&lt;7,"Medium","Good"))</f>
        <v>Good</v>
      </c>
      <c r="U1985" t="str">
        <f>IF(mental_health[Stress_Level]&lt;=3,"Low",IF(mental_health[Stress_Level]&lt;=7,"Medium","High"))</f>
        <v>Low</v>
      </c>
      <c r="V1985" t="str">
        <f>IF(mental_health[Daily_Screen_Time]&lt;=4,"Low",IF(mental_health[Daily_Screen_Time]&lt;=8,"Medium","High"))</f>
        <v>Low</v>
      </c>
    </row>
    <row r="1986" spans="1:22" x14ac:dyDescent="0.3">
      <c r="A1986">
        <v>1985</v>
      </c>
      <c r="B1986">
        <v>28</v>
      </c>
      <c r="C1986" t="s">
        <v>23</v>
      </c>
      <c r="D1986" t="s">
        <v>24</v>
      </c>
      <c r="E1986">
        <v>4.7</v>
      </c>
      <c r="F1986">
        <v>7.9</v>
      </c>
      <c r="G1986">
        <v>0</v>
      </c>
      <c r="H1986" t="str">
        <f t="shared" ref="H1986:H2001" si="31">IF(G1986=1,"Night Usage","No Night Usage")</f>
        <v>No Night Usage</v>
      </c>
      <c r="I1986">
        <v>3.4</v>
      </c>
      <c r="J1986" s="3">
        <v>8</v>
      </c>
      <c r="K1986">
        <v>6.9</v>
      </c>
      <c r="L1986" t="s">
        <v>21</v>
      </c>
      <c r="M1986">
        <v>7</v>
      </c>
      <c r="N1986">
        <v>3</v>
      </c>
      <c r="O1986">
        <v>0</v>
      </c>
      <c r="P1986">
        <v>1</v>
      </c>
      <c r="Q1986">
        <v>1</v>
      </c>
      <c r="R1986">
        <v>1</v>
      </c>
      <c r="S1986">
        <v>0</v>
      </c>
      <c r="T1986" t="str">
        <f>IF(mental_health[Sleep_Hours]&lt;5,"Low",IF(mental_health[Sleep_Hours]&lt;7,"Medium","Good"))</f>
        <v>Low</v>
      </c>
      <c r="U1986" t="str">
        <f>IF(mental_health[Stress_Level]&lt;=3,"Low",IF(mental_health[Stress_Level]&lt;=7,"Medium","High"))</f>
        <v>High</v>
      </c>
      <c r="V1986" t="str">
        <f>IF(mental_health[Daily_Screen_Time]&lt;=4,"Low",IF(mental_health[Daily_Screen_Time]&lt;=8,"Medium","High"))</f>
        <v>Medium</v>
      </c>
    </row>
    <row r="1987" spans="1:22" x14ac:dyDescent="0.3">
      <c r="A1987">
        <v>1986</v>
      </c>
      <c r="B1987">
        <v>46</v>
      </c>
      <c r="C1987" t="s">
        <v>18</v>
      </c>
      <c r="D1987" t="s">
        <v>19</v>
      </c>
      <c r="E1987">
        <v>10.199999999999999</v>
      </c>
      <c r="F1987">
        <v>3.2</v>
      </c>
      <c r="G1987">
        <v>0</v>
      </c>
      <c r="H1987" t="str">
        <f t="shared" si="31"/>
        <v>No Night Usage</v>
      </c>
      <c r="I1987">
        <v>8.6999999999999993</v>
      </c>
      <c r="J1987" s="3">
        <v>8</v>
      </c>
      <c r="K1987">
        <v>3.9</v>
      </c>
      <c r="L1987" t="s">
        <v>20</v>
      </c>
      <c r="M1987">
        <v>6</v>
      </c>
      <c r="N1987">
        <v>1</v>
      </c>
      <c r="O1987">
        <v>1</v>
      </c>
      <c r="P1987">
        <v>1</v>
      </c>
      <c r="Q1987">
        <v>0</v>
      </c>
      <c r="R1987">
        <v>1</v>
      </c>
      <c r="S1987">
        <v>0</v>
      </c>
      <c r="T1987" t="str">
        <f>IF(mental_health[Sleep_Hours]&lt;5,"Low",IF(mental_health[Sleep_Hours]&lt;7,"Medium","Good"))</f>
        <v>Good</v>
      </c>
      <c r="U1987" t="str">
        <f>IF(mental_health[Stress_Level]&lt;=3,"Low",IF(mental_health[Stress_Level]&lt;=7,"Medium","High"))</f>
        <v>High</v>
      </c>
      <c r="V1987" t="str">
        <f>IF(mental_health[Daily_Screen_Time]&lt;=4,"Low",IF(mental_health[Daily_Screen_Time]&lt;=8,"Medium","High"))</f>
        <v>High</v>
      </c>
    </row>
    <row r="1988" spans="1:22" x14ac:dyDescent="0.3">
      <c r="A1988">
        <v>1987</v>
      </c>
      <c r="B1988">
        <v>56</v>
      </c>
      <c r="C1988" t="s">
        <v>18</v>
      </c>
      <c r="D1988" t="s">
        <v>19</v>
      </c>
      <c r="E1988">
        <v>5.8</v>
      </c>
      <c r="F1988">
        <v>1.8</v>
      </c>
      <c r="G1988">
        <v>1</v>
      </c>
      <c r="H1988" t="str">
        <f t="shared" si="31"/>
        <v>Night Usage</v>
      </c>
      <c r="I1988">
        <v>8.9</v>
      </c>
      <c r="J1988" s="3">
        <v>1</v>
      </c>
      <c r="K1988">
        <v>8.6</v>
      </c>
      <c r="L1988" t="s">
        <v>21</v>
      </c>
      <c r="M1988">
        <v>1</v>
      </c>
      <c r="N1988">
        <v>2</v>
      </c>
      <c r="O1988">
        <v>0</v>
      </c>
      <c r="P1988">
        <v>0</v>
      </c>
      <c r="Q1988">
        <v>0</v>
      </c>
      <c r="R1988">
        <v>0</v>
      </c>
      <c r="S1988">
        <v>0</v>
      </c>
      <c r="T1988" t="str">
        <f>IF(mental_health[Sleep_Hours]&lt;5,"Low",IF(mental_health[Sleep_Hours]&lt;7,"Medium","Good"))</f>
        <v>Good</v>
      </c>
      <c r="U1988" t="str">
        <f>IF(mental_health[Stress_Level]&lt;=3,"Low",IF(mental_health[Stress_Level]&lt;=7,"Medium","High"))</f>
        <v>Low</v>
      </c>
      <c r="V1988" t="str">
        <f>IF(mental_health[Daily_Screen_Time]&lt;=4,"Low",IF(mental_health[Daily_Screen_Time]&lt;=8,"Medium","High"))</f>
        <v>Medium</v>
      </c>
    </row>
    <row r="1989" spans="1:22" x14ac:dyDescent="0.3">
      <c r="A1989">
        <v>1988</v>
      </c>
      <c r="B1989">
        <v>26</v>
      </c>
      <c r="C1989" t="s">
        <v>23</v>
      </c>
      <c r="D1989" t="s">
        <v>24</v>
      </c>
      <c r="E1989">
        <v>2.9</v>
      </c>
      <c r="F1989">
        <v>1.7</v>
      </c>
      <c r="G1989">
        <v>0</v>
      </c>
      <c r="H1989" t="str">
        <f t="shared" si="31"/>
        <v>No Night Usage</v>
      </c>
      <c r="I1989">
        <v>3.5</v>
      </c>
      <c r="J1989" s="3">
        <v>1</v>
      </c>
      <c r="K1989">
        <v>7.5</v>
      </c>
      <c r="L1989" t="s">
        <v>21</v>
      </c>
      <c r="M1989">
        <v>8</v>
      </c>
      <c r="N1989">
        <v>3</v>
      </c>
      <c r="O1989">
        <v>0</v>
      </c>
      <c r="P1989">
        <v>1</v>
      </c>
      <c r="Q1989">
        <v>0</v>
      </c>
      <c r="R1989">
        <v>0</v>
      </c>
      <c r="S1989">
        <v>0</v>
      </c>
      <c r="T1989" t="str">
        <f>IF(mental_health[Sleep_Hours]&lt;5,"Low",IF(mental_health[Sleep_Hours]&lt;7,"Medium","Good"))</f>
        <v>Low</v>
      </c>
      <c r="U1989" t="str">
        <f>IF(mental_health[Stress_Level]&lt;=3,"Low",IF(mental_health[Stress_Level]&lt;=7,"Medium","High"))</f>
        <v>Low</v>
      </c>
      <c r="V1989" t="str">
        <f>IF(mental_health[Daily_Screen_Time]&lt;=4,"Low",IF(mental_health[Daily_Screen_Time]&lt;=8,"Medium","High"))</f>
        <v>Low</v>
      </c>
    </row>
    <row r="1990" spans="1:22" x14ac:dyDescent="0.3">
      <c r="A1990">
        <v>1989</v>
      </c>
      <c r="B1990">
        <v>19</v>
      </c>
      <c r="C1990" t="s">
        <v>18</v>
      </c>
      <c r="D1990" t="s">
        <v>22</v>
      </c>
      <c r="E1990">
        <v>5.4</v>
      </c>
      <c r="F1990">
        <v>6</v>
      </c>
      <c r="G1990">
        <v>0</v>
      </c>
      <c r="H1990" t="str">
        <f t="shared" si="31"/>
        <v>No Night Usage</v>
      </c>
      <c r="I1990">
        <v>4.7</v>
      </c>
      <c r="J1990" s="3">
        <v>1</v>
      </c>
      <c r="K1990">
        <v>4.0999999999999996</v>
      </c>
      <c r="L1990" t="s">
        <v>25</v>
      </c>
      <c r="M1990">
        <v>1</v>
      </c>
      <c r="N1990">
        <v>3</v>
      </c>
      <c r="O1990">
        <v>0</v>
      </c>
      <c r="P1990">
        <v>0</v>
      </c>
      <c r="Q1990">
        <v>0</v>
      </c>
      <c r="R1990">
        <v>1</v>
      </c>
      <c r="S1990">
        <v>0</v>
      </c>
      <c r="T1990" t="str">
        <f>IF(mental_health[Sleep_Hours]&lt;5,"Low",IF(mental_health[Sleep_Hours]&lt;7,"Medium","Good"))</f>
        <v>Low</v>
      </c>
      <c r="U1990" t="str">
        <f>IF(mental_health[Stress_Level]&lt;=3,"Low",IF(mental_health[Stress_Level]&lt;=7,"Medium","High"))</f>
        <v>Low</v>
      </c>
      <c r="V1990" t="str">
        <f>IF(mental_health[Daily_Screen_Time]&lt;=4,"Low",IF(mental_health[Daily_Screen_Time]&lt;=8,"Medium","High"))</f>
        <v>Medium</v>
      </c>
    </row>
    <row r="1991" spans="1:22" x14ac:dyDescent="0.3">
      <c r="A1991">
        <v>1990</v>
      </c>
      <c r="B1991">
        <v>49</v>
      </c>
      <c r="C1991" t="s">
        <v>23</v>
      </c>
      <c r="D1991" t="s">
        <v>19</v>
      </c>
      <c r="E1991">
        <v>11.8</v>
      </c>
      <c r="F1991">
        <v>7</v>
      </c>
      <c r="G1991">
        <v>1</v>
      </c>
      <c r="H1991" t="str">
        <f t="shared" si="31"/>
        <v>Night Usage</v>
      </c>
      <c r="I1991">
        <v>5.2</v>
      </c>
      <c r="J1991" s="3">
        <v>4</v>
      </c>
      <c r="K1991">
        <v>5.4</v>
      </c>
      <c r="L1991" t="s">
        <v>25</v>
      </c>
      <c r="M1991">
        <v>8</v>
      </c>
      <c r="N1991">
        <v>2</v>
      </c>
      <c r="O1991">
        <v>1</v>
      </c>
      <c r="P1991">
        <v>0</v>
      </c>
      <c r="Q1991">
        <v>1</v>
      </c>
      <c r="R1991">
        <v>1</v>
      </c>
      <c r="S1991">
        <v>0</v>
      </c>
      <c r="T1991" t="str">
        <f>IF(mental_health[Sleep_Hours]&lt;5,"Low",IF(mental_health[Sleep_Hours]&lt;7,"Medium","Good"))</f>
        <v>Medium</v>
      </c>
      <c r="U1991" t="str">
        <f>IF(mental_health[Stress_Level]&lt;=3,"Low",IF(mental_health[Stress_Level]&lt;=7,"Medium","High"))</f>
        <v>Medium</v>
      </c>
      <c r="V1991" t="str">
        <f>IF(mental_health[Daily_Screen_Time]&lt;=4,"Low",IF(mental_health[Daily_Screen_Time]&lt;=8,"Medium","High"))</f>
        <v>High</v>
      </c>
    </row>
    <row r="1992" spans="1:22" x14ac:dyDescent="0.3">
      <c r="A1992">
        <v>1991</v>
      </c>
      <c r="B1992">
        <v>53</v>
      </c>
      <c r="C1992" t="s">
        <v>18</v>
      </c>
      <c r="D1992" t="s">
        <v>24</v>
      </c>
      <c r="E1992">
        <v>8.3000000000000007</v>
      </c>
      <c r="F1992">
        <v>2.8</v>
      </c>
      <c r="G1992">
        <v>1</v>
      </c>
      <c r="H1992" t="str">
        <f t="shared" si="31"/>
        <v>Night Usage</v>
      </c>
      <c r="I1992">
        <v>7.7</v>
      </c>
      <c r="J1992" s="3">
        <v>4</v>
      </c>
      <c r="K1992">
        <v>8</v>
      </c>
      <c r="L1992" t="s">
        <v>25</v>
      </c>
      <c r="M1992">
        <v>2</v>
      </c>
      <c r="N1992">
        <v>4</v>
      </c>
      <c r="O1992">
        <v>0</v>
      </c>
      <c r="P1992">
        <v>0</v>
      </c>
      <c r="Q1992">
        <v>1</v>
      </c>
      <c r="R1992">
        <v>1</v>
      </c>
      <c r="S1992">
        <v>1</v>
      </c>
      <c r="T1992" t="str">
        <f>IF(mental_health[Sleep_Hours]&lt;5,"Low",IF(mental_health[Sleep_Hours]&lt;7,"Medium","Good"))</f>
        <v>Good</v>
      </c>
      <c r="U1992" t="str">
        <f>IF(mental_health[Stress_Level]&lt;=3,"Low",IF(mental_health[Stress_Level]&lt;=7,"Medium","High"))</f>
        <v>Medium</v>
      </c>
      <c r="V1992" t="str">
        <f>IF(mental_health[Daily_Screen_Time]&lt;=4,"Low",IF(mental_health[Daily_Screen_Time]&lt;=8,"Medium","High"))</f>
        <v>High</v>
      </c>
    </row>
    <row r="1993" spans="1:22" x14ac:dyDescent="0.3">
      <c r="A1993">
        <v>1992</v>
      </c>
      <c r="B1993">
        <v>19</v>
      </c>
      <c r="C1993" t="s">
        <v>18</v>
      </c>
      <c r="D1993" t="s">
        <v>19</v>
      </c>
      <c r="E1993">
        <v>6.2</v>
      </c>
      <c r="F1993">
        <v>1.1000000000000001</v>
      </c>
      <c r="G1993">
        <v>1</v>
      </c>
      <c r="H1993" t="str">
        <f t="shared" si="31"/>
        <v>Night Usage</v>
      </c>
      <c r="I1993">
        <v>6.6</v>
      </c>
      <c r="J1993" s="3">
        <v>8</v>
      </c>
      <c r="K1993">
        <v>11.2</v>
      </c>
      <c r="L1993" t="s">
        <v>25</v>
      </c>
      <c r="M1993">
        <v>8</v>
      </c>
      <c r="N1993">
        <v>1</v>
      </c>
      <c r="O1993">
        <v>0</v>
      </c>
      <c r="P1993">
        <v>1</v>
      </c>
      <c r="Q1993">
        <v>0</v>
      </c>
      <c r="R1993">
        <v>0</v>
      </c>
      <c r="S1993">
        <v>1</v>
      </c>
      <c r="T1993" t="str">
        <f>IF(mental_health[Sleep_Hours]&lt;5,"Low",IF(mental_health[Sleep_Hours]&lt;7,"Medium","Good"))</f>
        <v>Medium</v>
      </c>
      <c r="U1993" t="str">
        <f>IF(mental_health[Stress_Level]&lt;=3,"Low",IF(mental_health[Stress_Level]&lt;=7,"Medium","High"))</f>
        <v>High</v>
      </c>
      <c r="V1993" t="str">
        <f>IF(mental_health[Daily_Screen_Time]&lt;=4,"Low",IF(mental_health[Daily_Screen_Time]&lt;=8,"Medium","High"))</f>
        <v>Medium</v>
      </c>
    </row>
    <row r="1994" spans="1:22" x14ac:dyDescent="0.3">
      <c r="A1994">
        <v>1993</v>
      </c>
      <c r="B1994">
        <v>53</v>
      </c>
      <c r="C1994" t="s">
        <v>23</v>
      </c>
      <c r="D1994" t="s">
        <v>19</v>
      </c>
      <c r="E1994">
        <v>3.7</v>
      </c>
      <c r="F1994">
        <v>2.6</v>
      </c>
      <c r="G1994">
        <v>0</v>
      </c>
      <c r="H1994" t="str">
        <f t="shared" si="31"/>
        <v>No Night Usage</v>
      </c>
      <c r="I1994">
        <v>6.9</v>
      </c>
      <c r="J1994" s="3">
        <v>1</v>
      </c>
      <c r="K1994">
        <v>11.2</v>
      </c>
      <c r="L1994" t="s">
        <v>25</v>
      </c>
      <c r="M1994">
        <v>10</v>
      </c>
      <c r="N1994">
        <v>4</v>
      </c>
      <c r="O1994">
        <v>1</v>
      </c>
      <c r="P1994">
        <v>0</v>
      </c>
      <c r="Q1994">
        <v>0</v>
      </c>
      <c r="R1994">
        <v>0</v>
      </c>
      <c r="S1994">
        <v>0</v>
      </c>
      <c r="T1994" t="str">
        <f>IF(mental_health[Sleep_Hours]&lt;5,"Low",IF(mental_health[Sleep_Hours]&lt;7,"Medium","Good"))</f>
        <v>Medium</v>
      </c>
      <c r="U1994" t="str">
        <f>IF(mental_health[Stress_Level]&lt;=3,"Low",IF(mental_health[Stress_Level]&lt;=7,"Medium","High"))</f>
        <v>Low</v>
      </c>
      <c r="V1994" t="str">
        <f>IF(mental_health[Daily_Screen_Time]&lt;=4,"Low",IF(mental_health[Daily_Screen_Time]&lt;=8,"Medium","High"))</f>
        <v>Low</v>
      </c>
    </row>
    <row r="1995" spans="1:22" x14ac:dyDescent="0.3">
      <c r="A1995">
        <v>1994</v>
      </c>
      <c r="B1995">
        <v>34</v>
      </c>
      <c r="C1995" t="s">
        <v>23</v>
      </c>
      <c r="D1995" t="s">
        <v>19</v>
      </c>
      <c r="E1995">
        <v>11.9</v>
      </c>
      <c r="F1995">
        <v>1.4</v>
      </c>
      <c r="G1995">
        <v>0</v>
      </c>
      <c r="H1995" t="str">
        <f t="shared" si="31"/>
        <v>No Night Usage</v>
      </c>
      <c r="I1995">
        <v>7.5</v>
      </c>
      <c r="J1995" s="3">
        <v>10</v>
      </c>
      <c r="K1995">
        <v>4.9000000000000004</v>
      </c>
      <c r="L1995" t="s">
        <v>21</v>
      </c>
      <c r="M1995">
        <v>4</v>
      </c>
      <c r="N1995">
        <v>4</v>
      </c>
      <c r="O1995">
        <v>0</v>
      </c>
      <c r="P1995">
        <v>1</v>
      </c>
      <c r="Q1995">
        <v>0</v>
      </c>
      <c r="R1995">
        <v>1</v>
      </c>
      <c r="S1995">
        <v>0</v>
      </c>
      <c r="T1995" t="str">
        <f>IF(mental_health[Sleep_Hours]&lt;5,"Low",IF(mental_health[Sleep_Hours]&lt;7,"Medium","Good"))</f>
        <v>Good</v>
      </c>
      <c r="U1995" t="str">
        <f>IF(mental_health[Stress_Level]&lt;=3,"Low",IF(mental_health[Stress_Level]&lt;=7,"Medium","High"))</f>
        <v>High</v>
      </c>
      <c r="V1995" t="str">
        <f>IF(mental_health[Daily_Screen_Time]&lt;=4,"Low",IF(mental_health[Daily_Screen_Time]&lt;=8,"Medium","High"))</f>
        <v>High</v>
      </c>
    </row>
    <row r="1996" spans="1:22" x14ac:dyDescent="0.3">
      <c r="A1996">
        <v>1995</v>
      </c>
      <c r="B1996">
        <v>21</v>
      </c>
      <c r="C1996" t="s">
        <v>18</v>
      </c>
      <c r="D1996" t="s">
        <v>24</v>
      </c>
      <c r="E1996">
        <v>10.199999999999999</v>
      </c>
      <c r="F1996">
        <v>1.7</v>
      </c>
      <c r="G1996">
        <v>1</v>
      </c>
      <c r="H1996" t="str">
        <f t="shared" si="31"/>
        <v>Night Usage</v>
      </c>
      <c r="I1996">
        <v>3.7</v>
      </c>
      <c r="J1996" s="3">
        <v>3</v>
      </c>
      <c r="K1996">
        <v>9.4</v>
      </c>
      <c r="L1996" t="s">
        <v>21</v>
      </c>
      <c r="M1996">
        <v>7</v>
      </c>
      <c r="N1996">
        <v>0</v>
      </c>
      <c r="O1996">
        <v>1</v>
      </c>
      <c r="P1996">
        <v>0</v>
      </c>
      <c r="Q1996">
        <v>0</v>
      </c>
      <c r="R1996">
        <v>1</v>
      </c>
      <c r="S1996">
        <v>1</v>
      </c>
      <c r="T1996" t="str">
        <f>IF(mental_health[Sleep_Hours]&lt;5,"Low",IF(mental_health[Sleep_Hours]&lt;7,"Medium","Good"))</f>
        <v>Low</v>
      </c>
      <c r="U1996" t="str">
        <f>IF(mental_health[Stress_Level]&lt;=3,"Low",IF(mental_health[Stress_Level]&lt;=7,"Medium","High"))</f>
        <v>Low</v>
      </c>
      <c r="V1996" t="str">
        <f>IF(mental_health[Daily_Screen_Time]&lt;=4,"Low",IF(mental_health[Daily_Screen_Time]&lt;=8,"Medium","High"))</f>
        <v>High</v>
      </c>
    </row>
    <row r="1997" spans="1:22" x14ac:dyDescent="0.3">
      <c r="A1997">
        <v>1996</v>
      </c>
      <c r="B1997">
        <v>49</v>
      </c>
      <c r="C1997" t="s">
        <v>23</v>
      </c>
      <c r="D1997" t="s">
        <v>22</v>
      </c>
      <c r="E1997">
        <v>4.8</v>
      </c>
      <c r="F1997">
        <v>4</v>
      </c>
      <c r="G1997">
        <v>1</v>
      </c>
      <c r="H1997" t="str">
        <f t="shared" si="31"/>
        <v>Night Usage</v>
      </c>
      <c r="I1997">
        <v>8</v>
      </c>
      <c r="J1997" s="3">
        <v>1</v>
      </c>
      <c r="K1997">
        <v>9.8000000000000007</v>
      </c>
      <c r="L1997" t="s">
        <v>25</v>
      </c>
      <c r="M1997">
        <v>5</v>
      </c>
      <c r="N1997">
        <v>0</v>
      </c>
      <c r="O1997">
        <v>1</v>
      </c>
      <c r="P1997">
        <v>1</v>
      </c>
      <c r="Q1997">
        <v>1</v>
      </c>
      <c r="R1997">
        <v>0</v>
      </c>
      <c r="S1997">
        <v>0</v>
      </c>
      <c r="T1997" t="str">
        <f>IF(mental_health[Sleep_Hours]&lt;5,"Low",IF(mental_health[Sleep_Hours]&lt;7,"Medium","Good"))</f>
        <v>Good</v>
      </c>
      <c r="U1997" t="str">
        <f>IF(mental_health[Stress_Level]&lt;=3,"Low",IF(mental_health[Stress_Level]&lt;=7,"Medium","High"))</f>
        <v>Low</v>
      </c>
      <c r="V1997" t="str">
        <f>IF(mental_health[Daily_Screen_Time]&lt;=4,"Low",IF(mental_health[Daily_Screen_Time]&lt;=8,"Medium","High"))</f>
        <v>Medium</v>
      </c>
    </row>
    <row r="1998" spans="1:22" x14ac:dyDescent="0.3">
      <c r="A1998">
        <v>1997</v>
      </c>
      <c r="B1998">
        <v>33</v>
      </c>
      <c r="C1998" t="s">
        <v>18</v>
      </c>
      <c r="D1998" t="s">
        <v>22</v>
      </c>
      <c r="E1998">
        <v>2.7</v>
      </c>
      <c r="F1998">
        <v>2.6</v>
      </c>
      <c r="G1998">
        <v>0</v>
      </c>
      <c r="H1998" t="str">
        <f t="shared" si="31"/>
        <v>No Night Usage</v>
      </c>
      <c r="I1998">
        <v>7.2</v>
      </c>
      <c r="J1998" s="3">
        <v>9</v>
      </c>
      <c r="K1998">
        <v>10.1</v>
      </c>
      <c r="L1998" t="s">
        <v>20</v>
      </c>
      <c r="M1998">
        <v>8</v>
      </c>
      <c r="N1998">
        <v>1</v>
      </c>
      <c r="O1998">
        <v>1</v>
      </c>
      <c r="P1998">
        <v>1</v>
      </c>
      <c r="Q1998">
        <v>1</v>
      </c>
      <c r="R1998">
        <v>1</v>
      </c>
      <c r="S1998">
        <v>1</v>
      </c>
      <c r="T1998" t="str">
        <f>IF(mental_health[Sleep_Hours]&lt;5,"Low",IF(mental_health[Sleep_Hours]&lt;7,"Medium","Good"))</f>
        <v>Good</v>
      </c>
      <c r="U1998" t="str">
        <f>IF(mental_health[Stress_Level]&lt;=3,"Low",IF(mental_health[Stress_Level]&lt;=7,"Medium","High"))</f>
        <v>High</v>
      </c>
      <c r="V1998" t="str">
        <f>IF(mental_health[Daily_Screen_Time]&lt;=4,"Low",IF(mental_health[Daily_Screen_Time]&lt;=8,"Medium","High"))</f>
        <v>Low</v>
      </c>
    </row>
    <row r="1999" spans="1:22" x14ac:dyDescent="0.3">
      <c r="A1999">
        <v>1998</v>
      </c>
      <c r="B1999">
        <v>28</v>
      </c>
      <c r="C1999" t="s">
        <v>18</v>
      </c>
      <c r="D1999" t="s">
        <v>22</v>
      </c>
      <c r="E1999">
        <v>2.6</v>
      </c>
      <c r="F1999">
        <v>4.5999999999999996</v>
      </c>
      <c r="G1999">
        <v>0</v>
      </c>
      <c r="H1999" t="str">
        <f t="shared" si="31"/>
        <v>No Night Usage</v>
      </c>
      <c r="I1999">
        <v>6.5</v>
      </c>
      <c r="J1999" s="3">
        <v>10</v>
      </c>
      <c r="K1999">
        <v>7.7</v>
      </c>
      <c r="L1999" t="s">
        <v>25</v>
      </c>
      <c r="M1999">
        <v>6</v>
      </c>
      <c r="N1999">
        <v>2</v>
      </c>
      <c r="O1999">
        <v>0</v>
      </c>
      <c r="P1999">
        <v>0</v>
      </c>
      <c r="Q1999">
        <v>0</v>
      </c>
      <c r="R1999">
        <v>1</v>
      </c>
      <c r="S1999">
        <v>1</v>
      </c>
      <c r="T1999" t="str">
        <f>IF(mental_health[Sleep_Hours]&lt;5,"Low",IF(mental_health[Sleep_Hours]&lt;7,"Medium","Good"))</f>
        <v>Medium</v>
      </c>
      <c r="U1999" t="str">
        <f>IF(mental_health[Stress_Level]&lt;=3,"Low",IF(mental_health[Stress_Level]&lt;=7,"Medium","High"))</f>
        <v>High</v>
      </c>
      <c r="V1999" t="str">
        <f>IF(mental_health[Daily_Screen_Time]&lt;=4,"Low",IF(mental_health[Daily_Screen_Time]&lt;=8,"Medium","High"))</f>
        <v>Low</v>
      </c>
    </row>
    <row r="2000" spans="1:22" x14ac:dyDescent="0.3">
      <c r="A2000">
        <v>1999</v>
      </c>
      <c r="B2000">
        <v>56</v>
      </c>
      <c r="C2000" t="s">
        <v>23</v>
      </c>
      <c r="D2000" t="s">
        <v>19</v>
      </c>
      <c r="E2000">
        <v>3.2</v>
      </c>
      <c r="F2000">
        <v>2.8</v>
      </c>
      <c r="G2000">
        <v>1</v>
      </c>
      <c r="H2000" t="str">
        <f t="shared" si="31"/>
        <v>Night Usage</v>
      </c>
      <c r="I2000">
        <v>8.3000000000000007</v>
      </c>
      <c r="J2000" s="3">
        <v>9</v>
      </c>
      <c r="K2000">
        <v>2.1</v>
      </c>
      <c r="L2000" t="s">
        <v>21</v>
      </c>
      <c r="M2000">
        <v>5</v>
      </c>
      <c r="N2000">
        <v>0</v>
      </c>
      <c r="O2000">
        <v>1</v>
      </c>
      <c r="P2000">
        <v>1</v>
      </c>
      <c r="Q2000">
        <v>0</v>
      </c>
      <c r="R2000">
        <v>0</v>
      </c>
      <c r="S2000">
        <v>0</v>
      </c>
      <c r="T2000" t="str">
        <f>IF(mental_health[Sleep_Hours]&lt;5,"Low",IF(mental_health[Sleep_Hours]&lt;7,"Medium","Good"))</f>
        <v>Good</v>
      </c>
      <c r="U2000" t="str">
        <f>IF(mental_health[Stress_Level]&lt;=3,"Low",IF(mental_health[Stress_Level]&lt;=7,"Medium","High"))</f>
        <v>High</v>
      </c>
      <c r="V2000" t="str">
        <f>IF(mental_health[Daily_Screen_Time]&lt;=4,"Low",IF(mental_health[Daily_Screen_Time]&lt;=8,"Medium","High"))</f>
        <v>Low</v>
      </c>
    </row>
    <row r="2001" spans="1:22" x14ac:dyDescent="0.3">
      <c r="A2001">
        <v>2000</v>
      </c>
      <c r="B2001">
        <v>38</v>
      </c>
      <c r="C2001" t="s">
        <v>18</v>
      </c>
      <c r="D2001" t="s">
        <v>24</v>
      </c>
      <c r="E2001">
        <v>7.8</v>
      </c>
      <c r="F2001">
        <v>7.6</v>
      </c>
      <c r="G2001">
        <v>0</v>
      </c>
      <c r="H2001" t="str">
        <f t="shared" si="31"/>
        <v>No Night Usage</v>
      </c>
      <c r="I2001">
        <v>7.2</v>
      </c>
      <c r="J2001" s="3">
        <v>7</v>
      </c>
      <c r="K2001">
        <v>9.6</v>
      </c>
      <c r="L2001" t="s">
        <v>20</v>
      </c>
      <c r="M2001">
        <v>1</v>
      </c>
      <c r="N2001">
        <v>3</v>
      </c>
      <c r="O2001">
        <v>0</v>
      </c>
      <c r="P2001">
        <v>1</v>
      </c>
      <c r="Q2001">
        <v>1</v>
      </c>
      <c r="R2001">
        <v>0</v>
      </c>
      <c r="S2001">
        <v>1</v>
      </c>
      <c r="T2001" t="str">
        <f>IF(mental_health[Sleep_Hours]&lt;5,"Low",IF(mental_health[Sleep_Hours]&lt;7,"Medium","Good"))</f>
        <v>Good</v>
      </c>
      <c r="U2001" t="str">
        <f>IF(mental_health[Stress_Level]&lt;=3,"Low",IF(mental_health[Stress_Level]&lt;=7,"Medium","High"))</f>
        <v>Medium</v>
      </c>
      <c r="V2001" t="str">
        <f>IF(mental_health[Daily_Screen_Time]&lt;=4,"Low",IF(mental_health[Daily_Screen_Time]&lt;=8,"Medium","High"))</f>
        <v>Medium</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AvgStrsOcc</vt:lpstr>
      <vt:lpstr>SleepVsStress</vt:lpstr>
      <vt:lpstr>ScrTimeVsStrs</vt:lpstr>
      <vt:lpstr>PhsclActImpct</vt:lpstr>
      <vt:lpstr>GndrDist</vt:lpstr>
      <vt:lpstr>Dashboard</vt:lpstr>
      <vt:lpstr>Backend</vt:lpstr>
      <vt:lpstr>NitUsgLabel</vt:lpstr>
      <vt:lpstr>mental_health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PG</dc:creator>
  <cp:lastModifiedBy>PG</cp:lastModifiedBy>
  <cp:lastPrinted>2026-04-17T17:05:51Z</cp:lastPrinted>
  <dcterms:created xsi:type="dcterms:W3CDTF">2026-04-16T10:55:47Z</dcterms:created>
  <dcterms:modified xsi:type="dcterms:W3CDTF">2026-04-29T04:16:45Z</dcterms:modified>
</cp:coreProperties>
</file>